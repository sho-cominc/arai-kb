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入力" sheetId="1" state="visible" r:id="rId3"/>
    <sheet name="社内共有シート" sheetId="2" state="visible" r:id="rId4"/>
    <sheet name="見積書" sheetId="3" state="visible" r:id="rId5"/>
    <sheet name="マスタ" sheetId="4" state="visible" r:id="rId6"/>
  </sheets>
  <definedNames>
    <definedName function="false" hidden="false" localSheetId="1" name="_xlnm.Print_Area" vbProcedure="false">社内共有シート!$A$1:$G$35</definedName>
    <definedName function="false" hidden="false" localSheetId="2" name="_xlnm.Print_Area" vbProcedure="false">見積書!$A$1:$G$35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<sst xmlns="http://schemas.openxmlformats.org/spreadsheetml/2006/main" count="206" uniqueCount="165">
  <si>
    <t xml:space="preserve">【入力フォーム】 このシートを上から埋めるだけで、共有シート・見積書が自動で出来上がります</t>
  </si>
  <si>
    <r>
      <rPr>
        <sz val="8"/>
        <color rgb="FF666666"/>
        <rFont val="WenQuanYi Zen Hei"/>
        <family val="2"/>
      </rPr>
      <t xml:space="preserve">黄色</t>
    </r>
    <r>
      <rPr>
        <sz val="8"/>
        <color rgb="FF666666"/>
        <rFont val="Yu Gothic"/>
        <family val="0"/>
        <charset val="1"/>
      </rPr>
      <t xml:space="preserve">=</t>
    </r>
    <r>
      <rPr>
        <sz val="8"/>
        <color rgb="FF666666"/>
        <rFont val="WenQuanYi Zen Hei"/>
        <family val="2"/>
      </rPr>
      <t xml:space="preserve">入力欄</t>
    </r>
    <r>
      <rPr>
        <sz val="8"/>
        <color rgb="FF666666"/>
        <rFont val="Yu Gothic"/>
        <family val="0"/>
        <charset val="1"/>
      </rPr>
      <t xml:space="preserve">(▼</t>
    </r>
    <r>
      <rPr>
        <sz val="8"/>
        <color rgb="FF666666"/>
        <rFont val="WenQuanYi Zen Hei"/>
        <family val="2"/>
      </rPr>
      <t xml:space="preserve">はリスト選択</t>
    </r>
    <r>
      <rPr>
        <sz val="8"/>
        <color rgb="FF666666"/>
        <rFont val="Yu Gothic"/>
        <family val="0"/>
        <charset val="1"/>
      </rPr>
      <t xml:space="preserve">) / </t>
    </r>
    <r>
      <rPr>
        <sz val="8"/>
        <color rgb="FF666666"/>
        <rFont val="WenQuanYi Zen Hei"/>
        <family val="2"/>
      </rPr>
      <t xml:space="preserve">緑</t>
    </r>
    <r>
      <rPr>
        <sz val="8"/>
        <color rgb="FF666666"/>
        <rFont val="Yu Gothic"/>
        <family val="0"/>
        <charset val="1"/>
      </rPr>
      <t xml:space="preserve">=</t>
    </r>
    <r>
      <rPr>
        <sz val="8"/>
        <color rgb="FF666666"/>
        <rFont val="WenQuanYi Zen Hei"/>
        <family val="2"/>
      </rPr>
      <t xml:space="preserve">自動計算</t>
    </r>
    <r>
      <rPr>
        <sz val="8"/>
        <color rgb="FF666666"/>
        <rFont val="Yu Gothic"/>
        <family val="0"/>
        <charset val="1"/>
      </rPr>
      <t xml:space="preserve">(</t>
    </r>
    <r>
      <rPr>
        <sz val="8"/>
        <color rgb="FF666666"/>
        <rFont val="WenQuanYi Zen Hei"/>
        <family val="2"/>
      </rPr>
      <t xml:space="preserve">触らない</t>
    </r>
    <r>
      <rPr>
        <sz val="8"/>
        <color rgb="FF666666"/>
        <rFont val="Yu Gothic"/>
        <family val="0"/>
        <charset val="1"/>
      </rPr>
      <t xml:space="preserve">) / </t>
    </r>
    <r>
      <rPr>
        <sz val="8"/>
        <color rgb="FF666666"/>
        <rFont val="WenQuanYi Zen Hei"/>
        <family val="2"/>
      </rPr>
      <t xml:space="preserve">例が入っています。上書きしてお使いください</t>
    </r>
  </si>
  <si>
    <r>
      <rPr>
        <b val="true"/>
        <sz val="10"/>
        <color rgb="FF000000"/>
        <rFont val="Yu Gothic"/>
        <family val="0"/>
        <charset val="1"/>
      </rPr>
      <t xml:space="preserve">■ 1. </t>
    </r>
    <r>
      <rPr>
        <b val="true"/>
        <sz val="10"/>
        <color rgb="FF000000"/>
        <rFont val="WenQuanYi Zen Hei"/>
        <family val="2"/>
      </rPr>
      <t xml:space="preserve">基本情報</t>
    </r>
  </si>
  <si>
    <t xml:space="preserve">会社名</t>
  </si>
  <si>
    <t xml:space="preserve">田中産業株式会社</t>
  </si>
  <si>
    <t xml:space="preserve">団体名</t>
  </si>
  <si>
    <t xml:space="preserve">田中産業 親睦会ご一行様</t>
  </si>
  <si>
    <t xml:space="preserve">ツアー名</t>
  </si>
  <si>
    <r>
      <rPr>
        <sz val="9"/>
        <color rgb="FF000000"/>
        <rFont val="Yu Gothic"/>
        <family val="0"/>
        <charset val="1"/>
      </rPr>
      <t xml:space="preserve">2026</t>
    </r>
    <r>
      <rPr>
        <sz val="9"/>
        <color rgb="FF000000"/>
        <rFont val="WenQuanYi Zen Hei"/>
        <family val="2"/>
      </rPr>
      <t xml:space="preserve">年度 社員親睦旅行</t>
    </r>
  </si>
  <si>
    <t xml:space="preserve">先方担当者</t>
  </si>
  <si>
    <r>
      <rPr>
        <sz val="9"/>
        <color rgb="FF000000"/>
        <rFont val="WenQuanYi Zen Hei"/>
        <family val="2"/>
      </rPr>
      <t xml:space="preserve">田中 一郎 様</t>
    </r>
    <r>
      <rPr>
        <sz val="9"/>
        <color rgb="FF000000"/>
        <rFont val="Yu Gothic"/>
        <family val="0"/>
        <charset val="1"/>
      </rPr>
      <t xml:space="preserve">(090-0000-0000)</t>
    </r>
  </si>
  <si>
    <t xml:space="preserve">利用開始日</t>
  </si>
  <si>
    <t xml:space="preserve">利用終了日</t>
  </si>
  <si>
    <r>
      <rPr>
        <b val="true"/>
        <sz val="9"/>
        <color rgb="FF000000"/>
        <rFont val="WenQuanYi Zen Hei"/>
        <family val="2"/>
      </rPr>
      <t xml:space="preserve">人数</t>
    </r>
    <r>
      <rPr>
        <b val="true"/>
        <sz val="9"/>
        <color rgb="FF000000"/>
        <rFont val="Yu Gothic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合計</t>
    </r>
    <r>
      <rPr>
        <b val="true"/>
        <sz val="9"/>
        <color rgb="FF000000"/>
        <rFont val="Yu Gothic"/>
        <family val="0"/>
        <charset val="1"/>
      </rPr>
      <t xml:space="preserve">)</t>
    </r>
  </si>
  <si>
    <t xml:space="preserve">人数内訳メモ</t>
  </si>
  <si>
    <r>
      <rPr>
        <sz val="9"/>
        <color rgb="FF000000"/>
        <rFont val="WenQuanYi Zen Hei"/>
        <family val="2"/>
      </rPr>
      <t xml:space="preserve">大人</t>
    </r>
    <r>
      <rPr>
        <sz val="9"/>
        <color rgb="FF000000"/>
        <rFont val="Yu Gothic"/>
        <family val="0"/>
        <charset val="1"/>
      </rPr>
      <t xml:space="preserve">40</t>
    </r>
    <r>
      <rPr>
        <sz val="9"/>
        <color rgb="FF000000"/>
        <rFont val="WenQuanYi Zen Hei"/>
        <family val="2"/>
      </rPr>
      <t xml:space="preserve">名</t>
    </r>
  </si>
  <si>
    <t xml:space="preserve">到着手段・時刻</t>
  </si>
  <si>
    <r>
      <rPr>
        <sz val="9"/>
        <color rgb="FF000000"/>
        <rFont val="WenQuanYi Zen Hei"/>
        <family val="2"/>
      </rPr>
      <t xml:space="preserve">貸切バス </t>
    </r>
    <r>
      <rPr>
        <sz val="9"/>
        <color rgb="FF000000"/>
        <rFont val="Yu Gothic"/>
        <family val="0"/>
        <charset val="1"/>
      </rPr>
      <t xml:space="preserve">15:00</t>
    </r>
    <r>
      <rPr>
        <sz val="9"/>
        <color rgb="FF000000"/>
        <rFont val="WenQuanYi Zen Hei"/>
        <family val="2"/>
      </rPr>
      <t xml:space="preserve">着予定</t>
    </r>
  </si>
  <si>
    <t xml:space="preserve">ステータス ▼</t>
  </si>
  <si>
    <t xml:space="preserve">確定</t>
  </si>
  <si>
    <t xml:space="preserve">社内担当</t>
  </si>
  <si>
    <t xml:space="preserve">セールス 清水</t>
  </si>
  <si>
    <r>
      <rPr>
        <b val="true"/>
        <sz val="9"/>
        <color rgb="FF000000"/>
        <rFont val="WenQuanYi Zen Hei"/>
        <family val="2"/>
      </rPr>
      <t xml:space="preserve">コード略号</t>
    </r>
    <r>
      <rPr>
        <b val="true"/>
        <sz val="9"/>
        <color rgb="FF000000"/>
        <rFont val="Yu Gothic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英字</t>
    </r>
    <r>
      <rPr>
        <b val="true"/>
        <sz val="9"/>
        <color rgb="FF000000"/>
        <rFont val="Yu Gothic"/>
        <family val="0"/>
        <charset val="1"/>
      </rPr>
      <t xml:space="preserve">4)</t>
    </r>
  </si>
  <si>
    <t xml:space="preserve">TANA</t>
  </si>
  <si>
    <t xml:space="preserve">ブロックコード</t>
  </si>
  <si>
    <t xml:space="preserve">見積番号</t>
  </si>
  <si>
    <t xml:space="preserve">Q-2026-0001</t>
  </si>
  <si>
    <t xml:space="preserve">発行日</t>
  </si>
  <si>
    <t xml:space="preserve">支払方法 ▼</t>
  </si>
  <si>
    <t xml:space="preserve">後日振込</t>
  </si>
  <si>
    <t xml:space="preserve">見積有効期限</t>
  </si>
  <si>
    <r>
      <rPr>
        <b val="true"/>
        <sz val="10"/>
        <color rgb="FF000000"/>
        <rFont val="Yu Gothic"/>
        <family val="0"/>
        <charset val="1"/>
      </rPr>
      <t xml:space="preserve">■ 2. </t>
    </r>
    <r>
      <rPr>
        <b val="true"/>
        <sz val="10"/>
        <color rgb="FF000000"/>
        <rFont val="WenQuanYi Zen Hei"/>
        <family val="2"/>
      </rPr>
      <t xml:space="preserve">宿泊</t>
    </r>
  </si>
  <si>
    <t xml:space="preserve">宿泊有無 ▼</t>
  </si>
  <si>
    <t xml:space="preserve">宿泊あり</t>
  </si>
  <si>
    <t xml:space="preserve">部屋構成</t>
  </si>
  <si>
    <r>
      <rPr>
        <sz val="9"/>
        <color rgb="FF000000"/>
        <rFont val="WenQuanYi Zen Hei"/>
        <family val="2"/>
      </rPr>
      <t xml:space="preserve">和室</t>
    </r>
    <r>
      <rPr>
        <sz val="9"/>
        <color rgb="FF000000"/>
        <rFont val="Yu Gothic"/>
        <family val="0"/>
        <charset val="1"/>
      </rPr>
      <t xml:space="preserve">×15</t>
    </r>
    <r>
      <rPr>
        <sz val="9"/>
        <color rgb="FF000000"/>
        <rFont val="WenQuanYi Zen Hei"/>
        <family val="2"/>
      </rPr>
      <t xml:space="preserve">室</t>
    </r>
    <r>
      <rPr>
        <sz val="9"/>
        <color rgb="FF000000"/>
        <rFont val="Yu Gothic"/>
        <family val="0"/>
        <charset val="1"/>
      </rPr>
      <t xml:space="preserve">(1</t>
    </r>
    <r>
      <rPr>
        <sz val="9"/>
        <color rgb="FF000000"/>
        <rFont val="WenQuanYi Zen Hei"/>
        <family val="2"/>
      </rPr>
      <t xml:space="preserve">室</t>
    </r>
    <r>
      <rPr>
        <sz val="9"/>
        <color rgb="FF000000"/>
        <rFont val="Yu Gothic"/>
        <family val="0"/>
        <charset val="1"/>
      </rPr>
      <t xml:space="preserve">2</t>
    </r>
    <r>
      <rPr>
        <sz val="9"/>
        <color rgb="FF000000"/>
        <rFont val="WenQuanYi Zen Hei"/>
        <family val="2"/>
      </rPr>
      <t xml:space="preserve">〜</t>
    </r>
    <r>
      <rPr>
        <sz val="9"/>
        <color rgb="FF000000"/>
        <rFont val="Yu Gothic"/>
        <family val="0"/>
        <charset val="1"/>
      </rPr>
      <t xml:space="preserve">3</t>
    </r>
    <r>
      <rPr>
        <sz val="9"/>
        <color rgb="FF000000"/>
        <rFont val="WenQuanYi Zen Hei"/>
        <family val="2"/>
      </rPr>
      <t xml:space="preserve">名</t>
    </r>
    <r>
      <rPr>
        <sz val="9"/>
        <color rgb="FF000000"/>
        <rFont val="Yu Gothic"/>
        <family val="0"/>
        <charset val="1"/>
      </rPr>
      <t xml:space="preserve">)</t>
    </r>
  </si>
  <si>
    <r>
      <rPr>
        <b val="true"/>
        <sz val="9"/>
        <color rgb="FF000000"/>
        <rFont val="Yu Gothic"/>
        <family val="0"/>
        <charset val="1"/>
      </rPr>
      <t xml:space="preserve">C/I</t>
    </r>
    <r>
      <rPr>
        <b val="true"/>
        <sz val="9"/>
        <color rgb="FF000000"/>
        <rFont val="WenQuanYi Zen Hei"/>
        <family val="2"/>
      </rPr>
      <t xml:space="preserve">・</t>
    </r>
    <r>
      <rPr>
        <b val="true"/>
        <sz val="9"/>
        <color rgb="FF000000"/>
        <rFont val="Yu Gothic"/>
        <family val="0"/>
        <charset val="1"/>
      </rPr>
      <t xml:space="preserve">C/O</t>
    </r>
  </si>
  <si>
    <t xml:space="preserve">15:00 / 10:00</t>
  </si>
  <si>
    <t xml:space="preserve">宿泊特記</t>
  </si>
  <si>
    <r>
      <rPr>
        <sz val="9"/>
        <color rgb="FF000000"/>
        <rFont val="Yu Gothic"/>
        <family val="0"/>
        <charset val="1"/>
      </rPr>
      <t xml:space="preserve">1</t>
    </r>
    <r>
      <rPr>
        <sz val="9"/>
        <color rgb="FF000000"/>
        <rFont val="WenQuanYi Zen Hei"/>
        <family val="2"/>
      </rPr>
      <t xml:space="preserve">階希望</t>
    </r>
    <r>
      <rPr>
        <sz val="9"/>
        <color rgb="FF000000"/>
        <rFont val="Yu Gothic"/>
        <family val="0"/>
        <charset val="1"/>
      </rPr>
      <t xml:space="preserve">3</t>
    </r>
    <r>
      <rPr>
        <sz val="9"/>
        <color rgb="FF000000"/>
        <rFont val="WenQuanYi Zen Hei"/>
        <family val="2"/>
      </rPr>
      <t xml:space="preserve">名</t>
    </r>
    <r>
      <rPr>
        <sz val="9"/>
        <color rgb="FF000000"/>
        <rFont val="Yu Gothic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車椅子貸出</t>
    </r>
    <r>
      <rPr>
        <sz val="9"/>
        <color rgb="FF000000"/>
        <rFont val="Yu Gothic"/>
        <family val="0"/>
        <charset val="1"/>
      </rPr>
      <t xml:space="preserve">1</t>
    </r>
    <r>
      <rPr>
        <sz val="9"/>
        <color rgb="FF000000"/>
        <rFont val="WenQuanYi Zen Hei"/>
        <family val="2"/>
      </rPr>
      <t xml:space="preserve">名</t>
    </r>
    <r>
      <rPr>
        <sz val="9"/>
        <color rgb="FF000000"/>
        <rFont val="Yu Gothic"/>
        <family val="0"/>
        <charset val="1"/>
      </rPr>
      <t xml:space="preserve">)</t>
    </r>
  </si>
  <si>
    <r>
      <rPr>
        <b val="true"/>
        <sz val="10"/>
        <color rgb="FF000000"/>
        <rFont val="Yu Gothic"/>
        <family val="0"/>
        <charset val="1"/>
      </rPr>
      <t xml:space="preserve">■ 3. </t>
    </r>
    <r>
      <rPr>
        <b val="true"/>
        <sz val="10"/>
        <color rgb="FF000000"/>
        <rFont val="WenQuanYi Zen Hei"/>
        <family val="2"/>
      </rPr>
      <t xml:space="preserve">食事</t>
    </r>
    <r>
      <rPr>
        <b val="true"/>
        <sz val="10"/>
        <color rgb="FF000000"/>
        <rFont val="Yu Gothic"/>
        <family val="0"/>
        <charset val="1"/>
      </rPr>
      <t xml:space="preserve">(1</t>
    </r>
    <r>
      <rPr>
        <b val="true"/>
        <sz val="10"/>
        <color rgb="FF000000"/>
        <rFont val="WenQuanYi Zen Hei"/>
        <family val="2"/>
      </rPr>
      <t xml:space="preserve">行に 日付・区分・時刻・会場・内容・数量 をまとめて記入</t>
    </r>
    <r>
      <rPr>
        <b val="true"/>
        <sz val="10"/>
        <color rgb="FF000000"/>
        <rFont val="Yu Gothic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</si>
  <si>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食事</t>
    </r>
    <r>
      <rPr>
        <b val="true"/>
        <sz val="9"/>
        <color rgb="FF000000"/>
        <rFont val="Yu Gothic"/>
        <family val="0"/>
        <charset val="1"/>
      </rPr>
      <t xml:space="preserve">1</t>
    </r>
  </si>
  <si>
    <r>
      <rPr>
        <sz val="9"/>
        <color rgb="FF000000"/>
        <rFont val="Yu Gothic"/>
        <family val="0"/>
        <charset val="1"/>
      </rPr>
      <t xml:space="preserve">8/15 </t>
    </r>
    <r>
      <rPr>
        <sz val="9"/>
        <color rgb="FF000000"/>
        <rFont val="WenQuanYi Zen Hei"/>
        <family val="2"/>
      </rPr>
      <t xml:space="preserve">夕食 </t>
    </r>
    <r>
      <rPr>
        <sz val="9"/>
        <color rgb="FF000000"/>
        <rFont val="Yu Gothic"/>
        <family val="0"/>
        <charset val="1"/>
      </rPr>
      <t xml:space="preserve">18:00 </t>
    </r>
    <r>
      <rPr>
        <sz val="9"/>
        <color rgb="FF000000"/>
        <rFont val="WenQuanYi Zen Hei"/>
        <family val="2"/>
      </rPr>
      <t xml:space="preserve">鶴の間 宴会コース</t>
    </r>
    <r>
      <rPr>
        <sz val="9"/>
        <color rgb="FF000000"/>
        <rFont val="Yu Gothic"/>
        <family val="0"/>
        <charset val="1"/>
      </rPr>
      <t xml:space="preserve">+</t>
    </r>
    <r>
      <rPr>
        <sz val="9"/>
        <color rgb="FF000000"/>
        <rFont val="WenQuanYi Zen Hei"/>
        <family val="2"/>
      </rPr>
      <t xml:space="preserve">飲放</t>
    </r>
    <r>
      <rPr>
        <sz val="9"/>
        <color rgb="FF000000"/>
        <rFont val="Yu Gothic"/>
        <family val="0"/>
        <charset val="1"/>
      </rPr>
      <t xml:space="preserve">90</t>
    </r>
    <r>
      <rPr>
        <sz val="9"/>
        <color rgb="FF000000"/>
        <rFont val="WenQuanYi Zen Hei"/>
        <family val="2"/>
      </rPr>
      <t xml:space="preserve">分 </t>
    </r>
    <r>
      <rPr>
        <sz val="9"/>
        <color rgb="FF000000"/>
        <rFont val="Yu Gothic"/>
        <family val="0"/>
        <charset val="1"/>
      </rPr>
      <t xml:space="preserve">40</t>
    </r>
    <r>
      <rPr>
        <sz val="9"/>
        <color rgb="FF000000"/>
        <rFont val="WenQuanYi Zen Hei"/>
        <family val="2"/>
      </rPr>
      <t xml:space="preserve">名</t>
    </r>
  </si>
  <si>
    <r>
      <rPr>
        <b val="true"/>
        <sz val="9"/>
        <color rgb="FF000000"/>
        <rFont val="WenQuanYi Zen Hei"/>
        <family val="2"/>
      </rPr>
      <t xml:space="preserve">食事</t>
    </r>
    <r>
      <rPr>
        <b val="true"/>
        <sz val="9"/>
        <color rgb="FF000000"/>
        <rFont val="Yu Gothic"/>
        <family val="0"/>
        <charset val="1"/>
      </rPr>
      <t xml:space="preserve">2</t>
    </r>
  </si>
  <si>
    <r>
      <rPr>
        <sz val="9"/>
        <color rgb="FF000000"/>
        <rFont val="Yu Gothic"/>
        <family val="0"/>
        <charset val="1"/>
      </rPr>
      <t xml:space="preserve">8/16 </t>
    </r>
    <r>
      <rPr>
        <sz val="9"/>
        <color rgb="FF000000"/>
        <rFont val="WenQuanYi Zen Hei"/>
        <family val="2"/>
      </rPr>
      <t xml:space="preserve">朝食 </t>
    </r>
    <r>
      <rPr>
        <sz val="9"/>
        <color rgb="FF000000"/>
        <rFont val="Yu Gothic"/>
        <family val="0"/>
        <charset val="1"/>
      </rPr>
      <t xml:space="preserve">7:00 </t>
    </r>
    <r>
      <rPr>
        <sz val="9"/>
        <color rgb="FF000000"/>
        <rFont val="WenQuanYi Zen Hei"/>
        <family val="2"/>
      </rPr>
      <t xml:space="preserve">レストラン 和洋バイキング </t>
    </r>
    <r>
      <rPr>
        <sz val="9"/>
        <color rgb="FF000000"/>
        <rFont val="Yu Gothic"/>
        <family val="0"/>
        <charset val="1"/>
      </rPr>
      <t xml:space="preserve">40</t>
    </r>
    <r>
      <rPr>
        <sz val="9"/>
        <color rgb="FF000000"/>
        <rFont val="WenQuanYi Zen Hei"/>
        <family val="2"/>
      </rPr>
      <t xml:space="preserve">名</t>
    </r>
  </si>
  <si>
    <r>
      <rPr>
        <b val="true"/>
        <sz val="9"/>
        <color rgb="FF000000"/>
        <rFont val="WenQuanYi Zen Hei"/>
        <family val="2"/>
      </rPr>
      <t xml:space="preserve">食事</t>
    </r>
    <r>
      <rPr>
        <b val="true"/>
        <sz val="9"/>
        <color rgb="FF000000"/>
        <rFont val="Yu Gothic"/>
        <family val="0"/>
        <charset val="1"/>
      </rPr>
      <t xml:space="preserve">3</t>
    </r>
  </si>
  <si>
    <r>
      <rPr>
        <b val="true"/>
        <sz val="9"/>
        <color rgb="FF000000"/>
        <rFont val="WenQuanYi Zen Hei"/>
        <family val="2"/>
      </rPr>
      <t xml:space="preserve">アレルギー</t>
    </r>
    <r>
      <rPr>
        <b val="true"/>
        <sz val="9"/>
        <color rgb="FF000000"/>
        <rFont val="Yu Gothic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必須</t>
    </r>
    <r>
      <rPr>
        <b val="true"/>
        <sz val="9"/>
        <color rgb="FF000000"/>
        <rFont val="Yu Gothic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</si>
  <si>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甲殻類</t>
    </r>
    <r>
      <rPr>
        <sz val="9"/>
        <color rgb="FF000000"/>
        <rFont val="Yu Gothic"/>
        <family val="0"/>
        <charset val="1"/>
      </rPr>
      <t xml:space="preserve">3</t>
    </r>
    <r>
      <rPr>
        <sz val="9"/>
        <color rgb="FF000000"/>
        <rFont val="WenQuanYi Zen Hei"/>
        <family val="2"/>
      </rPr>
      <t xml:space="preserve">名</t>
    </r>
    <r>
      <rPr>
        <sz val="9"/>
        <color rgb="FF000000"/>
        <rFont val="Yu Gothic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名簿は料飲へ送付済</t>
    </r>
    <r>
      <rPr>
        <sz val="9"/>
        <color rgb="FF000000"/>
        <rFont val="Yu Gothic"/>
        <family val="0"/>
        <charset val="1"/>
      </rPr>
      <t xml:space="preserve">)/</t>
    </r>
    <r>
      <rPr>
        <sz val="9"/>
        <color rgb="FF000000"/>
        <rFont val="WenQuanYi Zen Hei"/>
        <family val="2"/>
      </rPr>
      <t xml:space="preserve">対応</t>
    </r>
    <r>
      <rPr>
        <sz val="9"/>
        <color rgb="FF000000"/>
        <rFont val="Yu Gothic"/>
        <family val="0"/>
        <charset val="1"/>
      </rPr>
      <t xml:space="preserve">: </t>
    </r>
    <r>
      <rPr>
        <sz val="9"/>
        <color rgb="FF000000"/>
        <rFont val="WenQuanYi Zen Hei"/>
        <family val="2"/>
      </rPr>
      <t xml:space="preserve">個別メニュー</t>
    </r>
  </si>
  <si>
    <r>
      <rPr>
        <b val="true"/>
        <sz val="10"/>
        <color rgb="FF000000"/>
        <rFont val="Yu Gothic"/>
        <family val="0"/>
        <charset val="1"/>
      </rPr>
      <t xml:space="preserve">■ 4. </t>
    </r>
    <r>
      <rPr>
        <b val="true"/>
        <sz val="10"/>
        <color rgb="FF000000"/>
        <rFont val="WenQuanYi Zen Hei"/>
        <family val="2"/>
      </rPr>
      <t xml:space="preserve">宴会・会場</t>
    </r>
  </si>
  <si>
    <t xml:space="preserve">会場 ▼</t>
  </si>
  <si>
    <t xml:space="preserve">鶴の間</t>
  </si>
  <si>
    <r>
      <rPr>
        <b val="true"/>
        <sz val="9"/>
        <color rgb="FF000000"/>
        <rFont val="WenQuanYi Zen Hei"/>
        <family val="2"/>
      </rPr>
      <t xml:space="preserve">設営</t>
    </r>
    <r>
      <rPr>
        <b val="true"/>
        <sz val="9"/>
        <color rgb="FF000000"/>
        <rFont val="Yu Gothic"/>
        <family val="0"/>
        <charset val="1"/>
      </rPr>
      <t xml:space="preserve">/</t>
    </r>
    <r>
      <rPr>
        <b val="true"/>
        <sz val="9"/>
        <color rgb="FF000000"/>
        <rFont val="WenQuanYi Zen Hei"/>
        <family val="2"/>
      </rPr>
      <t xml:space="preserve">本番</t>
    </r>
    <r>
      <rPr>
        <b val="true"/>
        <sz val="9"/>
        <color rgb="FF000000"/>
        <rFont val="Yu Gothic"/>
        <family val="0"/>
        <charset val="1"/>
      </rPr>
      <t xml:space="preserve">/</t>
    </r>
    <r>
      <rPr>
        <b val="true"/>
        <sz val="9"/>
        <color rgb="FF000000"/>
        <rFont val="WenQuanYi Zen Hei"/>
        <family val="2"/>
      </rPr>
      <t xml:space="preserve">撤収</t>
    </r>
  </si>
  <si>
    <r>
      <rPr>
        <sz val="9"/>
        <color rgb="FF000000"/>
        <rFont val="Yu Gothic"/>
        <family val="0"/>
        <charset val="1"/>
      </rPr>
      <t xml:space="preserve">17:00</t>
    </r>
    <r>
      <rPr>
        <sz val="9"/>
        <color rgb="FF000000"/>
        <rFont val="WenQuanYi Zen Hei"/>
        <family val="2"/>
      </rPr>
      <t xml:space="preserve">設営 </t>
    </r>
    <r>
      <rPr>
        <sz val="9"/>
        <color rgb="FF000000"/>
        <rFont val="Yu Gothic"/>
        <family val="0"/>
        <charset val="1"/>
      </rPr>
      <t xml:space="preserve">/ 18:00-20:00 / 21:00</t>
    </r>
    <r>
      <rPr>
        <sz val="9"/>
        <color rgb="FF000000"/>
        <rFont val="WenQuanYi Zen Hei"/>
        <family val="2"/>
      </rPr>
      <t xml:space="preserve">撤収</t>
    </r>
  </si>
  <si>
    <t xml:space="preserve">レイアウト ▼</t>
  </si>
  <si>
    <t xml:space="preserve">円卓</t>
  </si>
  <si>
    <t xml:space="preserve">機材・備品</t>
  </si>
  <si>
    <r>
      <rPr>
        <sz val="9"/>
        <color rgb="FF000000"/>
        <rFont val="WenQuanYi Zen Hei"/>
        <family val="2"/>
      </rPr>
      <t xml:space="preserve">マイク</t>
    </r>
    <r>
      <rPr>
        <sz val="9"/>
        <color rgb="FF000000"/>
        <rFont val="Yu Gothic"/>
        <family val="0"/>
        <charset val="1"/>
      </rPr>
      <t xml:space="preserve">2</t>
    </r>
    <r>
      <rPr>
        <sz val="9"/>
        <color rgb="FF000000"/>
        <rFont val="WenQuanYi Zen Hei"/>
        <family val="2"/>
      </rPr>
      <t xml:space="preserve">・プロジェクター</t>
    </r>
  </si>
  <si>
    <t xml:space="preserve">進行メモ</t>
  </si>
  <si>
    <r>
      <rPr>
        <sz val="9"/>
        <color rgb="FF000000"/>
        <rFont val="Yu Gothic"/>
        <family val="0"/>
        <charset val="1"/>
      </rPr>
      <t xml:space="preserve">19:00</t>
    </r>
    <r>
      <rPr>
        <sz val="9"/>
        <color rgb="FF000000"/>
        <rFont val="WenQuanYi Zen Hei"/>
        <family val="2"/>
      </rPr>
      <t xml:space="preserve">頃 社長表彰</t>
    </r>
    <r>
      <rPr>
        <sz val="9"/>
        <color rgb="FF000000"/>
        <rFont val="Yu Gothic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照明・マイク</t>
    </r>
    <r>
      <rPr>
        <sz val="9"/>
        <color rgb="FF000000"/>
        <rFont val="Yu Gothic"/>
        <family val="0"/>
        <charset val="1"/>
      </rPr>
      <t xml:space="preserve">)</t>
    </r>
  </si>
  <si>
    <r>
      <rPr>
        <b val="true"/>
        <sz val="10"/>
        <color rgb="FF000000"/>
        <rFont val="Yu Gothic"/>
        <family val="0"/>
        <charset val="1"/>
      </rPr>
      <t xml:space="preserve">■ 5. </t>
    </r>
    <r>
      <rPr>
        <b val="true"/>
        <sz val="10"/>
        <color rgb="FF000000"/>
        <rFont val="WenQuanYi Zen Hei"/>
        <family val="2"/>
      </rPr>
      <t xml:space="preserve">送迎</t>
    </r>
  </si>
  <si>
    <t xml:space="preserve">往路</t>
  </si>
  <si>
    <r>
      <rPr>
        <sz val="9"/>
        <color rgb="FF000000"/>
        <rFont val="Yu Gothic"/>
        <family val="0"/>
        <charset val="1"/>
      </rPr>
      <t xml:space="preserve">8/15 </t>
    </r>
    <r>
      <rPr>
        <sz val="9"/>
        <color rgb="FF000000"/>
        <rFont val="WenQuanYi Zen Hei"/>
        <family val="2"/>
      </rPr>
      <t xml:space="preserve">上越妙高駅 </t>
    </r>
    <r>
      <rPr>
        <sz val="9"/>
        <color rgb="FF000000"/>
        <rFont val="Yu Gothic"/>
        <family val="0"/>
        <charset val="1"/>
      </rPr>
      <t xml:space="preserve">14:30</t>
    </r>
    <r>
      <rPr>
        <sz val="9"/>
        <color rgb="FF000000"/>
        <rFont val="WenQuanYi Zen Hei"/>
        <family val="2"/>
      </rPr>
      <t xml:space="preserve">発 → ホテル</t>
    </r>
    <r>
      <rPr>
        <sz val="9"/>
        <color rgb="FF000000"/>
        <rFont val="Yu Gothic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バス</t>
    </r>
    <r>
      <rPr>
        <sz val="9"/>
        <color rgb="FF000000"/>
        <rFont val="Yu Gothic"/>
        <family val="0"/>
        <charset val="1"/>
      </rPr>
      <t xml:space="preserve">2</t>
    </r>
    <r>
      <rPr>
        <sz val="9"/>
        <color rgb="FF000000"/>
        <rFont val="WenQuanYi Zen Hei"/>
        <family val="2"/>
      </rPr>
      <t xml:space="preserve">台</t>
    </r>
    <r>
      <rPr>
        <sz val="9"/>
        <color rgb="FF000000"/>
        <rFont val="Yu Gothic"/>
        <family val="0"/>
        <charset val="1"/>
      </rPr>
      <t xml:space="preserve">)</t>
    </r>
  </si>
  <si>
    <t xml:space="preserve">復路</t>
  </si>
  <si>
    <r>
      <rPr>
        <sz val="9"/>
        <color rgb="FF000000"/>
        <rFont val="Yu Gothic"/>
        <family val="0"/>
        <charset val="1"/>
      </rPr>
      <t xml:space="preserve">8/16 </t>
    </r>
    <r>
      <rPr>
        <sz val="9"/>
        <color rgb="FF000000"/>
        <rFont val="WenQuanYi Zen Hei"/>
        <family val="2"/>
      </rPr>
      <t xml:space="preserve">ホテル </t>
    </r>
    <r>
      <rPr>
        <sz val="9"/>
        <color rgb="FF000000"/>
        <rFont val="Yu Gothic"/>
        <family val="0"/>
        <charset val="1"/>
      </rPr>
      <t xml:space="preserve">10:00</t>
    </r>
    <r>
      <rPr>
        <sz val="9"/>
        <color rgb="FF000000"/>
        <rFont val="WenQuanYi Zen Hei"/>
        <family val="2"/>
      </rPr>
      <t xml:space="preserve">発 → 上越妙高駅</t>
    </r>
  </si>
  <si>
    <r>
      <rPr>
        <b val="true"/>
        <sz val="10"/>
        <color rgb="FF000000"/>
        <rFont val="Yu Gothic"/>
        <family val="0"/>
        <charset val="1"/>
      </rPr>
      <t xml:space="preserve">■ 6. </t>
    </r>
    <r>
      <rPr>
        <b val="true"/>
        <sz val="10"/>
        <color rgb="FF000000"/>
        <rFont val="WenQuanYi Zen Hei"/>
        <family val="2"/>
      </rPr>
      <t xml:space="preserve">見積明細</t>
    </r>
    <r>
      <rPr>
        <b val="true"/>
        <sz val="10"/>
        <color rgb="FF000000"/>
        <rFont val="Yu Gothic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最大</t>
    </r>
    <r>
      <rPr>
        <b val="true"/>
        <sz val="10"/>
        <color rgb="FF000000"/>
        <rFont val="Yu Gothic"/>
        <family val="0"/>
        <charset val="1"/>
      </rPr>
      <t xml:space="preserve">10</t>
    </r>
    <r>
      <rPr>
        <b val="true"/>
        <sz val="10"/>
        <color rgb="FF000000"/>
        <rFont val="WenQuanYi Zen Hei"/>
        <family val="2"/>
      </rPr>
      <t xml:space="preserve">行。項目▼と単位▼はリスト選択</t>
    </r>
    <r>
      <rPr>
        <b val="true"/>
        <sz val="10"/>
        <color rgb="FF000000"/>
        <rFont val="Yu Gothic"/>
        <family val="0"/>
        <charset val="1"/>
      </rPr>
      <t xml:space="preserve">)</t>
    </r>
  </si>
  <si>
    <t xml:space="preserve">項目 ▼</t>
  </si>
  <si>
    <t xml:space="preserve">内容</t>
  </si>
  <si>
    <t xml:space="preserve">単価</t>
  </si>
  <si>
    <t xml:space="preserve">数量</t>
  </si>
  <si>
    <t xml:space="preserve">単位 ▼</t>
  </si>
  <si>
    <t xml:space="preserve">宿泊</t>
  </si>
  <si>
    <r>
      <rPr>
        <sz val="8.5"/>
        <color rgb="FF000000"/>
        <rFont val="Yu Gothic"/>
        <family val="0"/>
        <charset val="1"/>
      </rPr>
      <t xml:space="preserve">1</t>
    </r>
    <r>
      <rPr>
        <sz val="8.5"/>
        <color rgb="FF000000"/>
        <rFont val="WenQuanYi Zen Hei"/>
        <family val="2"/>
      </rPr>
      <t xml:space="preserve">泊</t>
    </r>
    <r>
      <rPr>
        <sz val="8.5"/>
        <color rgb="FF000000"/>
        <rFont val="Yu Gothic"/>
        <family val="0"/>
        <charset val="1"/>
      </rPr>
      <t xml:space="preserve">2</t>
    </r>
    <r>
      <rPr>
        <sz val="8.5"/>
        <color rgb="FF000000"/>
        <rFont val="WenQuanYi Zen Hei"/>
        <family val="2"/>
      </rPr>
      <t xml:space="preserve">食付プラン</t>
    </r>
    <r>
      <rPr>
        <sz val="8.5"/>
        <color rgb="FF000000"/>
        <rFont val="Yu Gothic"/>
        <family val="0"/>
        <charset val="1"/>
      </rPr>
      <t xml:space="preserve">(</t>
    </r>
    <r>
      <rPr>
        <sz val="8.5"/>
        <color rgb="FF000000"/>
        <rFont val="WenQuanYi Zen Hei"/>
        <family val="2"/>
      </rPr>
      <t xml:space="preserve">和室</t>
    </r>
    <r>
      <rPr>
        <sz val="8.5"/>
        <color rgb="FF000000"/>
        <rFont val="Yu Gothic"/>
        <family val="0"/>
        <charset val="1"/>
      </rPr>
      <t xml:space="preserve">)</t>
    </r>
  </si>
  <si>
    <t xml:space="preserve">名</t>
  </si>
  <si>
    <t xml:space="preserve">宴会</t>
  </si>
  <si>
    <r>
      <rPr>
        <sz val="8.5"/>
        <color rgb="FF000000"/>
        <rFont val="WenQuanYi Zen Hei"/>
        <family val="2"/>
      </rPr>
      <t xml:space="preserve">宴会場使用料</t>
    </r>
    <r>
      <rPr>
        <sz val="8.5"/>
        <color rgb="FF000000"/>
        <rFont val="Yu Gothic"/>
        <family val="0"/>
        <charset val="1"/>
      </rPr>
      <t xml:space="preserve">(</t>
    </r>
    <r>
      <rPr>
        <sz val="8.5"/>
        <color rgb="FF000000"/>
        <rFont val="WenQuanYi Zen Hei"/>
        <family val="2"/>
      </rPr>
      <t xml:space="preserve">鶴の間 </t>
    </r>
    <r>
      <rPr>
        <sz val="8.5"/>
        <color rgb="FF000000"/>
        <rFont val="Yu Gothic"/>
        <family val="0"/>
        <charset val="1"/>
      </rPr>
      <t xml:space="preserve">18:00-20:00)</t>
    </r>
  </si>
  <si>
    <t xml:space="preserve">式</t>
  </si>
  <si>
    <t xml:space="preserve">料飲</t>
  </si>
  <si>
    <r>
      <rPr>
        <sz val="8.5"/>
        <color rgb="FF000000"/>
        <rFont val="WenQuanYi Zen Hei"/>
        <family val="2"/>
      </rPr>
      <t xml:space="preserve">飲み放題プラン </t>
    </r>
    <r>
      <rPr>
        <sz val="8.5"/>
        <color rgb="FF000000"/>
        <rFont val="Yu Gothic"/>
        <family val="0"/>
        <charset val="1"/>
      </rPr>
      <t xml:space="preserve">90</t>
    </r>
    <r>
      <rPr>
        <sz val="8.5"/>
        <color rgb="FF000000"/>
        <rFont val="WenQuanYi Zen Hei"/>
        <family val="2"/>
      </rPr>
      <t xml:space="preserve">分</t>
    </r>
  </si>
  <si>
    <t xml:space="preserve">送迎</t>
  </si>
  <si>
    <r>
      <rPr>
        <sz val="8.5"/>
        <color rgb="FF000000"/>
        <rFont val="WenQuanYi Zen Hei"/>
        <family val="2"/>
      </rPr>
      <t xml:space="preserve">貸切バス送迎</t>
    </r>
    <r>
      <rPr>
        <sz val="8.5"/>
        <color rgb="FF000000"/>
        <rFont val="Yu Gothic"/>
        <family val="0"/>
        <charset val="1"/>
      </rPr>
      <t xml:space="preserve">(</t>
    </r>
    <r>
      <rPr>
        <sz val="8.5"/>
        <color rgb="FF000000"/>
        <rFont val="WenQuanYi Zen Hei"/>
        <family val="2"/>
      </rPr>
      <t xml:space="preserve">上越妙高駅⇔ホテル 往復</t>
    </r>
    <r>
      <rPr>
        <sz val="8.5"/>
        <color rgb="FF000000"/>
        <rFont val="Yu Gothic"/>
        <family val="0"/>
        <charset val="1"/>
      </rPr>
      <t xml:space="preserve">)</t>
    </r>
  </si>
  <si>
    <t xml:space="preserve">台</t>
  </si>
  <si>
    <r>
      <rPr>
        <b val="true"/>
        <sz val="9"/>
        <color rgb="FF000000"/>
        <rFont val="WenQuanYi Zen Hei"/>
        <family val="2"/>
      </rPr>
      <t xml:space="preserve">入湯税</t>
    </r>
    <r>
      <rPr>
        <b val="true"/>
        <sz val="9"/>
        <color rgb="FF000000"/>
        <rFont val="Yu Gothic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円</t>
    </r>
    <r>
      <rPr>
        <b val="true"/>
        <sz val="9"/>
        <color rgb="FF000000"/>
        <rFont val="Yu Gothic"/>
        <family val="0"/>
        <charset val="1"/>
      </rPr>
      <t xml:space="preserve">)</t>
    </r>
  </si>
  <si>
    <r>
      <rPr>
        <b val="true"/>
        <sz val="9"/>
        <color rgb="FF000000"/>
        <rFont val="WenQuanYi Zen Hei"/>
        <family val="2"/>
      </rPr>
      <t xml:space="preserve">値引き</t>
    </r>
    <r>
      <rPr>
        <b val="true"/>
        <sz val="9"/>
        <color rgb="FF000000"/>
        <rFont val="Yu Gothic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マイナス</t>
    </r>
    <r>
      <rPr>
        <b val="true"/>
        <sz val="9"/>
        <color rgb="FF000000"/>
        <rFont val="Yu Gothic"/>
        <family val="0"/>
        <charset val="1"/>
      </rPr>
      <t xml:space="preserve">)</t>
    </r>
  </si>
  <si>
    <r>
      <rPr>
        <b val="true"/>
        <sz val="10"/>
        <color rgb="FF000000"/>
        <rFont val="Yu Gothic"/>
        <family val="0"/>
        <charset val="1"/>
      </rPr>
      <t xml:space="preserve">■ 7. </t>
    </r>
    <r>
      <rPr>
        <b val="true"/>
        <sz val="10"/>
        <color rgb="FF000000"/>
        <rFont val="WenQuanYi Zen Hei"/>
        <family val="2"/>
      </rPr>
      <t xml:space="preserve">特記事項・引き継ぎメモ</t>
    </r>
    <r>
      <rPr>
        <b val="true"/>
        <sz val="10"/>
        <color rgb="FF000000"/>
        <rFont val="Yu Gothic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社内共有シートに載ります</t>
    </r>
    <r>
      <rPr>
        <b val="true"/>
        <sz val="10"/>
        <color rgb="FF000000"/>
        <rFont val="Yu Gothic"/>
        <family val="0"/>
        <charset val="1"/>
      </rPr>
      <t xml:space="preserve">)</t>
    </r>
  </si>
  <si>
    <r>
      <rPr>
        <sz val="9"/>
        <color rgb="FF000000"/>
        <rFont val="WenQuanYi Zen Hei"/>
        <family val="2"/>
      </rPr>
      <t xml:space="preserve">・幹事の田中様は昨年もご利用</t>
    </r>
    <r>
      <rPr>
        <sz val="9"/>
        <color rgb="FF000000"/>
        <rFont val="Yu Gothic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前回</t>
    </r>
    <r>
      <rPr>
        <sz val="9"/>
        <color rgb="FF000000"/>
        <rFont val="Yu Gothic"/>
        <family val="0"/>
        <charset val="1"/>
      </rPr>
      <t xml:space="preserve">: </t>
    </r>
    <r>
      <rPr>
        <sz val="9"/>
        <color rgb="FF000000"/>
        <rFont val="WenQuanYi Zen Hei"/>
        <family val="2"/>
      </rPr>
      <t xml:space="preserve">朝食会場の案内不足→今回は前日に案内掲示</t>
    </r>
    <r>
      <rPr>
        <sz val="9"/>
        <color rgb="FF000000"/>
        <rFont val="Yu Gothic"/>
        <family val="0"/>
        <charset val="1"/>
      </rPr>
      <t xml:space="preserve">)
</t>
    </r>
    <r>
      <rPr>
        <sz val="9"/>
        <color rgb="FF000000"/>
        <rFont val="WenQuanYi Zen Hei"/>
        <family val="2"/>
      </rPr>
      <t xml:space="preserve">・お土産</t>
    </r>
    <r>
      <rPr>
        <sz val="9"/>
        <color rgb="FF000000"/>
        <rFont val="Yu Gothic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地酒</t>
    </r>
    <r>
      <rPr>
        <sz val="9"/>
        <color rgb="FF000000"/>
        <rFont val="Yu Gothic"/>
        <family val="0"/>
        <charset val="1"/>
      </rPr>
      <t xml:space="preserve">)40</t>
    </r>
    <r>
      <rPr>
        <sz val="9"/>
        <color rgb="FF000000"/>
        <rFont val="WenQuanYi Zen Hei"/>
        <family val="2"/>
      </rPr>
      <t xml:space="preserve">個を売店に取り置き</t>
    </r>
    <r>
      <rPr>
        <sz val="9"/>
        <color rgb="FF000000"/>
        <rFont val="Yu Gothic"/>
        <family val="0"/>
        <charset val="1"/>
      </rPr>
      <t xml:space="preserve">(8/16</t>
    </r>
    <r>
      <rPr>
        <sz val="9"/>
        <color rgb="FF000000"/>
        <rFont val="WenQuanYi Zen Hei"/>
        <family val="2"/>
      </rPr>
      <t xml:space="preserve">朝 フロント渡し</t>
    </r>
    <r>
      <rPr>
        <sz val="9"/>
        <color rgb="FF000000"/>
        <rFont val="Yu Gothic"/>
        <family val="0"/>
        <charset val="1"/>
      </rPr>
      <t xml:space="preserve">)
</t>
    </r>
    <r>
      <rPr>
        <sz val="9"/>
        <color rgb="FF000000"/>
        <rFont val="WenQuanYi Zen Hei"/>
        <family val="2"/>
      </rPr>
      <t xml:space="preserve">・雨天時はバス乗降を正面玄関ひさし下に変更</t>
    </r>
  </si>
  <si>
    <t xml:space="preserve">団体案件 社内共有シート</t>
  </si>
  <si>
    <t xml:space="preserve">ステータス</t>
  </si>
  <si>
    <t xml:space="preserve">■ 基本情報</t>
  </si>
  <si>
    <t xml:space="preserve">利用期間</t>
  </si>
  <si>
    <t xml:space="preserve">人数</t>
  </si>
  <si>
    <t xml:space="preserve">到着</t>
  </si>
  <si>
    <t xml:space="preserve">先方担当</t>
  </si>
  <si>
    <t xml:space="preserve">支払方法</t>
  </si>
  <si>
    <t xml:space="preserve">■ 宿泊</t>
  </si>
  <si>
    <t xml:space="preserve">■ 食事</t>
  </si>
  <si>
    <t xml:space="preserve">アレルギー</t>
  </si>
  <si>
    <t xml:space="preserve">■ 宴会・会場</t>
  </si>
  <si>
    <t xml:space="preserve">会場</t>
  </si>
  <si>
    <r>
      <rPr>
        <b val="true"/>
        <sz val="9"/>
        <color rgb="FF000000"/>
        <rFont val="WenQuanYi Zen Hei"/>
        <family val="2"/>
      </rPr>
      <t xml:space="preserve">設営</t>
    </r>
    <r>
      <rPr>
        <b val="true"/>
        <sz val="9"/>
        <color rgb="FF000000"/>
        <rFont val="Yu Gothic"/>
        <family val="0"/>
        <charset val="1"/>
      </rPr>
      <t xml:space="preserve">/</t>
    </r>
    <r>
      <rPr>
        <b val="true"/>
        <sz val="9"/>
        <color rgb="FF000000"/>
        <rFont val="WenQuanYi Zen Hei"/>
        <family val="2"/>
      </rPr>
      <t xml:space="preserve">撤収</t>
    </r>
  </si>
  <si>
    <t xml:space="preserve">レイアウト</t>
  </si>
  <si>
    <t xml:space="preserve">機材</t>
  </si>
  <si>
    <t xml:space="preserve">■ 送迎</t>
  </si>
  <si>
    <t xml:space="preserve">■ 料金・請求</t>
  </si>
  <si>
    <t xml:space="preserve">見積合計</t>
  </si>
  <si>
    <t xml:space="preserve">請求状況</t>
  </si>
  <si>
    <r>
      <rPr>
        <b val="true"/>
        <sz val="10"/>
        <color rgb="FF000000"/>
        <rFont val="WenQuanYi Zen Hei"/>
        <family val="2"/>
      </rPr>
      <t xml:space="preserve">■ 部署確認欄</t>
    </r>
    <r>
      <rPr>
        <b val="true"/>
        <sz val="10"/>
        <color rgb="FF000000"/>
        <rFont val="Yu Gothic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内容確認したらサイン</t>
    </r>
    <r>
      <rPr>
        <b val="true"/>
        <sz val="10"/>
        <color rgb="FF000000"/>
        <rFont val="Yu Gothic"/>
        <family val="0"/>
        <charset val="1"/>
      </rPr>
      <t xml:space="preserve">)</t>
    </r>
  </si>
  <si>
    <t xml:space="preserve">フロント</t>
  </si>
  <si>
    <t xml:space="preserve">予約</t>
  </si>
  <si>
    <t xml:space="preserve">セールス</t>
  </si>
  <si>
    <t xml:space="preserve">調理</t>
  </si>
  <si>
    <t xml:space="preserve">施設</t>
  </si>
  <si>
    <t xml:space="preserve">備考</t>
  </si>
  <si>
    <t xml:space="preserve">■ 特記事項・引き継ぎメモ</t>
  </si>
  <si>
    <t xml:space="preserve">御 見 積 書</t>
  </si>
  <si>
    <t xml:space="preserve">【ロゴ】</t>
  </si>
  <si>
    <t xml:space="preserve">下記のとおりお見積り申し上げます。</t>
  </si>
  <si>
    <r>
      <rPr>
        <sz val="8"/>
        <color rgb="FF000000"/>
        <rFont val="WenQuanYi Zen Hei"/>
        <family val="2"/>
      </rPr>
      <t xml:space="preserve">担当</t>
    </r>
    <r>
      <rPr>
        <sz val="8"/>
        <color rgb="FF000000"/>
        <rFont val="Yu Gothic"/>
        <family val="0"/>
        <charset val="1"/>
      </rPr>
      <t xml:space="preserve">:</t>
    </r>
  </si>
  <si>
    <t xml:space="preserve">件名</t>
  </si>
  <si>
    <r>
      <rPr>
        <b val="true"/>
        <sz val="10"/>
        <color rgb="FF000000"/>
        <rFont val="WenQuanYi Zen Hei"/>
        <family val="2"/>
      </rPr>
      <t xml:space="preserve">御見積合計</t>
    </r>
    <r>
      <rPr>
        <b val="true"/>
        <sz val="10"/>
        <color rgb="FF000000"/>
        <rFont val="Yu Gothic"/>
        <family val="0"/>
        <charset val="1"/>
      </rPr>
      <t xml:space="preserve">(</t>
    </r>
    <r>
      <rPr>
        <b val="true"/>
        <sz val="10"/>
        <color rgb="FF000000"/>
        <rFont val="WenQuanYi Zen Hei"/>
        <family val="2"/>
      </rPr>
      <t xml:space="preserve">税込</t>
    </r>
    <r>
      <rPr>
        <b val="true"/>
        <sz val="10"/>
        <color rgb="FF000000"/>
        <rFont val="Yu Gothic"/>
        <family val="0"/>
        <charset val="1"/>
      </rPr>
      <t xml:space="preserve">)</t>
    </r>
  </si>
  <si>
    <t xml:space="preserve">ご利用期間</t>
  </si>
  <si>
    <t xml:space="preserve">ご利用人数</t>
  </si>
  <si>
    <t xml:space="preserve">お支払方法</t>
  </si>
  <si>
    <t xml:space="preserve">No.</t>
  </si>
  <si>
    <t xml:space="preserve">項目</t>
  </si>
  <si>
    <t xml:space="preserve">単位</t>
  </si>
  <si>
    <t xml:space="preserve">金額</t>
  </si>
  <si>
    <t xml:space="preserve">小計</t>
  </si>
  <si>
    <r>
      <rPr>
        <sz val="9"/>
        <color rgb="FF000000"/>
        <rFont val="WenQuanYi Zen Hei"/>
        <family val="2"/>
      </rPr>
      <t xml:space="preserve">サービス料</t>
    </r>
    <r>
      <rPr>
        <sz val="9"/>
        <color rgb="FF000000"/>
        <rFont val="Yu Gothic"/>
        <family val="0"/>
        <charset val="1"/>
      </rPr>
      <t xml:space="preserve">(10%)</t>
    </r>
  </si>
  <si>
    <r>
      <rPr>
        <sz val="9"/>
        <color rgb="FF000000"/>
        <rFont val="WenQuanYi Zen Hei"/>
        <family val="2"/>
      </rPr>
      <t xml:space="preserve">消費税</t>
    </r>
    <r>
      <rPr>
        <sz val="9"/>
        <color rgb="FF000000"/>
        <rFont val="Yu Gothic"/>
        <family val="0"/>
        <charset val="1"/>
      </rPr>
      <t xml:space="preserve">(10%)</t>
    </r>
  </si>
  <si>
    <r>
      <rPr>
        <sz val="8"/>
        <color rgb="FF888888"/>
        <rFont val="WenQuanYi Zen Hei"/>
        <family val="2"/>
      </rPr>
      <t xml:space="preserve">※入湯税</t>
    </r>
    <r>
      <rPr>
        <sz val="8"/>
        <color rgb="FF888888"/>
        <rFont val="Yu Gothic"/>
        <family val="0"/>
        <charset val="1"/>
      </rPr>
      <t xml:space="preserve">=150</t>
    </r>
    <r>
      <rPr>
        <sz val="8"/>
        <color rgb="FF888888"/>
        <rFont val="WenQuanYi Zen Hei"/>
        <family val="2"/>
      </rPr>
      <t xml:space="preserve">円</t>
    </r>
    <r>
      <rPr>
        <sz val="8"/>
        <color rgb="FF888888"/>
        <rFont val="Yu Gothic"/>
        <family val="0"/>
        <charset val="1"/>
      </rPr>
      <t xml:space="preserve">×</t>
    </r>
    <r>
      <rPr>
        <sz val="8"/>
        <color rgb="FF888888"/>
        <rFont val="WenQuanYi Zen Hei"/>
        <family val="2"/>
      </rPr>
      <t xml:space="preserve">宿泊人数</t>
    </r>
    <r>
      <rPr>
        <sz val="8"/>
        <color rgb="FF888888"/>
        <rFont val="Yu Gothic"/>
        <family val="0"/>
        <charset val="1"/>
      </rPr>
      <t xml:space="preserve">×</t>
    </r>
    <r>
      <rPr>
        <sz val="8"/>
        <color rgb="FF888888"/>
        <rFont val="WenQuanYi Zen Hei"/>
        <family val="2"/>
      </rPr>
      <t xml:space="preserve">泊数</t>
    </r>
    <r>
      <rPr>
        <sz val="8"/>
        <color rgb="FF888888"/>
        <rFont val="Yu Gothic"/>
        <family val="0"/>
        <charset val="1"/>
      </rPr>
      <t xml:space="preserve">(</t>
    </r>
    <r>
      <rPr>
        <sz val="8"/>
        <color rgb="FF888888"/>
        <rFont val="WenQuanYi Zen Hei"/>
        <family val="2"/>
      </rPr>
      <t xml:space="preserve">入力シートで</t>
    </r>
    <r>
      <rPr>
        <sz val="8"/>
        <color rgb="FF888888"/>
        <rFont val="Yu Gothic"/>
        <family val="0"/>
        <charset val="1"/>
      </rPr>
      <t xml:space="preserve">)</t>
    </r>
  </si>
  <si>
    <t xml:space="preserve">入湯税</t>
  </si>
  <si>
    <t xml:space="preserve">お値引き</t>
  </si>
  <si>
    <r>
      <rPr>
        <b val="true"/>
        <sz val="9"/>
        <color rgb="FF000000"/>
        <rFont val="WenQuanYi Zen Hei"/>
        <family val="2"/>
      </rPr>
      <t xml:space="preserve">御見積合計</t>
    </r>
    <r>
      <rPr>
        <b val="true"/>
        <sz val="9"/>
        <color rgb="FF000000"/>
        <rFont val="Yu Gothic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税込</t>
    </r>
    <r>
      <rPr>
        <b val="true"/>
        <sz val="9"/>
        <color rgb="FF000000"/>
        <rFont val="Yu Gothic"/>
        <family val="0"/>
        <charset val="1"/>
      </rPr>
      <t xml:space="preserve">)</t>
    </r>
  </si>
  <si>
    <r>
      <rPr>
        <sz val="8"/>
        <color rgb="FF666666"/>
        <rFont val="WenQuanYi Zen Hei"/>
        <family val="2"/>
      </rPr>
      <t xml:space="preserve">※このシートは自動生成</t>
    </r>
    <r>
      <rPr>
        <sz val="8"/>
        <color rgb="FF666666"/>
        <rFont val="Yu Gothic"/>
        <family val="0"/>
        <charset val="1"/>
      </rPr>
      <t xml:space="preserve">(</t>
    </r>
    <r>
      <rPr>
        <sz val="8"/>
        <color rgb="FF666666"/>
        <rFont val="WenQuanYi Zen Hei"/>
        <family val="2"/>
      </rPr>
      <t xml:space="preserve">緑セル</t>
    </r>
    <r>
      <rPr>
        <sz val="8"/>
        <color rgb="FF666666"/>
        <rFont val="Yu Gothic"/>
        <family val="0"/>
        <charset val="1"/>
      </rPr>
      <t xml:space="preserve">)</t>
    </r>
    <r>
      <rPr>
        <sz val="8"/>
        <color rgb="FF666666"/>
        <rFont val="WenQuanYi Zen Hei"/>
        <family val="2"/>
      </rPr>
      <t xml:space="preserve">。個別調整は備考欄</t>
    </r>
    <r>
      <rPr>
        <sz val="8"/>
        <color rgb="FF666666"/>
        <rFont val="Yu Gothic"/>
        <family val="0"/>
        <charset val="1"/>
      </rPr>
      <t xml:space="preserve">(</t>
    </r>
    <r>
      <rPr>
        <sz val="8"/>
        <color rgb="FF666666"/>
        <rFont val="WenQuanYi Zen Hei"/>
        <family val="2"/>
      </rPr>
      <t xml:space="preserve">黄色</t>
    </r>
    <r>
      <rPr>
        <sz val="8"/>
        <color rgb="FF666666"/>
        <rFont val="Yu Gothic"/>
        <family val="0"/>
        <charset val="1"/>
      </rPr>
      <t xml:space="preserve">)</t>
    </r>
    <r>
      <rPr>
        <sz val="8"/>
        <color rgb="FF666666"/>
        <rFont val="WenQuanYi Zen Hei"/>
        <family val="2"/>
      </rPr>
      <t xml:space="preserve">か、値を直接上書きしてください。</t>
    </r>
  </si>
  <si>
    <t xml:space="preserve">明細項目</t>
  </si>
  <si>
    <r>
      <rPr>
        <b val="true"/>
        <sz val="9"/>
        <color rgb="FF000000"/>
        <rFont val="WenQuanYi Zen Hei"/>
        <family val="2"/>
      </rPr>
      <t xml:space="preserve">▼ホテル情報</t>
    </r>
    <r>
      <rPr>
        <b val="true"/>
        <sz val="9"/>
        <color rgb="FF000000"/>
        <rFont val="Yu Gothic"/>
        <family val="0"/>
        <charset val="1"/>
      </rPr>
      <t xml:space="preserve">(</t>
    </r>
    <r>
      <rPr>
        <b val="true"/>
        <sz val="9"/>
        <color rgb="FF000000"/>
        <rFont val="WenQuanYi Zen Hei"/>
        <family val="2"/>
      </rPr>
      <t xml:space="preserve">見積書の発行者欄に入ります</t>
    </r>
    <r>
      <rPr>
        <b val="true"/>
        <sz val="9"/>
        <color rgb="FF000000"/>
        <rFont val="Yu Gothic"/>
        <family val="0"/>
        <charset val="1"/>
      </rPr>
      <t xml:space="preserve">)</t>
    </r>
  </si>
  <si>
    <t xml:space="preserve">引合</t>
  </si>
  <si>
    <t xml:space="preserve">現地現金</t>
  </si>
  <si>
    <t xml:space="preserve">シアター</t>
  </si>
  <si>
    <t xml:space="preserve">ホテル名</t>
  </si>
  <si>
    <r>
      <rPr>
        <sz val="9"/>
        <color rgb="FF000000"/>
        <rFont val="Yu Gothic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ホテル名を入力</t>
    </r>
    <r>
      <rPr>
        <sz val="9"/>
        <color rgb="FF000000"/>
        <rFont val="Yu Gothic"/>
        <family val="0"/>
        <charset val="1"/>
      </rPr>
      <t xml:space="preserve">)</t>
    </r>
  </si>
  <si>
    <t xml:space="preserve">仮予約</t>
  </si>
  <si>
    <t xml:space="preserve">現地カード</t>
  </si>
  <si>
    <t xml:space="preserve">亀の間</t>
  </si>
  <si>
    <t xml:space="preserve">スクール</t>
  </si>
  <si>
    <r>
      <rPr>
        <b val="true"/>
        <sz val="9"/>
        <color rgb="FF000000"/>
        <rFont val="WenQuanYi Zen Hei"/>
        <family val="2"/>
      </rPr>
      <t xml:space="preserve">住所・</t>
    </r>
    <r>
      <rPr>
        <b val="true"/>
        <sz val="9"/>
        <color rgb="FF000000"/>
        <rFont val="Yu Gothic"/>
        <family val="0"/>
        <charset val="1"/>
      </rPr>
      <t xml:space="preserve">TEL</t>
    </r>
  </si>
  <si>
    <r>
      <rPr>
        <sz val="9"/>
        <color rgb="FF000000"/>
        <rFont val="Yu Gothic"/>
        <family val="0"/>
        <charset val="1"/>
      </rPr>
      <t xml:space="preserve">(</t>
    </r>
    <r>
      <rPr>
        <sz val="9"/>
        <color rgb="FF000000"/>
        <rFont val="WenQuanYi Zen Hei"/>
        <family val="2"/>
      </rPr>
      <t xml:space="preserve">住所・</t>
    </r>
    <r>
      <rPr>
        <sz val="9"/>
        <color rgb="FF000000"/>
        <rFont val="Yu Gothic"/>
        <family val="0"/>
        <charset val="1"/>
      </rPr>
      <t xml:space="preserve">TEL</t>
    </r>
    <r>
      <rPr>
        <sz val="9"/>
        <color rgb="FF000000"/>
        <rFont val="WenQuanYi Zen Hei"/>
        <family val="2"/>
      </rPr>
      <t xml:space="preserve">を入力</t>
    </r>
    <r>
      <rPr>
        <sz val="9"/>
        <color rgb="FF000000"/>
        <rFont val="Yu Gothic"/>
        <family val="0"/>
        <charset val="1"/>
      </rPr>
      <t xml:space="preserve">)</t>
    </r>
  </si>
  <si>
    <t xml:space="preserve">レストラン</t>
  </si>
  <si>
    <t xml:space="preserve">インボイス番号</t>
  </si>
  <si>
    <t xml:space="preserve">T0000000000000</t>
  </si>
  <si>
    <t xml:space="preserve">実施済</t>
  </si>
  <si>
    <t xml:space="preserve">エージェント精算</t>
  </si>
  <si>
    <t xml:space="preserve">ラウンジ</t>
  </si>
  <si>
    <t xml:space="preserve">立食</t>
  </si>
  <si>
    <t xml:space="preserve">室</t>
  </si>
  <si>
    <t xml:space="preserve">担当者</t>
  </si>
  <si>
    <t xml:space="preserve">清水 祥太郎</t>
  </si>
  <si>
    <t xml:space="preserve">請求済</t>
  </si>
  <si>
    <t xml:space="preserve">多目的ホール</t>
  </si>
  <si>
    <t xml:space="preserve">その他</t>
  </si>
  <si>
    <t xml:space="preserve">個</t>
  </si>
  <si>
    <t xml:space="preserve">入金済</t>
  </si>
  <si>
    <t xml:space="preserve">本</t>
  </si>
  <si>
    <t xml:space="preserve">キャンセル</t>
  </si>
  <si>
    <t xml:space="preserve">選択肢はこの列を書き換えれば入力シートの▼リストに反映されます。行の追加は各列の続きに。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</si>
</sst>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yyyy/m/d"/>
    <numFmt numFmtId="166" formatCode="0"/>
    <numFmt numFmtId="167" formatCode="#,##0"/>
    <numFmt numFmtId="168" formatCode="\¥#,##0"/>
  </numFmts>
  <fonts count="2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WenQuanYi Zen Hei"/>
      <family val="2"/>
    </font>
    <font>
      <sz val="8"/>
      <color rgb="FF666666"/>
      <name val="WenQuanYi Zen Hei"/>
      <family val="2"/>
    </font>
    <font>
      <sz val="8"/>
      <color rgb="FF666666"/>
      <name val="Yu Gothic"/>
      <family val="0"/>
      <charset val="1"/>
    </font>
    <font>
      <b val="true"/>
      <sz val="10"/>
      <color rgb="FF000000"/>
      <name val="Yu Gothic"/>
      <family val="0"/>
      <charset val="1"/>
    </font>
    <font>
      <b val="true"/>
      <sz val="10"/>
      <color rgb="FF000000"/>
      <name val="WenQuanYi Zen Hei"/>
      <family val="2"/>
    </font>
    <font>
      <b val="true"/>
      <sz val="9"/>
      <color rgb="FF000000"/>
      <name val="WenQuanYi Zen Hei"/>
      <family val="2"/>
    </font>
    <font>
      <sz val="9"/>
      <color rgb="FF000000"/>
      <name val="WenQuanYi Zen Hei"/>
      <family val="2"/>
    </font>
    <font>
      <sz val="9"/>
      <color rgb="FF000000"/>
      <name val="Yu Gothic"/>
      <family val="0"/>
      <charset val="1"/>
    </font>
    <font>
      <b val="true"/>
      <sz val="9"/>
      <color rgb="FF000000"/>
      <name val="Yu Gothic"/>
      <family val="0"/>
      <charset val="1"/>
    </font>
    <font>
      <b val="true"/>
      <sz val="8"/>
      <color rgb="FF000000"/>
      <name val="WenQuanYi Zen Hei"/>
      <family val="2"/>
    </font>
    <font>
      <sz val="8.5"/>
      <color rgb="FF000000"/>
      <name val="WenQuanYi Zen Hei"/>
      <family val="2"/>
    </font>
    <font>
      <sz val="8.5"/>
      <color rgb="FF000000"/>
      <name val="Yu Gothic"/>
      <family val="0"/>
      <charset val="1"/>
    </font>
    <font>
      <b val="true"/>
      <sz val="15"/>
      <color rgb="FF000000"/>
      <name val="WenQuanYi Zen Hei"/>
      <family val="2"/>
    </font>
    <font>
      <sz val="8"/>
      <color rgb="FF000000"/>
      <name val="WenQuanYi Zen Hei"/>
      <family val="2"/>
    </font>
    <font>
      <b val="true"/>
      <sz val="11"/>
      <color rgb="FF000000"/>
      <name val="Yu Gothic"/>
      <family val="0"/>
      <charset val="1"/>
    </font>
    <font>
      <b val="true"/>
      <sz val="20"/>
      <color rgb="FF000000"/>
      <name val="WenQuanYi Zen Hei"/>
      <family val="2"/>
    </font>
    <font>
      <b val="true"/>
      <sz val="12"/>
      <color rgb="FF000000"/>
      <name val="WenQuanYi Zen Hei"/>
      <family val="2"/>
    </font>
    <font>
      <sz val="9"/>
      <color rgb="FFAAAAAA"/>
      <name val="WenQuanYi Zen Hei"/>
      <family val="2"/>
    </font>
    <font>
      <sz val="10"/>
      <color rgb="FF000000"/>
      <name val="WenQuanYi Zen Hei"/>
      <family val="2"/>
    </font>
    <font>
      <sz val="8"/>
      <color rgb="FF000000"/>
      <name val="Yu Gothic"/>
      <family val="0"/>
      <charset val="1"/>
    </font>
    <font>
      <sz val="10"/>
      <color rgb="FF000000"/>
      <name val="Yu Gothic"/>
      <family val="0"/>
      <charset val="1"/>
    </font>
    <font>
      <b val="true"/>
      <sz val="14"/>
      <color rgb="FF000000"/>
      <name val="Yu Gothic"/>
      <family val="0"/>
      <charset val="1"/>
    </font>
    <font>
      <sz val="8"/>
      <color rgb="FF888888"/>
      <name val="Yu Gothic"/>
      <family val="0"/>
      <charset val="1"/>
    </font>
    <font>
      <sz val="8"/>
      <color rgb="FF888888"/>
      <name val="WenQuanYi Zen Hei"/>
      <family val="2"/>
    </font>
  </fonts>
  <fills count="8">
    <fill>
      <patternFill patternType="none"/>
    </fill>
    <fill>
      <patternFill patternType="gray125"/>
    </fill>
    <fill>
      <patternFill patternType="solid">
        <fgColor rgb="FFD9E2EC"/>
        <bgColor rgb="FFE8F0E8"/>
      </patternFill>
    </fill>
    <fill>
      <patternFill patternType="solid">
        <fgColor rgb="FFEFEFEF"/>
        <bgColor rgb="FFF5F0E8"/>
      </patternFill>
    </fill>
    <fill>
      <patternFill patternType="solid">
        <fgColor rgb="FFFFF7CC"/>
        <bgColor rgb="FFF5F0E8"/>
      </patternFill>
    </fill>
    <fill>
      <patternFill patternType="solid">
        <fgColor rgb="FFE8F0E8"/>
        <bgColor rgb="FFEFEFEF"/>
      </patternFill>
    </fill>
    <fill>
      <patternFill patternType="solid">
        <fgColor rgb="FFFDE8E8"/>
        <bgColor rgb="FFF5F0E8"/>
      </patternFill>
    </fill>
    <fill>
      <patternFill patternType="solid">
        <fgColor rgb="FFF5F0E8"/>
        <bgColor rgb="FFEFEFE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99999"/>
      </left>
      <right/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 diagonalUp="false" diagonalDown="false">
      <left style="thin">
        <color rgb="FF999999"/>
      </left>
      <right/>
      <top style="thin">
        <color rgb="FF999999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5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19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7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3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25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1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8" fontId="11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18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4" borderId="3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5F0E8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2F6F4F"/>
      <rgbColor rgb="FFAAAAAA"/>
      <rgbColor rgb="FF888888"/>
      <rgbColor rgb="FF9999FF"/>
      <rgbColor rgb="FF993366"/>
      <rgbColor rgb="FFFFF7CC"/>
      <rgbColor rgb="FFE8F0E8"/>
      <rgbColor rgb="FF660066"/>
      <rgbColor rgb="FFFF8080"/>
      <rgbColor rgb="FF1F6FB4"/>
      <rgbColor rgb="FFD9E2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EFEF"/>
      <rgbColor rgb="FFCCFFCC"/>
      <rgbColor rgb="FFFDE8E8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F6F4F"/>
    <pageSetUpPr fitToPage="false"/>
  </sheetPr>
  <dimension ref="A1:E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32"/>
    <col collapsed="false" customWidth="true" hidden="false" outlineLevel="0" max="3" min="3" style="0" width="12"/>
    <col collapsed="false" customWidth="true" hidden="false" outlineLevel="0" max="4" min="4" style="0" width="8"/>
    <col collapsed="false" customWidth="true" hidden="false" outlineLevel="0" max="5" min="5" style="0" width="10"/>
  </cols>
  <sheetData>
    <row r="1" customFormat="false" ht="15" hidden="false" customHeight="false" outlineLevel="0" collapsed="false">
      <c r="A1" s="1" t="s">
        <v>0</v>
      </c>
      <c r="B1" s="1"/>
      <c r="C1" s="1"/>
      <c r="D1" s="1"/>
      <c r="E1" s="1"/>
    </row>
    <row r="2" customFormat="false" ht="11.9" hidden="false" customHeight="false" outlineLevel="0" collapsed="false">
      <c r="A2" s="2" t="s">
        <v>1</v>
      </c>
      <c r="B2" s="2"/>
      <c r="C2" s="2"/>
      <c r="D2" s="2"/>
      <c r="E2" s="2"/>
    </row>
    <row r="3" customFormat="false" ht="14.15" hidden="false" customHeight="false" outlineLevel="0" collapsed="false">
      <c r="A3" s="3" t="s">
        <v>2</v>
      </c>
      <c r="B3" s="3"/>
      <c r="C3" s="3"/>
      <c r="D3" s="3"/>
      <c r="E3" s="3"/>
    </row>
    <row r="4" customFormat="false" ht="15" hidden="false" customHeight="false" outlineLevel="0" collapsed="false">
      <c r="A4" s="4" t="s">
        <v>3</v>
      </c>
      <c r="B4" s="5" t="s">
        <v>4</v>
      </c>
      <c r="C4" s="5"/>
      <c r="D4" s="5"/>
      <c r="E4" s="5"/>
    </row>
    <row r="5" customFormat="false" ht="15" hidden="false" customHeight="false" outlineLevel="0" collapsed="false">
      <c r="A5" s="4" t="s">
        <v>5</v>
      </c>
      <c r="B5" s="5" t="s">
        <v>6</v>
      </c>
      <c r="C5" s="5"/>
      <c r="D5" s="5"/>
      <c r="E5" s="5"/>
    </row>
    <row r="6" customFormat="false" ht="15" hidden="false" customHeight="false" outlineLevel="0" collapsed="false">
      <c r="A6" s="4" t="s">
        <v>7</v>
      </c>
      <c r="B6" s="6" t="s">
        <v>8</v>
      </c>
      <c r="C6" s="6"/>
      <c r="D6" s="6"/>
      <c r="E6" s="6"/>
    </row>
    <row r="7" customFormat="false" ht="15" hidden="false" customHeight="false" outlineLevel="0" collapsed="false">
      <c r="A7" s="4" t="s">
        <v>9</v>
      </c>
      <c r="B7" s="5" t="s">
        <v>10</v>
      </c>
      <c r="C7" s="5"/>
      <c r="D7" s="5"/>
      <c r="E7" s="5"/>
    </row>
    <row r="8" customFormat="false" ht="15" hidden="false" customHeight="false" outlineLevel="0" collapsed="false">
      <c r="A8" s="4" t="s">
        <v>11</v>
      </c>
      <c r="B8" s="7" t="n">
        <v>46249</v>
      </c>
      <c r="C8" s="7"/>
      <c r="D8" s="7"/>
      <c r="E8" s="7"/>
    </row>
    <row r="9" customFormat="false" ht="15" hidden="false" customHeight="false" outlineLevel="0" collapsed="false">
      <c r="A9" s="4" t="s">
        <v>12</v>
      </c>
      <c r="B9" s="7" t="n">
        <v>46250</v>
      </c>
      <c r="C9" s="7"/>
      <c r="D9" s="7"/>
      <c r="E9" s="7"/>
    </row>
    <row r="10" customFormat="false" ht="15" hidden="false" customHeight="false" outlineLevel="0" collapsed="false">
      <c r="A10" s="4" t="s">
        <v>13</v>
      </c>
      <c r="B10" s="8" t="n">
        <v>40</v>
      </c>
      <c r="C10" s="8"/>
      <c r="D10" s="8"/>
      <c r="E10" s="8"/>
    </row>
    <row r="11" customFormat="false" ht="15" hidden="false" customHeight="false" outlineLevel="0" collapsed="false">
      <c r="A11" s="4" t="s">
        <v>14</v>
      </c>
      <c r="B11" s="5" t="s">
        <v>15</v>
      </c>
      <c r="C11" s="5"/>
      <c r="D11" s="5"/>
      <c r="E11" s="5"/>
    </row>
    <row r="12" customFormat="false" ht="15" hidden="false" customHeight="false" outlineLevel="0" collapsed="false">
      <c r="A12" s="4" t="s">
        <v>16</v>
      </c>
      <c r="B12" s="5" t="s">
        <v>17</v>
      </c>
      <c r="C12" s="5"/>
      <c r="D12" s="5"/>
      <c r="E12" s="5"/>
    </row>
    <row r="13" customFormat="false" ht="15" hidden="false" customHeight="false" outlineLevel="0" collapsed="false">
      <c r="A13" s="4" t="s">
        <v>18</v>
      </c>
      <c r="B13" s="5" t="s">
        <v>19</v>
      </c>
      <c r="C13" s="5"/>
      <c r="D13" s="5"/>
      <c r="E13" s="5"/>
    </row>
    <row r="14" customFormat="false" ht="15" hidden="false" customHeight="false" outlineLevel="0" collapsed="false">
      <c r="A14" s="4" t="s">
        <v>20</v>
      </c>
      <c r="B14" s="5" t="s">
        <v>21</v>
      </c>
      <c r="C14" s="5"/>
      <c r="D14" s="5"/>
      <c r="E14" s="5"/>
    </row>
    <row r="15" customFormat="false" ht="15" hidden="false" customHeight="false" outlineLevel="0" collapsed="false">
      <c r="A15" s="4" t="s">
        <v>22</v>
      </c>
      <c r="B15" s="6" t="s">
        <v>23</v>
      </c>
      <c r="C15" s="6"/>
      <c r="D15" s="6"/>
      <c r="E15" s="6"/>
    </row>
    <row r="16" customFormat="false" ht="15" hidden="false" customHeight="false" outlineLevel="0" collapsed="false">
      <c r="A16" s="4" t="s">
        <v>24</v>
      </c>
      <c r="B16" s="9" t="str">
        <f aca="false">IF(OR(B8="",B15=""),"",TEXT(B8,"mmdd")&amp;UPPER(B15)&amp;"01")</f>
        <v>0815TANA01</v>
      </c>
      <c r="C16" s="9"/>
      <c r="D16" s="9"/>
      <c r="E16" s="9"/>
    </row>
    <row r="17" customFormat="false" ht="15" hidden="false" customHeight="false" outlineLevel="0" collapsed="false">
      <c r="A17" s="4" t="s">
        <v>25</v>
      </c>
      <c r="B17" s="6" t="s">
        <v>26</v>
      </c>
      <c r="C17" s="6"/>
      <c r="D17" s="6"/>
      <c r="E17" s="6"/>
    </row>
    <row r="18" customFormat="false" ht="15" hidden="false" customHeight="false" outlineLevel="0" collapsed="false">
      <c r="A18" s="4" t="s">
        <v>27</v>
      </c>
      <c r="B18" s="7" t="n">
        <v>46220</v>
      </c>
      <c r="C18" s="7"/>
      <c r="D18" s="7"/>
      <c r="E18" s="7"/>
    </row>
    <row r="19" customFormat="false" ht="15" hidden="false" customHeight="false" outlineLevel="0" collapsed="false">
      <c r="A19" s="4" t="s">
        <v>28</v>
      </c>
      <c r="B19" s="5" t="s">
        <v>29</v>
      </c>
      <c r="C19" s="5"/>
      <c r="D19" s="5"/>
      <c r="E19" s="5"/>
    </row>
    <row r="20" customFormat="false" ht="15" hidden="false" customHeight="false" outlineLevel="0" collapsed="false">
      <c r="A20" s="4" t="s">
        <v>30</v>
      </c>
      <c r="B20" s="7" t="n">
        <v>46235</v>
      </c>
      <c r="C20" s="7"/>
      <c r="D20" s="7"/>
      <c r="E20" s="7"/>
    </row>
    <row r="21" customFormat="false" ht="14.15" hidden="false" customHeight="false" outlineLevel="0" collapsed="false">
      <c r="A21" s="3" t="s">
        <v>31</v>
      </c>
      <c r="B21" s="3"/>
      <c r="C21" s="3"/>
      <c r="D21" s="3"/>
      <c r="E21" s="3"/>
    </row>
    <row r="22" customFormat="false" ht="15" hidden="false" customHeight="false" outlineLevel="0" collapsed="false">
      <c r="A22" s="4" t="s">
        <v>32</v>
      </c>
      <c r="B22" s="5" t="s">
        <v>33</v>
      </c>
      <c r="C22" s="5"/>
      <c r="D22" s="5"/>
      <c r="E22" s="5"/>
    </row>
    <row r="23" customFormat="false" ht="15" hidden="false" customHeight="false" outlineLevel="0" collapsed="false">
      <c r="A23" s="4" t="s">
        <v>34</v>
      </c>
      <c r="B23" s="5" t="s">
        <v>35</v>
      </c>
      <c r="C23" s="5"/>
      <c r="D23" s="5"/>
      <c r="E23" s="5"/>
    </row>
    <row r="24" customFormat="false" ht="15" hidden="false" customHeight="false" outlineLevel="0" collapsed="false">
      <c r="A24" s="10" t="s">
        <v>36</v>
      </c>
      <c r="B24" s="6" t="s">
        <v>37</v>
      </c>
      <c r="C24" s="6"/>
      <c r="D24" s="6"/>
      <c r="E24" s="6"/>
    </row>
    <row r="25" customFormat="false" ht="15" hidden="false" customHeight="false" outlineLevel="0" collapsed="false">
      <c r="A25" s="4" t="s">
        <v>38</v>
      </c>
      <c r="B25" s="6" t="s">
        <v>39</v>
      </c>
      <c r="C25" s="6"/>
      <c r="D25" s="6"/>
      <c r="E25" s="6"/>
    </row>
    <row r="26" customFormat="false" ht="14.15" hidden="false" customHeight="false" outlineLevel="0" collapsed="false">
      <c r="A26" s="3" t="s">
        <v>40</v>
      </c>
      <c r="B26" s="3"/>
      <c r="C26" s="3"/>
      <c r="D26" s="3"/>
      <c r="E26" s="3"/>
    </row>
    <row r="27" customFormat="false" ht="13.4" hidden="false" customHeight="false" outlineLevel="0" collapsed="false">
      <c r="A27" s="4" t="s">
        <v>41</v>
      </c>
      <c r="B27" s="6" t="s">
        <v>42</v>
      </c>
      <c r="C27" s="6"/>
      <c r="D27" s="6"/>
      <c r="E27" s="6"/>
    </row>
    <row r="28" customFormat="false" ht="13.4" hidden="false" customHeight="false" outlineLevel="0" collapsed="false">
      <c r="A28" s="4" t="s">
        <v>43</v>
      </c>
      <c r="B28" s="6" t="s">
        <v>44</v>
      </c>
      <c r="C28" s="6"/>
      <c r="D28" s="6"/>
      <c r="E28" s="6"/>
    </row>
    <row r="29" customFormat="false" ht="15" hidden="false" customHeight="false" outlineLevel="0" collapsed="false">
      <c r="A29" s="4" t="s">
        <v>45</v>
      </c>
      <c r="B29" s="5"/>
      <c r="C29" s="5"/>
      <c r="D29" s="5"/>
      <c r="E29" s="5"/>
    </row>
    <row r="30" customFormat="false" ht="13.4" hidden="false" customHeight="false" outlineLevel="0" collapsed="false">
      <c r="A30" s="4" t="s">
        <v>46</v>
      </c>
      <c r="B30" s="11" t="s">
        <v>47</v>
      </c>
      <c r="C30" s="11"/>
      <c r="D30" s="11"/>
      <c r="E30" s="11"/>
    </row>
    <row r="31" customFormat="false" ht="14.15" hidden="false" customHeight="false" outlineLevel="0" collapsed="false">
      <c r="A31" s="3" t="s">
        <v>48</v>
      </c>
      <c r="B31" s="3"/>
      <c r="C31" s="3"/>
      <c r="D31" s="3"/>
      <c r="E31" s="3"/>
    </row>
    <row r="32" customFormat="false" ht="15" hidden="false" customHeight="false" outlineLevel="0" collapsed="false">
      <c r="A32" s="4" t="s">
        <v>49</v>
      </c>
      <c r="B32" s="5" t="s">
        <v>50</v>
      </c>
      <c r="C32" s="5"/>
      <c r="D32" s="5"/>
      <c r="E32" s="5"/>
    </row>
    <row r="33" customFormat="false" ht="13.4" hidden="false" customHeight="false" outlineLevel="0" collapsed="false">
      <c r="A33" s="4" t="s">
        <v>51</v>
      </c>
      <c r="B33" s="6" t="s">
        <v>52</v>
      </c>
      <c r="C33" s="6"/>
      <c r="D33" s="6"/>
      <c r="E33" s="6"/>
    </row>
    <row r="34" customFormat="false" ht="15" hidden="false" customHeight="false" outlineLevel="0" collapsed="false">
      <c r="A34" s="4" t="s">
        <v>53</v>
      </c>
      <c r="B34" s="5" t="s">
        <v>54</v>
      </c>
      <c r="C34" s="5"/>
      <c r="D34" s="5"/>
      <c r="E34" s="5"/>
    </row>
    <row r="35" customFormat="false" ht="15" hidden="false" customHeight="false" outlineLevel="0" collapsed="false">
      <c r="A35" s="4" t="s">
        <v>55</v>
      </c>
      <c r="B35" s="5" t="s">
        <v>56</v>
      </c>
      <c r="C35" s="5"/>
      <c r="D35" s="5"/>
      <c r="E35" s="5"/>
    </row>
    <row r="36" customFormat="false" ht="15" hidden="false" customHeight="false" outlineLevel="0" collapsed="false">
      <c r="A36" s="4" t="s">
        <v>57</v>
      </c>
      <c r="B36" s="6" t="s">
        <v>58</v>
      </c>
      <c r="C36" s="6"/>
      <c r="D36" s="6"/>
      <c r="E36" s="6"/>
    </row>
    <row r="37" customFormat="false" ht="14.15" hidden="false" customHeight="false" outlineLevel="0" collapsed="false">
      <c r="A37" s="3" t="s">
        <v>59</v>
      </c>
      <c r="B37" s="3"/>
      <c r="C37" s="3"/>
      <c r="D37" s="3"/>
      <c r="E37" s="3"/>
    </row>
    <row r="38" customFormat="false" ht="15" hidden="false" customHeight="false" outlineLevel="0" collapsed="false">
      <c r="A38" s="4" t="s">
        <v>60</v>
      </c>
      <c r="B38" s="6" t="s">
        <v>61</v>
      </c>
      <c r="C38" s="6"/>
      <c r="D38" s="6"/>
      <c r="E38" s="6"/>
    </row>
    <row r="39" customFormat="false" ht="15" hidden="false" customHeight="false" outlineLevel="0" collapsed="false">
      <c r="A39" s="4" t="s">
        <v>62</v>
      </c>
      <c r="B39" s="6" t="s">
        <v>63</v>
      </c>
      <c r="C39" s="6"/>
      <c r="D39" s="6"/>
      <c r="E39" s="6"/>
    </row>
    <row r="40" customFormat="false" ht="14.15" hidden="false" customHeight="false" outlineLevel="0" collapsed="false">
      <c r="A40" s="3" t="s">
        <v>64</v>
      </c>
      <c r="B40" s="3"/>
      <c r="C40" s="3"/>
      <c r="D40" s="3"/>
      <c r="E40" s="3"/>
    </row>
    <row r="41" customFormat="false" ht="15" hidden="false" customHeight="false" outlineLevel="0" collapsed="false">
      <c r="A41" s="12" t="s">
        <v>65</v>
      </c>
      <c r="B41" s="12" t="s">
        <v>66</v>
      </c>
      <c r="C41" s="12" t="s">
        <v>67</v>
      </c>
      <c r="D41" s="12" t="s">
        <v>68</v>
      </c>
      <c r="E41" s="12" t="s">
        <v>69</v>
      </c>
    </row>
    <row r="42" customFormat="false" ht="15" hidden="false" customHeight="false" outlineLevel="0" collapsed="false">
      <c r="A42" s="13" t="s">
        <v>70</v>
      </c>
      <c r="B42" s="14" t="s">
        <v>71</v>
      </c>
      <c r="C42" s="15" t="n">
        <v>15000</v>
      </c>
      <c r="D42" s="16" t="n">
        <v>40</v>
      </c>
      <c r="E42" s="13" t="s">
        <v>72</v>
      </c>
    </row>
    <row r="43" customFormat="false" ht="15" hidden="false" customHeight="false" outlineLevel="0" collapsed="false">
      <c r="A43" s="13" t="s">
        <v>73</v>
      </c>
      <c r="B43" s="17" t="s">
        <v>74</v>
      </c>
      <c r="C43" s="15" t="n">
        <v>50000</v>
      </c>
      <c r="D43" s="16" t="n">
        <v>1</v>
      </c>
      <c r="E43" s="13" t="s">
        <v>75</v>
      </c>
    </row>
    <row r="44" customFormat="false" ht="15" hidden="false" customHeight="false" outlineLevel="0" collapsed="false">
      <c r="A44" s="13" t="s">
        <v>76</v>
      </c>
      <c r="B44" s="17" t="s">
        <v>77</v>
      </c>
      <c r="C44" s="15" t="n">
        <v>2500</v>
      </c>
      <c r="D44" s="16" t="n">
        <v>40</v>
      </c>
      <c r="E44" s="13" t="s">
        <v>72</v>
      </c>
    </row>
    <row r="45" customFormat="false" ht="15" hidden="false" customHeight="false" outlineLevel="0" collapsed="false">
      <c r="A45" s="13" t="s">
        <v>78</v>
      </c>
      <c r="B45" s="17" t="s">
        <v>79</v>
      </c>
      <c r="C45" s="15" t="n">
        <v>30000</v>
      </c>
      <c r="D45" s="16" t="n">
        <v>2</v>
      </c>
      <c r="E45" s="13" t="s">
        <v>80</v>
      </c>
    </row>
    <row r="46" customFormat="false" ht="15" hidden="false" customHeight="false" outlineLevel="0" collapsed="false">
      <c r="A46" s="13"/>
      <c r="B46" s="17"/>
      <c r="C46" s="15"/>
      <c r="D46" s="16"/>
      <c r="E46" s="13"/>
    </row>
    <row r="47" customFormat="false" ht="15" hidden="false" customHeight="false" outlineLevel="0" collapsed="false">
      <c r="A47" s="13"/>
      <c r="B47" s="17"/>
      <c r="C47" s="15"/>
      <c r="D47" s="16"/>
      <c r="E47" s="13"/>
    </row>
    <row r="48" customFormat="false" ht="15" hidden="false" customHeight="false" outlineLevel="0" collapsed="false">
      <c r="A48" s="13"/>
      <c r="B48" s="17"/>
      <c r="C48" s="15"/>
      <c r="D48" s="16"/>
      <c r="E48" s="13"/>
    </row>
    <row r="49" customFormat="false" ht="15" hidden="false" customHeight="false" outlineLevel="0" collapsed="false">
      <c r="A49" s="13"/>
      <c r="B49" s="17"/>
      <c r="C49" s="15"/>
      <c r="D49" s="16"/>
      <c r="E49" s="13"/>
    </row>
    <row r="50" customFormat="false" ht="15" hidden="false" customHeight="false" outlineLevel="0" collapsed="false">
      <c r="A50" s="13"/>
      <c r="B50" s="17"/>
      <c r="C50" s="15"/>
      <c r="D50" s="16"/>
      <c r="E50" s="13"/>
    </row>
    <row r="51" customFormat="false" ht="15" hidden="false" customHeight="false" outlineLevel="0" collapsed="false">
      <c r="A51" s="13"/>
      <c r="B51" s="17"/>
      <c r="C51" s="15"/>
      <c r="D51" s="16"/>
      <c r="E51" s="13"/>
    </row>
    <row r="52" customFormat="false" ht="15" hidden="false" customHeight="false" outlineLevel="0" collapsed="false">
      <c r="A52" s="4" t="s">
        <v>81</v>
      </c>
      <c r="B52" s="18" t="n">
        <v>6000</v>
      </c>
      <c r="C52" s="18"/>
      <c r="D52" s="18"/>
      <c r="E52" s="18"/>
    </row>
    <row r="53" customFormat="false" ht="15" hidden="false" customHeight="false" outlineLevel="0" collapsed="false">
      <c r="A53" s="4" t="s">
        <v>82</v>
      </c>
      <c r="B53" s="18" t="n">
        <v>-10000</v>
      </c>
      <c r="C53" s="18"/>
      <c r="D53" s="18"/>
      <c r="E53" s="18"/>
    </row>
    <row r="54" customFormat="false" ht="14.15" hidden="false" customHeight="false" outlineLevel="0" collapsed="false">
      <c r="A54" s="3" t="s">
        <v>83</v>
      </c>
      <c r="B54" s="3"/>
      <c r="C54" s="3"/>
      <c r="D54" s="3"/>
      <c r="E54" s="3"/>
    </row>
    <row r="55" customFormat="false" ht="15" hidden="false" customHeight="true" outlineLevel="0" collapsed="false">
      <c r="A55" s="19" t="s">
        <v>84</v>
      </c>
      <c r="B55" s="19"/>
      <c r="C55" s="19"/>
      <c r="D55" s="19"/>
      <c r="E55" s="19"/>
    </row>
    <row r="56" customFormat="false" ht="15" hidden="false" customHeight="false" outlineLevel="0" collapsed="false">
      <c r="A56" s="19"/>
      <c r="B56" s="19"/>
      <c r="C56" s="19"/>
      <c r="D56" s="19"/>
      <c r="E56" s="19"/>
    </row>
    <row r="57" customFormat="false" ht="15" hidden="false" customHeight="false" outlineLevel="0" collapsed="false">
      <c r="A57" s="19"/>
      <c r="B57" s="19"/>
      <c r="C57" s="19"/>
      <c r="D57" s="19"/>
      <c r="E57" s="19"/>
    </row>
    <row r="58" customFormat="false" ht="15" hidden="false" customHeight="false" outlineLevel="0" collapsed="false">
      <c r="A58" s="19"/>
      <c r="B58" s="19"/>
      <c r="C58" s="19"/>
      <c r="D58" s="19"/>
      <c r="E58" s="19"/>
    </row>
    <row r="59" customFormat="false" ht="15" hidden="false" customHeight="false" outlineLevel="0" collapsed="false">
      <c r="A59" s="19"/>
      <c r="B59" s="19"/>
      <c r="C59" s="19"/>
      <c r="D59" s="19"/>
      <c r="E59" s="19"/>
    </row>
    <row r="60" customFormat="false" ht="15" hidden="false" customHeight="false" outlineLevel="0" collapsed="false">
      <c r="A60" s="19"/>
      <c r="B60" s="19"/>
      <c r="C60" s="19"/>
      <c r="D60" s="19"/>
      <c r="E60" s="19"/>
    </row>
    <row r="61" customFormat="false" ht="15" hidden="false" customHeight="false" outlineLevel="0" collapsed="false">
      <c r="A61" s="19"/>
      <c r="B61" s="19"/>
      <c r="C61" s="19"/>
      <c r="D61" s="19"/>
      <c r="E61" s="19"/>
    </row>
    <row r="62" customFormat="false" ht="15" hidden="false" customHeight="false" outlineLevel="0" collapsed="false">
      <c r="A62" s="19"/>
      <c r="B62" s="19"/>
      <c r="C62" s="19"/>
      <c r="D62" s="19"/>
      <c r="E62" s="19"/>
    </row>
  </sheetData>
  <mergeCells count="44">
    <mergeCell ref="A1:E1"/>
    <mergeCell ref="A2:E2"/>
    <mergeCell ref="A3:E3"/>
    <mergeCell ref="B4:E4"/>
    <mergeCell ref="B5:E5"/>
    <mergeCell ref="B6:E6"/>
    <mergeCell ref="B7:E7"/>
    <mergeCell ref="B8:E8"/>
    <mergeCell ref="B9:E9"/>
    <mergeCell ref="B10:E10"/>
    <mergeCell ref="B11:E11"/>
    <mergeCell ref="B12:E12"/>
    <mergeCell ref="B13:E13"/>
    <mergeCell ref="B14:E14"/>
    <mergeCell ref="B15:E15"/>
    <mergeCell ref="B16:E16"/>
    <mergeCell ref="B17:E17"/>
    <mergeCell ref="B18:E18"/>
    <mergeCell ref="B19:E19"/>
    <mergeCell ref="B20:E20"/>
    <mergeCell ref="A21:E21"/>
    <mergeCell ref="B22:E22"/>
    <mergeCell ref="B23:E23"/>
    <mergeCell ref="B24:E24"/>
    <mergeCell ref="B25:E25"/>
    <mergeCell ref="A26:E26"/>
    <mergeCell ref="B27:E27"/>
    <mergeCell ref="B28:E28"/>
    <mergeCell ref="B29:E29"/>
    <mergeCell ref="B30:E30"/>
    <mergeCell ref="A31:E31"/>
    <mergeCell ref="B32:E32"/>
    <mergeCell ref="B33:E33"/>
    <mergeCell ref="B34:E34"/>
    <mergeCell ref="B35:E35"/>
    <mergeCell ref="B36:E36"/>
    <mergeCell ref="A37:E37"/>
    <mergeCell ref="B38:E38"/>
    <mergeCell ref="B39:E39"/>
    <mergeCell ref="A40:E40"/>
    <mergeCell ref="B52:E52"/>
    <mergeCell ref="B53:E53"/>
    <mergeCell ref="A54:E54"/>
    <mergeCell ref="A55:E62"/>
  </mergeCells>
  <dataValidations count="7">
    <dataValidation allowBlank="true" errorStyle="stop" operator="between" showDropDown="false" showErrorMessage="false" showInputMessage="false" sqref="B13" type="list">
      <formula1>マスタ!$A$2:$A$8</formula1>
      <formula2>0</formula2>
    </dataValidation>
    <dataValidation allowBlank="true" errorStyle="stop" operator="between" showDropDown="false" showErrorMessage="false" showInputMessage="false" sqref="B19" type="list">
      <formula1>マスタ!$B$2:$B$5</formula1>
      <formula2>0</formula2>
    </dataValidation>
    <dataValidation allowBlank="true" errorStyle="stop" operator="between" showDropDown="false" showErrorMessage="false" showInputMessage="false" sqref="B22" type="list">
      <formula1>"宿泊あり,日帰り"</formula1>
      <formula2>0</formula2>
    </dataValidation>
    <dataValidation allowBlank="true" errorStyle="stop" operator="between" showDropDown="false" showErrorMessage="false" showInputMessage="false" sqref="B32" type="list">
      <formula1>マスタ!$C$2:$C$6</formula1>
      <formula2>0</formula2>
    </dataValidation>
    <dataValidation allowBlank="true" errorStyle="stop" operator="between" showDropDown="false" showErrorMessage="false" showInputMessage="false" sqref="B34" type="list">
      <formula1>マスタ!$D$2:$D$5</formula1>
      <formula2>0</formula2>
    </dataValidation>
    <dataValidation allowBlank="true" errorStyle="stop" operator="between" showDropDown="false" showErrorMessage="false" showInputMessage="false" sqref="A42:A51" type="list">
      <formula1>マスタ!$E$2:$E$6</formula1>
      <formula2>0</formula2>
    </dataValidation>
    <dataValidation allowBlank="true" errorStyle="stop" operator="between" showDropDown="false" showErrorMessage="false" showInputMessage="false" sqref="E42:E51" type="list">
      <formula1>マスタ!$F$2:$F$7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B4"/>
    <pageSetUpPr fitToPage="true"/>
  </sheetPr>
  <dimension ref="A1:G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4" min="2" style="0" width="13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5"/>
  </cols>
  <sheetData>
    <row r="1" customFormat="false" ht="15" hidden="false" customHeight="false" outlineLevel="0" collapsed="false">
      <c r="A1" s="20" t="s">
        <v>85</v>
      </c>
      <c r="B1" s="20"/>
      <c r="C1" s="20"/>
      <c r="D1" s="20"/>
      <c r="E1" s="21" t="s">
        <v>24</v>
      </c>
      <c r="F1" s="22" t="str">
        <f aca="false">IF(入力!B16="","",入力!B16)</f>
        <v>0815TANA01</v>
      </c>
      <c r="G1" s="22"/>
    </row>
    <row r="2" customFormat="false" ht="15" hidden="false" customHeight="false" outlineLevel="0" collapsed="false">
      <c r="A2" s="20"/>
      <c r="B2" s="20"/>
      <c r="C2" s="20"/>
      <c r="D2" s="20"/>
      <c r="E2" s="21" t="s">
        <v>27</v>
      </c>
      <c r="F2" s="23" t="n">
        <f aca="false">IF(入力!B18="","",入力!B18)</f>
        <v>46220</v>
      </c>
      <c r="G2" s="23"/>
    </row>
    <row r="3" customFormat="false" ht="15" hidden="false" customHeight="false" outlineLevel="0" collapsed="false">
      <c r="A3" s="4" t="s">
        <v>86</v>
      </c>
      <c r="B3" s="24" t="str">
        <f aca="false">IF(入力!B13="","",入力!B13)</f>
        <v>確定</v>
      </c>
      <c r="C3" s="24"/>
      <c r="D3" s="24"/>
      <c r="E3" s="4" t="s">
        <v>20</v>
      </c>
      <c r="F3" s="24" t="str">
        <f aca="false">IF(入力!B14="","",入力!B14)</f>
        <v>セールス 清水</v>
      </c>
      <c r="G3" s="24"/>
    </row>
    <row r="4" customFormat="false" ht="15" hidden="false" customHeight="false" outlineLevel="0" collapsed="false">
      <c r="A4" s="25" t="s">
        <v>87</v>
      </c>
      <c r="B4" s="25"/>
      <c r="C4" s="25"/>
      <c r="D4" s="25"/>
      <c r="E4" s="25"/>
      <c r="F4" s="25"/>
      <c r="G4" s="25"/>
    </row>
    <row r="5" customFormat="false" ht="15" hidden="false" customHeight="false" outlineLevel="0" collapsed="false">
      <c r="A5" s="4" t="s">
        <v>3</v>
      </c>
      <c r="B5" s="24" t="str">
        <f aca="false">IF(入力!B4="","",入力!B4)</f>
        <v>田中産業株式会社</v>
      </c>
      <c r="C5" s="24"/>
      <c r="D5" s="24"/>
      <c r="E5" s="4" t="s">
        <v>88</v>
      </c>
      <c r="F5" s="24" t="str">
        <f aca="false">IF(入力!B8="","",TEXT(入力!B8,"m/d")&amp;" 〜 "&amp;IF(入力!B9="","",TEXT(入力!B9,"m/d")))</f>
        <v>8/15 〜 8/16</v>
      </c>
      <c r="G5" s="24"/>
    </row>
    <row r="6" customFormat="false" ht="15" hidden="false" customHeight="false" outlineLevel="0" collapsed="false">
      <c r="A6" s="4" t="s">
        <v>5</v>
      </c>
      <c r="B6" s="24" t="str">
        <f aca="false">IF(入力!B5="","",入力!B5)</f>
        <v>田中産業 親睦会ご一行様</v>
      </c>
      <c r="C6" s="24"/>
      <c r="D6" s="24"/>
      <c r="E6" s="4" t="s">
        <v>89</v>
      </c>
      <c r="F6" s="24" t="str">
        <f aca="false">IF(入力!B10="","",入力!B10&amp;"名 "&amp;入力!B11)</f>
        <v>40名 大人40名</v>
      </c>
      <c r="G6" s="24"/>
    </row>
    <row r="7" customFormat="false" ht="15" hidden="false" customHeight="false" outlineLevel="0" collapsed="false">
      <c r="A7" s="4" t="s">
        <v>7</v>
      </c>
      <c r="B7" s="24" t="str">
        <f aca="false">IF(入力!B6="","",入力!B6)</f>
        <v>2026年度 社員親睦旅行</v>
      </c>
      <c r="C7" s="24"/>
      <c r="D7" s="24"/>
      <c r="E7" s="4" t="s">
        <v>90</v>
      </c>
      <c r="F7" s="24" t="str">
        <f aca="false">IF(入力!B12="","",入力!B12)</f>
        <v>貸切バス 15:00着予定</v>
      </c>
      <c r="G7" s="24"/>
    </row>
    <row r="8" customFormat="false" ht="15" hidden="false" customHeight="false" outlineLevel="0" collapsed="false">
      <c r="A8" s="4" t="s">
        <v>91</v>
      </c>
      <c r="B8" s="24" t="str">
        <f aca="false">IF(入力!B7="","",入力!B7)</f>
        <v>田中 一郎 様(090-0000-0000)</v>
      </c>
      <c r="C8" s="24"/>
      <c r="D8" s="24"/>
      <c r="E8" s="4" t="s">
        <v>92</v>
      </c>
      <c r="F8" s="24" t="str">
        <f aca="false">IF(入力!B19="","",入力!B19)</f>
        <v>後日振込</v>
      </c>
      <c r="G8" s="24"/>
    </row>
    <row r="9" customFormat="false" ht="15" hidden="false" customHeight="false" outlineLevel="0" collapsed="false">
      <c r="A9" s="25" t="s">
        <v>93</v>
      </c>
      <c r="B9" s="25"/>
      <c r="C9" s="25"/>
      <c r="D9" s="25"/>
      <c r="E9" s="25"/>
      <c r="F9" s="25"/>
      <c r="G9" s="25"/>
    </row>
    <row r="10" customFormat="false" ht="15" hidden="false" customHeight="false" outlineLevel="0" collapsed="false">
      <c r="A10" s="4" t="s">
        <v>34</v>
      </c>
      <c r="B10" s="24" t="str">
        <f aca="false">IF(入力!B23="","",入力!B23)</f>
        <v>和室×15室(1室2〜3名)</v>
      </c>
      <c r="C10" s="24"/>
      <c r="D10" s="24"/>
      <c r="E10" s="10" t="s">
        <v>36</v>
      </c>
      <c r="F10" s="24" t="str">
        <f aca="false">IF(入力!B24="","",入力!B24)</f>
        <v>15:00 / 10:00</v>
      </c>
      <c r="G10" s="24"/>
    </row>
    <row r="11" customFormat="false" ht="15" hidden="false" customHeight="false" outlineLevel="0" collapsed="false">
      <c r="A11" s="4" t="s">
        <v>38</v>
      </c>
      <c r="B11" s="26" t="str">
        <f aca="false">IF(入力!B25="","",入力!B25)</f>
        <v>1階希望3名(車椅子貸出1名)</v>
      </c>
      <c r="C11" s="26"/>
      <c r="D11" s="26"/>
      <c r="E11" s="26"/>
      <c r="F11" s="26"/>
      <c r="G11" s="26"/>
    </row>
    <row r="12" customFormat="false" ht="15" hidden="false" customHeight="false" outlineLevel="0" collapsed="false">
      <c r="A12" s="25" t="s">
        <v>94</v>
      </c>
      <c r="B12" s="25"/>
      <c r="C12" s="25"/>
      <c r="D12" s="25"/>
      <c r="E12" s="25"/>
      <c r="F12" s="25"/>
      <c r="G12" s="25"/>
    </row>
    <row r="13" customFormat="false" ht="13.4" hidden="false" customHeight="false" outlineLevel="0" collapsed="false">
      <c r="A13" s="4" t="s">
        <v>41</v>
      </c>
      <c r="B13" s="26" t="str">
        <f aca="false">IF(入力!B27="","",入力!B27)</f>
        <v>8/15 夕食 18:00 鶴の間 宴会コース+飲放90分 40名</v>
      </c>
      <c r="C13" s="26"/>
      <c r="D13" s="26"/>
      <c r="E13" s="26"/>
      <c r="F13" s="26"/>
      <c r="G13" s="26"/>
    </row>
    <row r="14" customFormat="false" ht="13.4" hidden="false" customHeight="false" outlineLevel="0" collapsed="false">
      <c r="A14" s="4" t="s">
        <v>43</v>
      </c>
      <c r="B14" s="26" t="str">
        <f aca="false">IF(入力!B28="","",入力!B28)</f>
        <v>8/16 朝食 7:00 レストラン 和洋バイキング 40名</v>
      </c>
      <c r="C14" s="26"/>
      <c r="D14" s="26"/>
      <c r="E14" s="26"/>
      <c r="F14" s="26"/>
      <c r="G14" s="26"/>
    </row>
    <row r="15" customFormat="false" ht="15" hidden="false" customHeight="false" outlineLevel="0" collapsed="false">
      <c r="A15" s="4" t="s">
        <v>45</v>
      </c>
      <c r="B15" s="26" t="str">
        <f aca="false">IF(入力!B29="","",入力!B29)</f>
        <v/>
      </c>
      <c r="C15" s="26"/>
      <c r="D15" s="26"/>
      <c r="E15" s="26"/>
      <c r="F15" s="26"/>
      <c r="G15" s="26"/>
    </row>
    <row r="16" customFormat="false" ht="15" hidden="false" customHeight="false" outlineLevel="0" collapsed="false">
      <c r="A16" s="4" t="s">
        <v>95</v>
      </c>
      <c r="B16" s="11" t="str">
        <f aca="false">IF(入力!B30="","",入力!B30)</f>
        <v>甲殻類3名(名簿は料飲へ送付済)/対応: 個別メニュー</v>
      </c>
      <c r="C16" s="11"/>
      <c r="D16" s="11"/>
      <c r="E16" s="11"/>
      <c r="F16" s="11"/>
      <c r="G16" s="11"/>
    </row>
    <row r="17" customFormat="false" ht="15" hidden="false" customHeight="false" outlineLevel="0" collapsed="false">
      <c r="A17" s="25" t="s">
        <v>96</v>
      </c>
      <c r="B17" s="25"/>
      <c r="C17" s="25"/>
      <c r="D17" s="25"/>
      <c r="E17" s="25"/>
      <c r="F17" s="25"/>
      <c r="G17" s="25"/>
    </row>
    <row r="18" customFormat="false" ht="15" hidden="false" customHeight="false" outlineLevel="0" collapsed="false">
      <c r="A18" s="4" t="s">
        <v>97</v>
      </c>
      <c r="B18" s="24" t="str">
        <f aca="false">IF(入力!B32="","",入力!B32)</f>
        <v>鶴の間</v>
      </c>
      <c r="C18" s="24"/>
      <c r="D18" s="24"/>
      <c r="E18" s="4" t="s">
        <v>98</v>
      </c>
      <c r="F18" s="24" t="str">
        <f aca="false">IF(入力!B33="","",入力!B33)</f>
        <v>17:00設営 / 18:00-20:00 / 21:00撤収</v>
      </c>
      <c r="G18" s="24"/>
    </row>
    <row r="19" customFormat="false" ht="15" hidden="false" customHeight="false" outlineLevel="0" collapsed="false">
      <c r="A19" s="4" t="s">
        <v>99</v>
      </c>
      <c r="B19" s="24" t="str">
        <f aca="false">IF(入力!B34="","",入力!B34)</f>
        <v>円卓</v>
      </c>
      <c r="C19" s="24"/>
      <c r="D19" s="24"/>
      <c r="E19" s="4" t="s">
        <v>100</v>
      </c>
      <c r="F19" s="24" t="str">
        <f aca="false">IF(入力!B35="","",入力!B35)</f>
        <v>マイク2・プロジェクター</v>
      </c>
      <c r="G19" s="24"/>
    </row>
    <row r="20" customFormat="false" ht="15" hidden="false" customHeight="false" outlineLevel="0" collapsed="false">
      <c r="A20" s="4" t="s">
        <v>57</v>
      </c>
      <c r="B20" s="26" t="str">
        <f aca="false">IF(入力!B36="","",入力!B36)</f>
        <v>19:00頃 社長表彰(照明・マイク)</v>
      </c>
      <c r="C20" s="26"/>
      <c r="D20" s="26"/>
      <c r="E20" s="26"/>
      <c r="F20" s="26"/>
      <c r="G20" s="26"/>
    </row>
    <row r="21" customFormat="false" ht="15" hidden="false" customHeight="false" outlineLevel="0" collapsed="false">
      <c r="A21" s="25" t="s">
        <v>101</v>
      </c>
      <c r="B21" s="25"/>
      <c r="C21" s="25"/>
      <c r="D21" s="25"/>
      <c r="E21" s="25"/>
      <c r="F21" s="25"/>
      <c r="G21" s="25"/>
    </row>
    <row r="22" customFormat="false" ht="15" hidden="false" customHeight="false" outlineLevel="0" collapsed="false">
      <c r="A22" s="4" t="s">
        <v>60</v>
      </c>
      <c r="B22" s="24" t="str">
        <f aca="false">IF(入力!B38="","",入力!B38)</f>
        <v>8/15 上越妙高駅 14:30発 → ホテル(バス2台)</v>
      </c>
      <c r="C22" s="24"/>
      <c r="D22" s="24"/>
      <c r="E22" s="4" t="s">
        <v>62</v>
      </c>
      <c r="F22" s="24" t="str">
        <f aca="false">IF(入力!B39="","",入力!B39)</f>
        <v>8/16 ホテル 10:00発 → 上越妙高駅</v>
      </c>
      <c r="G22" s="24"/>
    </row>
    <row r="23" customFormat="false" ht="15" hidden="false" customHeight="false" outlineLevel="0" collapsed="false">
      <c r="A23" s="25" t="s">
        <v>102</v>
      </c>
      <c r="B23" s="25"/>
      <c r="C23" s="25"/>
      <c r="D23" s="25"/>
      <c r="E23" s="25"/>
      <c r="F23" s="25"/>
      <c r="G23" s="25"/>
    </row>
    <row r="24" customFormat="false" ht="15" hidden="false" customHeight="false" outlineLevel="0" collapsed="false">
      <c r="A24" s="4" t="s">
        <v>103</v>
      </c>
      <c r="B24" s="24" t="str">
        <f aca="false">IF(見積書!G31=0,"","¥"&amp;TEXT(見積書!G31,"#,##0")&amp;"(税込)")</f>
        <v>¥976,100(税込)</v>
      </c>
      <c r="C24" s="24"/>
      <c r="D24" s="24"/>
      <c r="E24" s="4" t="s">
        <v>104</v>
      </c>
      <c r="F24" s="6"/>
      <c r="G24" s="6"/>
    </row>
    <row r="25" customFormat="false" ht="14.15" hidden="false" customHeight="false" outlineLevel="0" collapsed="false">
      <c r="A25" s="25" t="s">
        <v>105</v>
      </c>
      <c r="B25" s="25"/>
      <c r="C25" s="25"/>
      <c r="D25" s="25"/>
      <c r="E25" s="25"/>
      <c r="F25" s="25"/>
      <c r="G25" s="25"/>
    </row>
    <row r="26" customFormat="false" ht="15" hidden="false" customHeight="false" outlineLevel="0" collapsed="false">
      <c r="A26" s="12" t="s">
        <v>106</v>
      </c>
      <c r="B26" s="12" t="s">
        <v>107</v>
      </c>
      <c r="C26" s="12" t="s">
        <v>108</v>
      </c>
      <c r="D26" s="12" t="s">
        <v>76</v>
      </c>
      <c r="E26" s="12" t="s">
        <v>109</v>
      </c>
      <c r="F26" s="12" t="s">
        <v>110</v>
      </c>
      <c r="G26" s="12" t="s">
        <v>111</v>
      </c>
    </row>
    <row r="27" customFormat="false" ht="21.75" hidden="false" customHeight="true" outlineLevel="0" collapsed="false">
      <c r="A27" s="27"/>
      <c r="B27" s="27"/>
      <c r="C27" s="27"/>
      <c r="D27" s="27"/>
      <c r="E27" s="27"/>
      <c r="F27" s="27"/>
      <c r="G27" s="27"/>
    </row>
    <row r="28" customFormat="false" ht="15" hidden="false" customHeight="false" outlineLevel="0" collapsed="false">
      <c r="A28" s="25" t="s">
        <v>112</v>
      </c>
      <c r="B28" s="25"/>
      <c r="C28" s="25"/>
      <c r="D28" s="25"/>
      <c r="E28" s="25"/>
      <c r="F28" s="25"/>
      <c r="G28" s="25"/>
    </row>
    <row r="29" customFormat="false" ht="15" hidden="false" customHeight="true" outlineLevel="0" collapsed="false">
      <c r="A29" s="28" t="str">
        <f aca="false">IF(入力!A55="","",入力!A55)</f>
        <v>・幹事の田中様は昨年もご利用(前回: 朝食会場の案内不足→今回は前日に案内掲示)
・お土産(地酒)40個を売店に取り置き(8/16朝 フロント渡し)
・雨天時はバス乗降を正面玄関ひさし下に変更</v>
      </c>
      <c r="B29" s="28"/>
      <c r="C29" s="28"/>
      <c r="D29" s="28"/>
      <c r="E29" s="28"/>
      <c r="F29" s="28"/>
      <c r="G29" s="28"/>
    </row>
    <row r="30" customFormat="false" ht="15" hidden="false" customHeight="true" outlineLevel="0" collapsed="false">
      <c r="A30" s="28"/>
      <c r="B30" s="28"/>
      <c r="C30" s="28"/>
      <c r="D30" s="28"/>
      <c r="E30" s="28"/>
      <c r="F30" s="28"/>
      <c r="G30" s="28"/>
    </row>
    <row r="31" customFormat="false" ht="15" hidden="false" customHeight="true" outlineLevel="0" collapsed="false">
      <c r="A31" s="28"/>
      <c r="B31" s="28"/>
      <c r="C31" s="28"/>
      <c r="D31" s="28"/>
      <c r="E31" s="28"/>
      <c r="F31" s="28"/>
      <c r="G31" s="28"/>
    </row>
    <row r="32" customFormat="false" ht="15" hidden="false" customHeight="true" outlineLevel="0" collapsed="false">
      <c r="A32" s="28"/>
      <c r="B32" s="28"/>
      <c r="C32" s="28"/>
      <c r="D32" s="28"/>
      <c r="E32" s="28"/>
      <c r="F32" s="28"/>
      <c r="G32" s="28"/>
    </row>
    <row r="33" customFormat="false" ht="15" hidden="false" customHeight="true" outlineLevel="0" collapsed="false">
      <c r="A33" s="28"/>
      <c r="B33" s="28"/>
      <c r="C33" s="28"/>
      <c r="D33" s="28"/>
      <c r="E33" s="28"/>
      <c r="F33" s="28"/>
      <c r="G33" s="28"/>
    </row>
    <row r="34" customFormat="false" ht="15" hidden="false" customHeight="true" outlineLevel="0" collapsed="false">
      <c r="A34" s="28"/>
      <c r="B34" s="28"/>
      <c r="C34" s="28"/>
      <c r="D34" s="28"/>
      <c r="E34" s="28"/>
      <c r="F34" s="28"/>
      <c r="G34" s="28"/>
    </row>
    <row r="35" customFormat="false" ht="15" hidden="false" customHeight="true" outlineLevel="0" collapsed="false">
      <c r="A35" s="28"/>
      <c r="B35" s="28"/>
      <c r="C35" s="28"/>
      <c r="D35" s="28"/>
      <c r="E35" s="28"/>
      <c r="F35" s="28"/>
      <c r="G35" s="28"/>
    </row>
  </sheetData>
  <mergeCells count="38">
    <mergeCell ref="A1:D2"/>
    <mergeCell ref="F1:G1"/>
    <mergeCell ref="F2:G2"/>
    <mergeCell ref="B3:D3"/>
    <mergeCell ref="F3:G3"/>
    <mergeCell ref="A4:G4"/>
    <mergeCell ref="B5:D5"/>
    <mergeCell ref="F5:G5"/>
    <mergeCell ref="B6:D6"/>
    <mergeCell ref="F6:G6"/>
    <mergeCell ref="B7:D7"/>
    <mergeCell ref="F7:G7"/>
    <mergeCell ref="B8:D8"/>
    <mergeCell ref="F8:G8"/>
    <mergeCell ref="A9:G9"/>
    <mergeCell ref="B10:D10"/>
    <mergeCell ref="F10:G10"/>
    <mergeCell ref="B11:G11"/>
    <mergeCell ref="A12:G12"/>
    <mergeCell ref="B13:G13"/>
    <mergeCell ref="B14:G14"/>
    <mergeCell ref="B15:G15"/>
    <mergeCell ref="B16:G16"/>
    <mergeCell ref="A17:G17"/>
    <mergeCell ref="B18:D18"/>
    <mergeCell ref="F18:G18"/>
    <mergeCell ref="B19:D19"/>
    <mergeCell ref="F19:G19"/>
    <mergeCell ref="B20:G20"/>
    <mergeCell ref="A21:G21"/>
    <mergeCell ref="B22:D22"/>
    <mergeCell ref="F22:G22"/>
    <mergeCell ref="A23:G23"/>
    <mergeCell ref="B24:D24"/>
    <mergeCell ref="F24:G24"/>
    <mergeCell ref="A25:G25"/>
    <mergeCell ref="A28:G28"/>
    <mergeCell ref="A29:G35"/>
  </mergeCells>
  <printOptions headings="false" gridLines="false" gridLinesSet="true" horizontalCentered="false" verticalCentered="false"/>
  <pageMargins left="0.4" right="0.4" top="0.5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6FB4"/>
    <pageSetUpPr fitToPage="true"/>
  </sheetPr>
  <dimension ref="A1:G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.5"/>
    <col collapsed="false" customWidth="true" hidden="false" outlineLevel="0" max="2" min="2" style="0" width="16"/>
    <col collapsed="false" customWidth="true" hidden="false" outlineLevel="0" max="3" min="3" style="0" width="30"/>
    <col collapsed="false" customWidth="true" hidden="false" outlineLevel="0" max="4" min="4" style="0" width="11"/>
    <col collapsed="false" customWidth="true" hidden="false" outlineLevel="0" max="6" min="5" style="0" width="7"/>
    <col collapsed="false" customWidth="true" hidden="false" outlineLevel="0" max="7" min="7" style="0" width="13"/>
  </cols>
  <sheetData>
    <row r="1" customFormat="false" ht="15" hidden="false" customHeight="false" outlineLevel="0" collapsed="false">
      <c r="B1" s="29" t="s">
        <v>113</v>
      </c>
      <c r="C1" s="29"/>
      <c r="D1" s="29"/>
      <c r="E1" s="29"/>
      <c r="F1" s="30" t="s">
        <v>25</v>
      </c>
      <c r="G1" s="31" t="str">
        <f aca="false">IF(入力!B17="","",入力!B17)</f>
        <v>Q-2026-0001</v>
      </c>
    </row>
    <row r="2" customFormat="false" ht="15" hidden="false" customHeight="false" outlineLevel="0" collapsed="false">
      <c r="B2" s="29"/>
      <c r="C2" s="29"/>
      <c r="D2" s="29"/>
      <c r="E2" s="29"/>
      <c r="F2" s="30" t="s">
        <v>27</v>
      </c>
      <c r="G2" s="32" t="n">
        <f aca="false">IF(入力!B18="","",入力!B18)</f>
        <v>46220</v>
      </c>
    </row>
    <row r="3" customFormat="false" ht="15" hidden="false" customHeight="false" outlineLevel="0" collapsed="false">
      <c r="F3" s="30" t="s">
        <v>24</v>
      </c>
      <c r="G3" s="31" t="str">
        <f aca="false">IF(入力!B16="","",入力!B16)</f>
        <v>0815TANA01</v>
      </c>
    </row>
    <row r="4" customFormat="false" ht="15" hidden="false" customHeight="false" outlineLevel="0" collapsed="false">
      <c r="A4" s="33" t="str">
        <f aca="false">IF(入力!B4="","",入力!B4&amp;"  御中")</f>
        <v>田中産業株式会社  御中</v>
      </c>
      <c r="B4" s="33"/>
      <c r="C4" s="33"/>
      <c r="D4" s="33"/>
      <c r="F4" s="34" t="s">
        <v>114</v>
      </c>
      <c r="G4" s="34"/>
    </row>
    <row r="5" customFormat="false" ht="15" hidden="false" customHeight="false" outlineLevel="0" collapsed="false">
      <c r="A5" s="35" t="str">
        <f aca="false">IF(入力!B5="","",入力!B5)</f>
        <v>田中産業 親睦会ご一行様</v>
      </c>
      <c r="B5" s="35"/>
      <c r="C5" s="35"/>
      <c r="D5" s="35"/>
      <c r="F5" s="34"/>
      <c r="G5" s="34"/>
    </row>
    <row r="6" customFormat="false" ht="15" hidden="false" customHeight="false" outlineLevel="0" collapsed="false">
      <c r="A6" s="35" t="str">
        <f aca="false">IF(入力!B6="","",入力!B6)</f>
        <v>2026年度 社員親睦旅行</v>
      </c>
      <c r="B6" s="35"/>
      <c r="C6" s="35"/>
      <c r="D6" s="35"/>
      <c r="F6" s="36" t="str">
        <f aca="false">マスタ!I2</f>
        <v>(ホテル名を入力)</v>
      </c>
      <c r="G6" s="36"/>
    </row>
    <row r="7" customFormat="false" ht="15" hidden="false" customHeight="false" outlineLevel="0" collapsed="false">
      <c r="A7" s="24" t="str">
        <f aca="false">IF(入力!B7="","","ご担当: "&amp;入力!B7)</f>
        <v>ご担当: 田中 一郎 様(090-0000-0000)</v>
      </c>
      <c r="B7" s="24"/>
      <c r="C7" s="24"/>
      <c r="D7" s="24"/>
      <c r="F7" s="37" t="str">
        <f aca="false">マスタ!I3</f>
        <v>(住所・TELを入力)</v>
      </c>
      <c r="G7" s="37"/>
    </row>
    <row r="8" customFormat="false" ht="15" hidden="false" customHeight="false" outlineLevel="0" collapsed="false">
      <c r="A8" s="38" t="s">
        <v>115</v>
      </c>
      <c r="B8" s="38"/>
      <c r="C8" s="38"/>
      <c r="D8" s="38"/>
      <c r="F8" s="37" t="str">
        <f aca="false">"インボイス登録番号 "&amp;マスタ!I4</f>
        <v>インボイス登録番号 T0000000000000</v>
      </c>
      <c r="G8" s="37"/>
    </row>
    <row r="9" customFormat="false" ht="15" hidden="false" customHeight="false" outlineLevel="0" collapsed="false">
      <c r="F9" s="39" t="s">
        <v>116</v>
      </c>
      <c r="G9" s="40" t="str">
        <f aca="false">マスタ!I5</f>
        <v>清水 祥太郎</v>
      </c>
    </row>
    <row r="10" customFormat="false" ht="15" hidden="false" customHeight="false" outlineLevel="0" collapsed="false">
      <c r="A10" s="41" t="s">
        <v>117</v>
      </c>
      <c r="B10" s="41"/>
      <c r="C10" s="42" t="str">
        <f aca="false">IF(入力!B6&lt;&gt;"",入力!B6,IF(入力!B5&lt;&gt;"",入力!B5,入力!B4&amp;"様"))</f>
        <v>2026年度 社員親睦旅行</v>
      </c>
      <c r="D10" s="42"/>
      <c r="E10" s="42"/>
      <c r="F10" s="43" t="s">
        <v>118</v>
      </c>
      <c r="G10" s="43"/>
    </row>
    <row r="11" customFormat="false" ht="24" hidden="false" customHeight="true" outlineLevel="0" collapsed="false">
      <c r="A11" s="41" t="s">
        <v>119</v>
      </c>
      <c r="B11" s="41"/>
      <c r="C11" s="42" t="str">
        <f aca="false">IF(入力!B8="","",TEXT(入力!B8,"yyyy/m/d")&amp;" 〜 "&amp;IF(入力!B9="","",TEXT(入力!B9,"m/d")))</f>
        <v>2026/8/15 〜 8/16</v>
      </c>
      <c r="D11" s="42"/>
      <c r="E11" s="42"/>
      <c r="F11" s="44" t="n">
        <f aca="false">G31</f>
        <v>976100</v>
      </c>
      <c r="G11" s="44"/>
    </row>
    <row r="12" customFormat="false" ht="15" hidden="false" customHeight="false" outlineLevel="0" collapsed="false">
      <c r="A12" s="41" t="s">
        <v>120</v>
      </c>
      <c r="B12" s="41"/>
      <c r="C12" s="42" t="str">
        <f aca="false">IF(入力!B10="","",入力!B10&amp;"名("&amp;入力!B11&amp;")")</f>
        <v>40名(大人40名)</v>
      </c>
      <c r="D12" s="42"/>
      <c r="E12" s="42"/>
    </row>
    <row r="13" customFormat="false" ht="15" hidden="false" customHeight="false" outlineLevel="0" collapsed="false">
      <c r="A13" s="41" t="s">
        <v>121</v>
      </c>
      <c r="B13" s="41"/>
      <c r="C13" s="42" t="str">
        <f aca="false">IF(入力!B19="","",入力!B19)</f>
        <v>後日振込</v>
      </c>
      <c r="D13" s="42"/>
      <c r="E13" s="42"/>
      <c r="F13" s="41" t="s">
        <v>30</v>
      </c>
      <c r="G13" s="41"/>
    </row>
    <row r="14" customFormat="false" ht="15" hidden="false" customHeight="false" outlineLevel="0" collapsed="false">
      <c r="F14" s="23" t="n">
        <f aca="false">IF(入力!B20="","",入力!B20)</f>
        <v>46235</v>
      </c>
      <c r="G14" s="23"/>
    </row>
    <row r="15" customFormat="false" ht="15" hidden="false" customHeight="false" outlineLevel="0" collapsed="false">
      <c r="A15" s="10" t="s">
        <v>122</v>
      </c>
      <c r="B15" s="4" t="s">
        <v>123</v>
      </c>
      <c r="C15" s="4" t="s">
        <v>66</v>
      </c>
      <c r="D15" s="4" t="s">
        <v>67</v>
      </c>
      <c r="E15" s="4" t="s">
        <v>68</v>
      </c>
      <c r="F15" s="4" t="s">
        <v>124</v>
      </c>
      <c r="G15" s="4" t="s">
        <v>125</v>
      </c>
    </row>
    <row r="16" customFormat="false" ht="15" hidden="false" customHeight="false" outlineLevel="0" collapsed="false">
      <c r="A16" s="27" t="n">
        <f aca="false">IF(入力!B42="","",ROW()-15)</f>
        <v>1</v>
      </c>
      <c r="B16" s="45" t="str">
        <f aca="false">IF(入力!A42="","",入力!A42)</f>
        <v>宿泊</v>
      </c>
      <c r="C16" s="45" t="str">
        <f aca="false">IF(入力!B42="","",入力!B42)</f>
        <v>1泊2食付プラン(和室)</v>
      </c>
      <c r="D16" s="46" t="n">
        <f aca="false">IF(入力!C42="","",入力!C42)</f>
        <v>15000</v>
      </c>
      <c r="E16" s="47" t="n">
        <f aca="false">IF(入力!D42="","",入力!D42)</f>
        <v>40</v>
      </c>
      <c r="F16" s="31" t="str">
        <f aca="false">IF(入力!E42="","",入力!E42)</f>
        <v>名</v>
      </c>
      <c r="G16" s="48" t="n">
        <f aca="false">IF(COUNT(入力!C42,入力!D42)&lt;2,"",入力!C42*入力!D42)</f>
        <v>600000</v>
      </c>
    </row>
    <row r="17" customFormat="false" ht="15" hidden="false" customHeight="false" outlineLevel="0" collapsed="false">
      <c r="A17" s="27" t="n">
        <f aca="false">IF(入力!B43="","",ROW()-15)</f>
        <v>2</v>
      </c>
      <c r="B17" s="45" t="str">
        <f aca="false">IF(入力!A43="","",入力!A43)</f>
        <v>宴会</v>
      </c>
      <c r="C17" s="45" t="str">
        <f aca="false">IF(入力!B43="","",入力!B43)</f>
        <v>宴会場使用料(鶴の間 18:00-20:00)</v>
      </c>
      <c r="D17" s="46" t="n">
        <f aca="false">IF(入力!C43="","",入力!C43)</f>
        <v>50000</v>
      </c>
      <c r="E17" s="47" t="n">
        <f aca="false">IF(入力!D43="","",入力!D43)</f>
        <v>1</v>
      </c>
      <c r="F17" s="31" t="str">
        <f aca="false">IF(入力!E43="","",入力!E43)</f>
        <v>式</v>
      </c>
      <c r="G17" s="48" t="n">
        <f aca="false">IF(COUNT(入力!C43,入力!D43)&lt;2,"",入力!C43*入力!D43)</f>
        <v>50000</v>
      </c>
    </row>
    <row r="18" customFormat="false" ht="15" hidden="false" customHeight="false" outlineLevel="0" collapsed="false">
      <c r="A18" s="27" t="n">
        <f aca="false">IF(入力!B44="","",ROW()-15)</f>
        <v>3</v>
      </c>
      <c r="B18" s="45" t="str">
        <f aca="false">IF(入力!A44="","",入力!A44)</f>
        <v>料飲</v>
      </c>
      <c r="C18" s="45" t="str">
        <f aca="false">IF(入力!B44="","",入力!B44)</f>
        <v>飲み放題プラン 90分</v>
      </c>
      <c r="D18" s="46" t="n">
        <f aca="false">IF(入力!C44="","",入力!C44)</f>
        <v>2500</v>
      </c>
      <c r="E18" s="47" t="n">
        <f aca="false">IF(入力!D44="","",入力!D44)</f>
        <v>40</v>
      </c>
      <c r="F18" s="31" t="str">
        <f aca="false">IF(入力!E44="","",入力!E44)</f>
        <v>名</v>
      </c>
      <c r="G18" s="48" t="n">
        <f aca="false">IF(COUNT(入力!C44,入力!D44)&lt;2,"",入力!C44*入力!D44)</f>
        <v>100000</v>
      </c>
    </row>
    <row r="19" customFormat="false" ht="15" hidden="false" customHeight="false" outlineLevel="0" collapsed="false">
      <c r="A19" s="27" t="n">
        <f aca="false">IF(入力!B45="","",ROW()-15)</f>
        <v>4</v>
      </c>
      <c r="B19" s="45" t="str">
        <f aca="false">IF(入力!A45="","",入力!A45)</f>
        <v>送迎</v>
      </c>
      <c r="C19" s="45" t="str">
        <f aca="false">IF(入力!B45="","",入力!B45)</f>
        <v>貸切バス送迎(上越妙高駅⇔ホテル 往復)</v>
      </c>
      <c r="D19" s="46" t="n">
        <f aca="false">IF(入力!C45="","",入力!C45)</f>
        <v>30000</v>
      </c>
      <c r="E19" s="47" t="n">
        <f aca="false">IF(入力!D45="","",入力!D45)</f>
        <v>2</v>
      </c>
      <c r="F19" s="31" t="str">
        <f aca="false">IF(入力!E45="","",入力!E45)</f>
        <v>台</v>
      </c>
      <c r="G19" s="48" t="n">
        <f aca="false">IF(COUNT(入力!C45,入力!D45)&lt;2,"",入力!C45*入力!D45)</f>
        <v>60000</v>
      </c>
    </row>
    <row r="20" customFormat="false" ht="15" hidden="false" customHeight="false" outlineLevel="0" collapsed="false">
      <c r="A20" s="27" t="str">
        <f aca="false">IF(入力!B46="","",ROW()-15)</f>
        <v/>
      </c>
      <c r="B20" s="45" t="str">
        <f aca="false">IF(入力!A46="","",入力!A46)</f>
        <v/>
      </c>
      <c r="C20" s="45" t="str">
        <f aca="false">IF(入力!B46="","",入力!B46)</f>
        <v/>
      </c>
      <c r="D20" s="46" t="str">
        <f aca="false">IF(入力!C46="","",入力!C46)</f>
        <v/>
      </c>
      <c r="E20" s="47" t="str">
        <f aca="false">IF(入力!D46="","",入力!D46)</f>
        <v/>
      </c>
      <c r="F20" s="31" t="str">
        <f aca="false">IF(入力!E46="","",入力!E46)</f>
        <v/>
      </c>
      <c r="G20" s="48" t="str">
        <f aca="false">IF(COUNT(入力!C46,入力!D46)&lt;2,"",入力!C46*入力!D46)</f>
        <v/>
      </c>
    </row>
    <row r="21" customFormat="false" ht="15" hidden="false" customHeight="false" outlineLevel="0" collapsed="false">
      <c r="A21" s="27" t="str">
        <f aca="false">IF(入力!B47="","",ROW()-15)</f>
        <v/>
      </c>
      <c r="B21" s="45" t="str">
        <f aca="false">IF(入力!A47="","",入力!A47)</f>
        <v/>
      </c>
      <c r="C21" s="45" t="str">
        <f aca="false">IF(入力!B47="","",入力!B47)</f>
        <v/>
      </c>
      <c r="D21" s="46" t="str">
        <f aca="false">IF(入力!C47="","",入力!C47)</f>
        <v/>
      </c>
      <c r="E21" s="47" t="str">
        <f aca="false">IF(入力!D47="","",入力!D47)</f>
        <v/>
      </c>
      <c r="F21" s="31" t="str">
        <f aca="false">IF(入力!E47="","",入力!E47)</f>
        <v/>
      </c>
      <c r="G21" s="48" t="str">
        <f aca="false">IF(COUNT(入力!C47,入力!D47)&lt;2,"",入力!C47*入力!D47)</f>
        <v/>
      </c>
    </row>
    <row r="22" customFormat="false" ht="15" hidden="false" customHeight="false" outlineLevel="0" collapsed="false">
      <c r="A22" s="27" t="str">
        <f aca="false">IF(入力!B48="","",ROW()-15)</f>
        <v/>
      </c>
      <c r="B22" s="45" t="str">
        <f aca="false">IF(入力!A48="","",入力!A48)</f>
        <v/>
      </c>
      <c r="C22" s="45" t="str">
        <f aca="false">IF(入力!B48="","",入力!B48)</f>
        <v/>
      </c>
      <c r="D22" s="46" t="str">
        <f aca="false">IF(入力!C48="","",入力!C48)</f>
        <v/>
      </c>
      <c r="E22" s="47" t="str">
        <f aca="false">IF(入力!D48="","",入力!D48)</f>
        <v/>
      </c>
      <c r="F22" s="31" t="str">
        <f aca="false">IF(入力!E48="","",入力!E48)</f>
        <v/>
      </c>
      <c r="G22" s="48" t="str">
        <f aca="false">IF(COUNT(入力!C48,入力!D48)&lt;2,"",入力!C48*入力!D48)</f>
        <v/>
      </c>
    </row>
    <row r="23" customFormat="false" ht="15" hidden="false" customHeight="false" outlineLevel="0" collapsed="false">
      <c r="A23" s="27" t="str">
        <f aca="false">IF(入力!B49="","",ROW()-15)</f>
        <v/>
      </c>
      <c r="B23" s="45" t="str">
        <f aca="false">IF(入力!A49="","",入力!A49)</f>
        <v/>
      </c>
      <c r="C23" s="45" t="str">
        <f aca="false">IF(入力!B49="","",入力!B49)</f>
        <v/>
      </c>
      <c r="D23" s="46" t="str">
        <f aca="false">IF(入力!C49="","",入力!C49)</f>
        <v/>
      </c>
      <c r="E23" s="47" t="str">
        <f aca="false">IF(入力!D49="","",入力!D49)</f>
        <v/>
      </c>
      <c r="F23" s="31" t="str">
        <f aca="false">IF(入力!E49="","",入力!E49)</f>
        <v/>
      </c>
      <c r="G23" s="48" t="str">
        <f aca="false">IF(COUNT(入力!C49,入力!D49)&lt;2,"",入力!C49*入力!D49)</f>
        <v/>
      </c>
    </row>
    <row r="24" customFormat="false" ht="15" hidden="false" customHeight="false" outlineLevel="0" collapsed="false">
      <c r="A24" s="27" t="str">
        <f aca="false">IF(入力!B50="","",ROW()-15)</f>
        <v/>
      </c>
      <c r="B24" s="45" t="str">
        <f aca="false">IF(入力!A50="","",入力!A50)</f>
        <v/>
      </c>
      <c r="C24" s="45" t="str">
        <f aca="false">IF(入力!B50="","",入力!B50)</f>
        <v/>
      </c>
      <c r="D24" s="46" t="str">
        <f aca="false">IF(入力!C50="","",入力!C50)</f>
        <v/>
      </c>
      <c r="E24" s="47" t="str">
        <f aca="false">IF(入力!D50="","",入力!D50)</f>
        <v/>
      </c>
      <c r="F24" s="31" t="str">
        <f aca="false">IF(入力!E50="","",入力!E50)</f>
        <v/>
      </c>
      <c r="G24" s="48" t="str">
        <f aca="false">IF(COUNT(入力!C50,入力!D50)&lt;2,"",入力!C50*入力!D50)</f>
        <v/>
      </c>
    </row>
    <row r="25" customFormat="false" ht="15" hidden="false" customHeight="false" outlineLevel="0" collapsed="false">
      <c r="A25" s="27" t="str">
        <f aca="false">IF(入力!B51="","",ROW()-15)</f>
        <v/>
      </c>
      <c r="B25" s="45" t="str">
        <f aca="false">IF(入力!A51="","",入力!A51)</f>
        <v/>
      </c>
      <c r="C25" s="45" t="str">
        <f aca="false">IF(入力!B51="","",入力!B51)</f>
        <v/>
      </c>
      <c r="D25" s="46" t="str">
        <f aca="false">IF(入力!C51="","",入力!C51)</f>
        <v/>
      </c>
      <c r="E25" s="47" t="str">
        <f aca="false">IF(入力!D51="","",入力!D51)</f>
        <v/>
      </c>
      <c r="F25" s="31" t="str">
        <f aca="false">IF(入力!E51="","",入力!E51)</f>
        <v/>
      </c>
      <c r="G25" s="48" t="str">
        <f aca="false">IF(COUNT(入力!C51,入力!D51)&lt;2,"",入力!C51*入力!D51)</f>
        <v/>
      </c>
    </row>
    <row r="26" customFormat="false" ht="15" hidden="false" customHeight="false" outlineLevel="0" collapsed="false">
      <c r="A26" s="49"/>
      <c r="B26" s="49"/>
      <c r="C26" s="49"/>
      <c r="D26" s="50" t="s">
        <v>126</v>
      </c>
      <c r="E26" s="50"/>
      <c r="F26" s="50"/>
      <c r="G26" s="51" t="n">
        <f aca="false">SUM(G16:G25)</f>
        <v>810000</v>
      </c>
    </row>
    <row r="27" customFormat="false" ht="15" hidden="false" customHeight="false" outlineLevel="0" collapsed="false">
      <c r="A27" s="49"/>
      <c r="B27" s="49"/>
      <c r="C27" s="49"/>
      <c r="D27" s="50" t="s">
        <v>127</v>
      </c>
      <c r="E27" s="50"/>
      <c r="F27" s="50"/>
      <c r="G27" s="51" t="n">
        <f aca="false">ROUND(G26*0.1,0)</f>
        <v>81000</v>
      </c>
    </row>
    <row r="28" customFormat="false" ht="15" hidden="false" customHeight="false" outlineLevel="0" collapsed="false">
      <c r="A28" s="49"/>
      <c r="B28" s="49"/>
      <c r="C28" s="49"/>
      <c r="D28" s="50" t="s">
        <v>128</v>
      </c>
      <c r="E28" s="50"/>
      <c r="F28" s="50"/>
      <c r="G28" s="51" t="n">
        <f aca="false">ROUND((G26+G27)*0.1,0)</f>
        <v>89100</v>
      </c>
    </row>
    <row r="29" customFormat="false" ht="15" hidden="false" customHeight="false" outlineLevel="0" collapsed="false">
      <c r="A29" s="52" t="s">
        <v>129</v>
      </c>
      <c r="B29" s="52"/>
      <c r="C29" s="52"/>
      <c r="D29" s="50" t="s">
        <v>130</v>
      </c>
      <c r="E29" s="50"/>
      <c r="F29" s="50"/>
      <c r="G29" s="53" t="n">
        <f aca="false">N(入力!B52)</f>
        <v>6000</v>
      </c>
    </row>
    <row r="30" customFormat="false" ht="15" hidden="false" customHeight="false" outlineLevel="0" collapsed="false">
      <c r="A30" s="49"/>
      <c r="B30" s="49"/>
      <c r="C30" s="49"/>
      <c r="D30" s="50" t="s">
        <v>131</v>
      </c>
      <c r="E30" s="50"/>
      <c r="F30" s="50"/>
      <c r="G30" s="53" t="n">
        <f aca="false">N(入力!B53)</f>
        <v>-10000</v>
      </c>
    </row>
    <row r="31" customFormat="false" ht="15" hidden="false" customHeight="false" outlineLevel="0" collapsed="false">
      <c r="A31" s="49"/>
      <c r="B31" s="49"/>
      <c r="C31" s="49"/>
      <c r="D31" s="41" t="s">
        <v>132</v>
      </c>
      <c r="E31" s="41"/>
      <c r="F31" s="41"/>
      <c r="G31" s="54" t="n">
        <f aca="false">G26+G27+G28+G29+G30</f>
        <v>976100</v>
      </c>
    </row>
    <row r="33" customFormat="false" ht="15" hidden="false" customHeight="false" outlineLevel="0" collapsed="false">
      <c r="A33" s="4" t="s">
        <v>111</v>
      </c>
      <c r="B33" s="55"/>
      <c r="C33" s="55"/>
      <c r="D33" s="55"/>
      <c r="E33" s="55"/>
      <c r="F33" s="55"/>
      <c r="G33" s="55"/>
    </row>
    <row r="34" customFormat="false" ht="15" hidden="false" customHeight="false" outlineLevel="0" collapsed="false">
      <c r="B34" s="55"/>
      <c r="C34" s="55"/>
      <c r="D34" s="55"/>
      <c r="E34" s="55"/>
      <c r="F34" s="55"/>
      <c r="G34" s="55"/>
    </row>
    <row r="35" customFormat="false" ht="15" hidden="false" customHeight="false" outlineLevel="0" collapsed="false">
      <c r="B35" s="55"/>
      <c r="C35" s="55"/>
      <c r="D35" s="55"/>
      <c r="E35" s="55"/>
      <c r="F35" s="55"/>
      <c r="G35" s="55"/>
    </row>
    <row r="37" customFormat="false" ht="15" hidden="false" customHeight="false" outlineLevel="0" collapsed="false">
      <c r="A37" s="56" t="s">
        <v>133</v>
      </c>
    </row>
  </sheetData>
  <mergeCells count="35">
    <mergeCell ref="B1:E2"/>
    <mergeCell ref="A4:D4"/>
    <mergeCell ref="F4:G5"/>
    <mergeCell ref="A5:D5"/>
    <mergeCell ref="A6:D6"/>
    <mergeCell ref="F6:G6"/>
    <mergeCell ref="A7:D7"/>
    <mergeCell ref="F7:G7"/>
    <mergeCell ref="A8:D8"/>
    <mergeCell ref="F8:G8"/>
    <mergeCell ref="A10:B10"/>
    <mergeCell ref="C10:E10"/>
    <mergeCell ref="F10:G10"/>
    <mergeCell ref="A11:B11"/>
    <mergeCell ref="C11:E11"/>
    <mergeCell ref="F11:G11"/>
    <mergeCell ref="A12:B12"/>
    <mergeCell ref="C12:E12"/>
    <mergeCell ref="A13:B13"/>
    <mergeCell ref="C13:E13"/>
    <mergeCell ref="F13:G13"/>
    <mergeCell ref="F14:G14"/>
    <mergeCell ref="A26:C26"/>
    <mergeCell ref="D26:F26"/>
    <mergeCell ref="A27:C27"/>
    <mergeCell ref="D27:F27"/>
    <mergeCell ref="A28:C28"/>
    <mergeCell ref="D28:F28"/>
    <mergeCell ref="A29:C29"/>
    <mergeCell ref="D29:F29"/>
    <mergeCell ref="A30:C30"/>
    <mergeCell ref="D30:F30"/>
    <mergeCell ref="A31:C31"/>
    <mergeCell ref="D31:F31"/>
    <mergeCell ref="B33:G35"/>
  </mergeCells>
  <printOptions headings="false" gridLines="false" gridLinesSet="true" horizontalCentered="false" verticalCentered="false"/>
  <pageMargins left="0.4" right="0.4" top="0.5" bottom="0.4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88888"/>
    <pageSetUpPr fitToPage="false"/>
  </sheetPr>
  <dimension ref="A1:I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6" min="1" style="0" width="14"/>
    <col collapsed="false" customWidth="true" hidden="false" outlineLevel="0" max="8" min="8" style="0" width="16"/>
    <col collapsed="false" customWidth="true" hidden="false" outlineLevel="0" max="9" min="9" style="0" width="34"/>
  </cols>
  <sheetData>
    <row r="1" customFormat="false" ht="15" hidden="false" customHeight="false" outlineLevel="0" collapsed="false">
      <c r="A1" s="4" t="s">
        <v>86</v>
      </c>
      <c r="B1" s="4" t="s">
        <v>92</v>
      </c>
      <c r="C1" s="4" t="s">
        <v>97</v>
      </c>
      <c r="D1" s="4" t="s">
        <v>99</v>
      </c>
      <c r="E1" s="4" t="s">
        <v>134</v>
      </c>
      <c r="F1" s="4" t="s">
        <v>124</v>
      </c>
      <c r="H1" s="57" t="s">
        <v>135</v>
      </c>
    </row>
    <row r="2" customFormat="false" ht="15" hidden="false" customHeight="false" outlineLevel="0" collapsed="false">
      <c r="A2" s="58" t="s">
        <v>136</v>
      </c>
      <c r="B2" s="58" t="s">
        <v>137</v>
      </c>
      <c r="C2" s="58" t="s">
        <v>50</v>
      </c>
      <c r="D2" s="58" t="s">
        <v>138</v>
      </c>
      <c r="E2" s="58" t="s">
        <v>70</v>
      </c>
      <c r="F2" s="58" t="s">
        <v>72</v>
      </c>
      <c r="H2" s="4" t="s">
        <v>139</v>
      </c>
      <c r="I2" s="59" t="s">
        <v>140</v>
      </c>
    </row>
    <row r="3" customFormat="false" ht="15" hidden="false" customHeight="false" outlineLevel="0" collapsed="false">
      <c r="A3" s="58" t="s">
        <v>141</v>
      </c>
      <c r="B3" s="58" t="s">
        <v>142</v>
      </c>
      <c r="C3" s="58" t="s">
        <v>143</v>
      </c>
      <c r="D3" s="58" t="s">
        <v>144</v>
      </c>
      <c r="E3" s="58" t="s">
        <v>73</v>
      </c>
      <c r="F3" s="58" t="s">
        <v>75</v>
      </c>
      <c r="H3" s="4" t="s">
        <v>145</v>
      </c>
      <c r="I3" s="59" t="s">
        <v>146</v>
      </c>
    </row>
    <row r="4" customFormat="false" ht="15" hidden="false" customHeight="false" outlineLevel="0" collapsed="false">
      <c r="A4" s="58" t="s">
        <v>19</v>
      </c>
      <c r="B4" s="58" t="s">
        <v>29</v>
      </c>
      <c r="C4" s="58" t="s">
        <v>147</v>
      </c>
      <c r="D4" s="58" t="s">
        <v>54</v>
      </c>
      <c r="E4" s="58" t="s">
        <v>76</v>
      </c>
      <c r="F4" s="58" t="s">
        <v>80</v>
      </c>
      <c r="H4" s="4" t="s">
        <v>148</v>
      </c>
      <c r="I4" s="59" t="s">
        <v>149</v>
      </c>
    </row>
    <row r="5" customFormat="false" ht="15" hidden="false" customHeight="false" outlineLevel="0" collapsed="false">
      <c r="A5" s="58" t="s">
        <v>150</v>
      </c>
      <c r="B5" s="58" t="s">
        <v>151</v>
      </c>
      <c r="C5" s="58" t="s">
        <v>152</v>
      </c>
      <c r="D5" s="58" t="s">
        <v>153</v>
      </c>
      <c r="E5" s="58" t="s">
        <v>78</v>
      </c>
      <c r="F5" s="58" t="s">
        <v>154</v>
      </c>
      <c r="H5" s="4" t="s">
        <v>155</v>
      </c>
      <c r="I5" s="60" t="s">
        <v>156</v>
      </c>
    </row>
    <row r="6" customFormat="false" ht="15" hidden="false" customHeight="false" outlineLevel="0" collapsed="false">
      <c r="A6" s="58" t="s">
        <v>157</v>
      </c>
      <c r="C6" s="58" t="s">
        <v>158</v>
      </c>
      <c r="E6" s="58" t="s">
        <v>159</v>
      </c>
      <c r="F6" s="58" t="s">
        <v>160</v>
      </c>
    </row>
    <row r="7" customFormat="false" ht="15" hidden="false" customHeight="false" outlineLevel="0" collapsed="false">
      <c r="A7" s="58" t="s">
        <v>161</v>
      </c>
      <c r="F7" s="58" t="s">
        <v>162</v>
      </c>
    </row>
    <row r="8" customFormat="false" ht="15" hidden="false" customHeight="false" outlineLevel="0" collapsed="false">
      <c r="A8" s="58" t="s">
        <v>163</v>
      </c>
    </row>
    <row r="10" customFormat="false" ht="15" hidden="false" customHeight="true" outlineLevel="0" collapsed="false">
      <c r="A10" s="61" t="s">
        <v>164</v>
      </c>
      <c r="B10" s="61"/>
      <c r="C10" s="61"/>
      <c r="D10" s="61"/>
      <c r="E10" s="61"/>
      <c r="F10" s="61"/>
    </row>
    <row r="11" customFormat="false" ht="15" hidden="false" customHeight="false" outlineLevel="0" collapsed="false">
      <c r="A11" s="61"/>
      <c r="B11" s="61"/>
      <c r="C11" s="61"/>
      <c r="D11" s="61"/>
      <c r="E11" s="61"/>
      <c r="F11" s="61"/>
    </row>
    <row r="12" customFormat="false" ht="15" hidden="false" customHeight="false" outlineLevel="0" collapsed="false">
      <c r="A12" s="61"/>
      <c r="B12" s="61"/>
      <c r="C12" s="61"/>
      <c r="D12" s="61"/>
      <c r="E12" s="61"/>
      <c r="F12" s="61"/>
    </row>
  </sheetData>
  <mergeCells count="1">
    <mergeCell ref="A10:F1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2026-07-18T03:36:06Z</dcterms:created>
  <dc:creator>openpyxl</dc:creator>
  <dc:description/>
  <dc:language>en-US</dc:language>
  <cp:lastModifiedBy/>
  <dcterms:modified xsi:type="dcterms:W3CDTF">2026-07-18T03:36:06Z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