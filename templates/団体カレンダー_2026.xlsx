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今日の要対応" sheetId="1" state="visible" r:id="rId3"/>
    <sheet name="案件一覧" sheetId="2" state="visible" r:id="rId4"/>
    <sheet name="会場カレンダ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<sst xmlns="http://schemas.openxmlformats.org/spreadsheetml/2006/main" count="226" uniqueCount="49">
  <si>
    <r>
      <rPr>
        <b val="true"/>
        <sz val="13"/>
        <color rgb="FF000000"/>
        <rFont val="WenQuanYi Zen Hei"/>
        <family val="2"/>
      </rPr>
      <t xml:space="preserve">団体カレンダー </t>
    </r>
    <r>
      <rPr>
        <b val="true"/>
        <sz val="13"/>
        <color rgb="FF000000"/>
        <rFont val="Yu Gothic"/>
        <family val="0"/>
        <charset val="1"/>
      </rPr>
      <t xml:space="preserve">2026 — </t>
    </r>
    <r>
      <rPr>
        <b val="true"/>
        <sz val="13"/>
        <color rgb="FF000000"/>
        <rFont val="WenQuanYi Zen Hei"/>
        <family val="2"/>
      </rPr>
      <t xml:space="preserve">毎朝このシートを開く</t>
    </r>
  </si>
  <si>
    <r>
      <rPr>
        <b val="true"/>
        <sz val="10"/>
        <color rgb="FF000000"/>
        <rFont val="WenQuanYi Zen Hei"/>
        <family val="2"/>
      </rPr>
      <t xml:space="preserve">仮予約の期限切れ</t>
    </r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要対応</t>
    </r>
    <r>
      <rPr>
        <b val="true"/>
        <sz val="10"/>
        <color rgb="FF000000"/>
        <rFont val="Yu Gothic"/>
        <family val="0"/>
        <charset val="1"/>
      </rPr>
      <t xml:space="preserve">)</t>
    </r>
  </si>
  <si>
    <t xml:space="preserve">件  → 案件一覧の「残日数」が赤い行を今日中に処理</t>
  </si>
  <si>
    <r>
      <rPr>
        <b val="true"/>
        <sz val="10"/>
        <color rgb="FF000000"/>
        <rFont val="WenQuanYi Zen Hei"/>
        <family val="2"/>
      </rPr>
      <t xml:space="preserve">期限</t>
    </r>
    <r>
      <rPr>
        <b val="true"/>
        <sz val="10"/>
        <color rgb="FF000000"/>
        <rFont val="Yu Gothic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日以内の仮予約</t>
    </r>
  </si>
  <si>
    <t xml:space="preserve">件  → お客様へ確認の連絡を</t>
  </si>
  <si>
    <r>
      <rPr>
        <b val="true"/>
        <sz val="10"/>
        <color rgb="FF000000"/>
        <rFont val="WenQuanYi Zen Hei"/>
        <family val="2"/>
      </rPr>
      <t xml:space="preserve">今日</t>
    </r>
    <r>
      <rPr>
        <b val="true"/>
        <sz val="10"/>
        <color rgb="FF000000"/>
        <rFont val="Yu Gothic"/>
        <family val="0"/>
        <charset val="1"/>
      </rPr>
      <t xml:space="preserve">C/I</t>
    </r>
    <r>
      <rPr>
        <b val="true"/>
        <sz val="10"/>
        <color rgb="FF000000"/>
        <rFont val="WenQuanYi Zen Hei"/>
        <family val="2"/>
      </rPr>
      <t xml:space="preserve">の団体</t>
    </r>
  </si>
  <si>
    <t xml:space="preserve">件</t>
  </si>
  <si>
    <r>
      <rPr>
        <b val="true"/>
        <sz val="9"/>
        <color rgb="FF000000"/>
        <rFont val="WenQuanYi Zen Hei"/>
        <family val="2"/>
      </rPr>
      <t xml:space="preserve">【運用ルール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チーム決定</t>
    </r>
    <r>
      <rPr>
        <b val="true"/>
        <sz val="9"/>
        <color rgb="FF000000"/>
        <rFont val="Yu Gothic"/>
        <family val="0"/>
        <charset val="1"/>
      </rPr>
      <t xml:space="preserve">)</t>
    </r>
    <r>
      <rPr>
        <b val="true"/>
        <sz val="9"/>
        <color rgb="FF000000"/>
        <rFont val="WenQuanYi Zen Hei"/>
        <family val="2"/>
      </rPr>
      <t xml:space="preserve">】</t>
    </r>
  </si>
  <si>
    <r>
      <rPr>
        <sz val="9"/>
        <color rgb="FF000000"/>
        <rFont val="Yu Gothic"/>
        <family val="0"/>
        <charset val="1"/>
      </rPr>
      <t xml:space="preserve">1. </t>
    </r>
    <r>
      <rPr>
        <sz val="9"/>
        <color rgb="FF000000"/>
        <rFont val="WenQuanYi Zen Hei"/>
        <family val="2"/>
      </rPr>
      <t xml:space="preserve">ファイルは共有フォルダの原本を直接開く。コピー・メール添付は禁止</t>
    </r>
  </si>
  <si>
    <r>
      <rPr>
        <sz val="9"/>
        <color rgb="FF000000"/>
        <rFont val="Yu Gothic"/>
        <family val="0"/>
        <charset val="1"/>
      </rPr>
      <t xml:space="preserve">2. </t>
    </r>
    <r>
      <rPr>
        <sz val="9"/>
        <color rgb="FF000000"/>
        <rFont val="WenQuanYi Zen Hei"/>
        <family val="2"/>
      </rPr>
      <t xml:space="preserve">案件を作ったら・変えたら、その場でこのカレンダーの「案件一覧」へ転記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営業のみ編集可</t>
    </r>
    <r>
      <rPr>
        <sz val="9"/>
        <color rgb="FF000000"/>
        <rFont val="Yu Gothic"/>
        <family val="0"/>
        <charset val="1"/>
      </rPr>
      <t xml:space="preserve">)</t>
    </r>
  </si>
  <si>
    <t xml:space="preserve">   ※各案件ワークブックの入力シート最下部に「カレンダー転記用の行」が自動で用意されています</t>
  </si>
  <si>
    <r>
      <rPr>
        <sz val="9"/>
        <color rgb="FF000000"/>
        <rFont val="Yu Gothic"/>
        <family val="0"/>
        <charset val="1"/>
      </rPr>
      <t xml:space="preserve">3. </t>
    </r>
    <r>
      <rPr>
        <sz val="9"/>
        <color rgb="FF000000"/>
        <rFont val="WenQuanYi Zen Hei"/>
        <family val="2"/>
      </rPr>
      <t xml:space="preserve">カレンダーに載っていない案件は存在しない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会場確保</t>
    </r>
    <r>
      <rPr>
        <sz val="9"/>
        <color rgb="FF000000"/>
        <rFont val="Yu Gothic"/>
        <family val="0"/>
        <charset val="1"/>
      </rPr>
      <t xml:space="preserve">=</t>
    </r>
    <r>
      <rPr>
        <sz val="9"/>
        <color rgb="FF000000"/>
        <rFont val="WenQuanYi Zen Hei"/>
        <family val="2"/>
      </rPr>
      <t xml:space="preserve">一覧記入をもって成立</t>
    </r>
    <r>
      <rPr>
        <sz val="9"/>
        <color rgb="FF000000"/>
        <rFont val="Yu Gothic"/>
        <family val="0"/>
        <charset val="1"/>
      </rPr>
      <t xml:space="preserve">)</t>
    </r>
  </si>
  <si>
    <r>
      <rPr>
        <sz val="9"/>
        <color rgb="FF000000"/>
        <rFont val="Yu Gothic"/>
        <family val="0"/>
        <charset val="1"/>
      </rPr>
      <t xml:space="preserve">4. </t>
    </r>
    <r>
      <rPr>
        <sz val="9"/>
        <color rgb="FF000000"/>
        <rFont val="WenQuanYi Zen Hei"/>
        <family val="2"/>
      </rPr>
      <t xml:space="preserve">「会場カレンダー」シートは自動描画。手で触らない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赤</t>
    </r>
    <r>
      <rPr>
        <sz val="9"/>
        <color rgb="FF000000"/>
        <rFont val="Yu Gothic"/>
        <family val="0"/>
        <charset val="1"/>
      </rPr>
      <t xml:space="preserve">=</t>
    </r>
    <r>
      <rPr>
        <sz val="9"/>
        <color rgb="FF000000"/>
        <rFont val="WenQuanYi Zen Hei"/>
        <family val="2"/>
      </rPr>
      <t xml:space="preserve">ダブルブッキング</t>
    </r>
    <r>
      <rPr>
        <sz val="9"/>
        <color rgb="FF000000"/>
        <rFont val="Yu Gothic"/>
        <family val="0"/>
        <charset val="1"/>
      </rPr>
      <t xml:space="preserve">!)</t>
    </r>
  </si>
  <si>
    <r>
      <rPr>
        <sz val="9"/>
        <color rgb="FF000000"/>
        <rFont val="Yu Gothic"/>
        <family val="0"/>
        <charset val="1"/>
      </rPr>
      <t xml:space="preserve">5. </t>
    </r>
    <r>
      <rPr>
        <sz val="9"/>
        <color rgb="FF000000"/>
        <rFont val="WenQuanYi Zen Hei"/>
        <family val="2"/>
      </rPr>
      <t xml:space="preserve">週</t>
    </r>
    <r>
      <rPr>
        <sz val="9"/>
        <color rgb="FF000000"/>
        <rFont val="Yu Gothic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回、手配担当が全案件ワークブックと一覧を突合する</t>
    </r>
  </si>
  <si>
    <r>
      <rPr>
        <sz val="9"/>
        <color rgb="FF000000"/>
        <rFont val="Yu Gothic"/>
        <family val="0"/>
        <charset val="1"/>
      </rPr>
      <t xml:space="preserve">6. </t>
    </r>
    <r>
      <rPr>
        <sz val="9"/>
        <color rgb="FF000000"/>
        <rFont val="WenQuanYi Zen Hei"/>
        <family val="2"/>
      </rPr>
      <t xml:space="preserve">お客様に出した帳票は</t>
    </r>
    <r>
      <rPr>
        <sz val="9"/>
        <color rgb="FF000000"/>
        <rFont val="Yu Gothic"/>
        <family val="0"/>
        <charset val="1"/>
      </rPr>
      <t xml:space="preserve">PDF</t>
    </r>
    <r>
      <rPr>
        <sz val="9"/>
        <color rgb="FF000000"/>
        <rFont val="WenQuanYi Zen Hei"/>
        <family val="2"/>
      </rPr>
      <t xml:space="preserve">で保存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どの版を出したかの台帳になる</t>
    </r>
    <r>
      <rPr>
        <sz val="9"/>
        <color rgb="FF000000"/>
        <rFont val="Yu Gothic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</si>
  <si>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案件一覧 — </t>
    </r>
    <r>
      <rPr>
        <b val="true"/>
        <sz val="10"/>
        <color rgb="FF000000"/>
        <rFont val="Yu Gothic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案件</t>
    </r>
    <r>
      <rPr>
        <b val="true"/>
        <sz val="10"/>
        <color rgb="FF000000"/>
        <rFont val="Yu Gothic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行。黄色列に入力</t>
    </r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営業のみ</t>
    </r>
    <r>
      <rPr>
        <b val="true"/>
        <sz val="10"/>
        <color rgb="FF000000"/>
        <rFont val="Yu Gothic"/>
        <family val="0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。緑列は自動計算</t>
    </r>
  </si>
  <si>
    <t xml:space="preserve">予約番号</t>
  </si>
  <si>
    <t xml:space="preserve">ブロックコード</t>
  </si>
  <si>
    <t xml:space="preserve">Status ▼</t>
  </si>
  <si>
    <t xml:space="preserve">確度 ▼</t>
  </si>
  <si>
    <t xml:space="preserve">C/I</t>
  </si>
  <si>
    <t xml:space="preserve">C/O</t>
  </si>
  <si>
    <t xml:space="preserve">泊数</t>
  </si>
  <si>
    <t xml:space="preserve">仮予約期限</t>
  </si>
  <si>
    <t xml:space="preserve">残日数</t>
  </si>
  <si>
    <t xml:space="preserve">団体名</t>
  </si>
  <si>
    <t xml:space="preserve">概要</t>
  </si>
  <si>
    <t xml:space="preserve">取引先</t>
  </si>
  <si>
    <t xml:space="preserve">人数</t>
  </si>
  <si>
    <t xml:space="preserve">会場 ▼</t>
  </si>
  <si>
    <t xml:space="preserve">営業担当</t>
  </si>
  <si>
    <t xml:space="preserve">ファイルリンク</t>
  </si>
  <si>
    <t xml:space="preserve">備考</t>
  </si>
  <si>
    <r>
      <rPr>
        <b val="true"/>
        <sz val="10"/>
        <color rgb="FF000000"/>
        <rFont val="WenQuanYi Zen Hei"/>
        <family val="2"/>
      </rPr>
      <t xml:space="preserve">会場カレンダー</t>
    </r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案件一覧から自動描画 — 手で編集しない</t>
    </r>
    <r>
      <rPr>
        <b val="true"/>
        <sz val="10"/>
        <color rgb="FF000000"/>
        <rFont val="Yu Gothic"/>
        <family val="0"/>
        <charset val="1"/>
      </rPr>
      <t xml:space="preserve">)  </t>
    </r>
    <r>
      <rPr>
        <b val="true"/>
        <sz val="10"/>
        <color rgb="FF000000"/>
        <rFont val="WenQuanYi Zen Hei"/>
        <family val="2"/>
      </rPr>
      <t xml:space="preserve">赤</t>
    </r>
    <r>
      <rPr>
        <b val="true"/>
        <sz val="10"/>
        <color rgb="FF000000"/>
        <rFont val="Yu Gothic"/>
        <family val="0"/>
        <charset val="1"/>
      </rPr>
      <t xml:space="preserve">=</t>
    </r>
    <r>
      <rPr>
        <b val="true"/>
        <sz val="10"/>
        <color rgb="FF000000"/>
        <rFont val="WenQuanYi Zen Hei"/>
        <family val="2"/>
      </rPr>
      <t xml:space="preserve">ダブルブッキング</t>
    </r>
  </si>
  <si>
    <t xml:space="preserve">日付</t>
  </si>
  <si>
    <t xml:space="preserve">曜</t>
  </si>
  <si>
    <t xml:space="preserve">宴会場</t>
  </si>
  <si>
    <t xml:space="preserve">多目的ホール</t>
  </si>
  <si>
    <t xml:space="preserve">ザ・プレート</t>
  </si>
  <si>
    <t xml:space="preserve">あさ日</t>
  </si>
  <si>
    <t xml:space="preserve">BECO</t>
  </si>
  <si>
    <t xml:space="preserve">矢代</t>
  </si>
  <si>
    <t xml:space="preserve">水</t>
  </si>
  <si>
    <t xml:space="preserve">木</t>
  </si>
  <si>
    <t xml:space="preserve">金</t>
  </si>
  <si>
    <t xml:space="preserve">土</t>
  </si>
  <si>
    <t xml:space="preserve">日</t>
  </si>
  <si>
    <t xml:space="preserve">月</t>
  </si>
  <si>
    <t xml:space="preserve">火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</si>
</sst>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/m/d"/>
    <numFmt numFmtId="167" formatCode="m/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WenQuanYi Zen Hei"/>
      <family val="2"/>
    </font>
    <font>
      <b val="true"/>
      <sz val="13"/>
      <color rgb="FF000000"/>
      <name val="Yu Gothic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Yu Gothic"/>
      <family val="0"/>
      <charset val="1"/>
    </font>
    <font>
      <b val="true"/>
      <sz val="14"/>
      <color rgb="FFC00000"/>
      <name val="Yu Gothic"/>
      <family val="0"/>
      <charset val="1"/>
    </font>
    <font>
      <sz val="9"/>
      <color rgb="FF000000"/>
      <name val="WenQuanYi Zen Hei"/>
      <family val="2"/>
    </font>
    <font>
      <b val="true"/>
      <sz val="14"/>
      <color rgb="FFB4552A"/>
      <name val="Yu Gothic"/>
      <family val="0"/>
      <charset val="1"/>
    </font>
    <font>
      <b val="true"/>
      <sz val="14"/>
      <color rgb="FF000000"/>
      <name val="Yu Gothic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Yu Gothic"/>
      <family val="0"/>
      <charset val="1"/>
    </font>
    <font>
      <sz val="9"/>
      <color rgb="FF000000"/>
      <name val="Yu Gothic"/>
      <family val="0"/>
      <charset val="1"/>
    </font>
    <font>
      <sz val="8.5"/>
      <color rgb="FF000000"/>
      <name val="Yu Gothic"/>
      <family val="0"/>
      <charset val="1"/>
    </font>
    <font>
      <sz val="8.5"/>
      <color rgb="FF000000"/>
      <name val="WenQuanYi Zen Hei"/>
      <family val="2"/>
    </font>
    <font>
      <sz val="8"/>
      <color rgb="FF000000"/>
      <name val="Yu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EC"/>
        <bgColor rgb="FFE3EDF7"/>
      </patternFill>
    </fill>
    <fill>
      <patternFill patternType="solid">
        <fgColor rgb="FFEFEFEF"/>
        <bgColor rgb="FFE8F0E8"/>
      </patternFill>
    </fill>
    <fill>
      <patternFill patternType="solid">
        <fgColor rgb="FFFFF7CC"/>
        <bgColor rgb="FFEFEFEF"/>
      </patternFill>
    </fill>
    <fill>
      <patternFill patternType="solid">
        <fgColor rgb="FFE8F0E8"/>
        <bgColor rgb="FFEFEFEF"/>
      </patternFill>
    </fill>
    <fill>
      <patternFill patternType="solid">
        <fgColor rgb="FFE3EDF7"/>
        <bgColor rgb="FFE8F0E8"/>
      </patternFill>
    </fill>
    <fill>
      <patternFill patternType="solid">
        <fgColor rgb="FFF7E3E3"/>
        <bgColor rgb="FFEFEF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4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B3B3"/>
        </patternFill>
      </fill>
    </dxf>
    <dxf>
      <fill>
        <patternFill>
          <bgColor rgb="FFFFE9A8"/>
        </patternFill>
      </fill>
    </dxf>
    <dxf>
      <font>
        <name val="Yu Gothic"/>
        <charset val="1"/>
        <family val="0"/>
        <strike val="1"/>
        <color rgb="FFAAAAAA"/>
        <sz val="9"/>
      </font>
    </dxf>
    <dxf>
      <fill>
        <patternFill>
          <bgColor rgb="FFDDEFDD"/>
        </patternFill>
      </fill>
    </dxf>
  </dxfs>
  <colors>
    <indexedColors>
      <rgbColor rgb="FF000000"/>
      <rgbColor rgb="FFEFEFE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4F"/>
      <rgbColor rgb="FFAAAAAA"/>
      <rgbColor rgb="FF808080"/>
      <rgbColor rgb="FF9999FF"/>
      <rgbColor rgb="FF993366"/>
      <rgbColor rgb="FFFFF7CC"/>
      <rgbColor rgb="FFE3EDF7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8"/>
      <rgbColor rgb="FFDDEFDD"/>
      <rgbColor rgb="FFFFE9A8"/>
      <rgbColor rgb="FFF7E3E3"/>
      <rgbColor rgb="FFFF99CC"/>
      <rgbColor rgb="FFCC99FF"/>
      <rgbColor rgb="FFFFB3B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B455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52A"/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10"/>
  </cols>
  <sheetData>
    <row r="1" customFormat="false" ht="17.15" hidden="false" customHeight="false" outlineLevel="0" collapsed="false">
      <c r="A1" s="1" t="s">
        <v>0</v>
      </c>
      <c r="B1" s="1"/>
      <c r="C1" s="1"/>
    </row>
    <row r="3" customFormat="false" ht="17.35" hidden="false" customHeight="false" outlineLevel="0" collapsed="false">
      <c r="A3" s="2" t="s">
        <v>1</v>
      </c>
      <c r="B3" s="3" t="n">
        <f aca="true">COUNTIFS(案件一覧!$C$3:$C$62,"仮予約",案件一覧!$H$3:$H$62,"&lt;"&amp;TODAY(),案件一覧!$H$3:$H$62,"&lt;&gt;")</f>
        <v>0</v>
      </c>
      <c r="C3" s="4" t="s">
        <v>2</v>
      </c>
    </row>
    <row r="4" customFormat="false" ht="17.35" hidden="false" customHeight="false" outlineLevel="0" collapsed="false">
      <c r="A4" s="2" t="s">
        <v>3</v>
      </c>
      <c r="B4" s="5" t="n">
        <f aca="true">COUNTIFS(案件一覧!$C$3:$C$62,"仮予約",案件一覧!$H$3:$H$62,"&lt;="&amp;(TODAY()+3),案件一覧!$H$3:$H$62,"&gt;="&amp;TODAY())</f>
        <v>0</v>
      </c>
      <c r="C4" s="4" t="s">
        <v>4</v>
      </c>
    </row>
    <row r="5" customFormat="false" ht="17.35" hidden="false" customHeight="false" outlineLevel="0" collapsed="false">
      <c r="A5" s="2" t="s">
        <v>5</v>
      </c>
      <c r="B5" s="6" t="n">
        <f aca="true">COUNTIFS(案件一覧!$E$3:$E$62,TODAY(),案件一覧!$C$3:$C$62,"&lt;&gt;キャンセル")</f>
        <v>0</v>
      </c>
      <c r="C5" s="4" t="s">
        <v>6</v>
      </c>
    </row>
    <row r="8" customFormat="false" ht="15" hidden="false" customHeight="false" outlineLevel="0" collapsed="false">
      <c r="A8" s="7" t="s">
        <v>7</v>
      </c>
    </row>
    <row r="9" customFormat="false" ht="15" hidden="false" customHeight="false" outlineLevel="0" collapsed="false">
      <c r="A9" s="8" t="s">
        <v>8</v>
      </c>
    </row>
    <row r="10" customFormat="false" ht="15" hidden="false" customHeight="false" outlineLevel="0" collapsed="false">
      <c r="A10" s="8" t="s">
        <v>9</v>
      </c>
    </row>
    <row r="11" customFormat="false" ht="15" hidden="false" customHeight="false" outlineLevel="0" collapsed="false">
      <c r="A11" s="4" t="s">
        <v>10</v>
      </c>
    </row>
    <row r="12" customFormat="false" ht="15" hidden="false" customHeight="false" outlineLevel="0" collapsed="false">
      <c r="A12" s="8" t="s">
        <v>11</v>
      </c>
    </row>
    <row r="13" customFormat="false" ht="15" hidden="false" customHeight="false" outlineLevel="0" collapsed="false">
      <c r="A13" s="8" t="s">
        <v>12</v>
      </c>
    </row>
    <row r="14" customFormat="false" ht="15" hidden="false" customHeight="false" outlineLevel="0" collapsed="false">
      <c r="A14" s="8" t="s">
        <v>13</v>
      </c>
    </row>
    <row r="15" customFormat="false" ht="15" hidden="false" customHeight="false" outlineLevel="0" collapsed="false">
      <c r="A15" s="8" t="s">
        <v>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4F"/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26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7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20"/>
  </cols>
  <sheetData>
    <row r="1" customFormat="false" ht="14.15" hidden="false" customHeight="false" outlineLevel="0" collapsed="false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customFormat="false" ht="15" hidden="false" customHeight="false" outlineLevel="0" collapsed="false">
      <c r="A2" s="10" t="s">
        <v>16</v>
      </c>
      <c r="B2" s="10" t="s">
        <v>17</v>
      </c>
      <c r="C2" s="11" t="s">
        <v>18</v>
      </c>
      <c r="D2" s="10" t="s">
        <v>19</v>
      </c>
      <c r="E2" s="11" t="s">
        <v>20</v>
      </c>
      <c r="F2" s="11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</row>
    <row r="3" customFormat="false" ht="15" hidden="false" customHeight="false" outlineLevel="0" collapsed="false">
      <c r="A3" s="12"/>
      <c r="B3" s="12"/>
      <c r="C3" s="12"/>
      <c r="D3" s="12"/>
      <c r="E3" s="13"/>
      <c r="F3" s="13"/>
      <c r="G3" s="14" t="str">
        <f aca="false">IF(COUNT(E3,F3)&lt;2,"",F3-E3)</f>
        <v/>
      </c>
      <c r="H3" s="13"/>
      <c r="I3" s="14" t="str">
        <f aca="true">IF(AND(C3="仮予約",H3&lt;&gt;""),H3-TODAY(),"")</f>
        <v/>
      </c>
      <c r="J3" s="15"/>
      <c r="K3" s="15"/>
      <c r="L3" s="15"/>
      <c r="M3" s="12"/>
      <c r="N3" s="15"/>
      <c r="O3" s="12"/>
      <c r="P3" s="15"/>
      <c r="Q3" s="15"/>
    </row>
    <row r="4" customFormat="false" ht="15" hidden="false" customHeight="false" outlineLevel="0" collapsed="false">
      <c r="A4" s="12"/>
      <c r="B4" s="12"/>
      <c r="C4" s="12"/>
      <c r="D4" s="12"/>
      <c r="E4" s="13"/>
      <c r="F4" s="13"/>
      <c r="G4" s="14" t="str">
        <f aca="false">IF(COUNT(E4,F4)&lt;2,"",F4-E4)</f>
        <v/>
      </c>
      <c r="H4" s="13"/>
      <c r="I4" s="14" t="str">
        <f aca="true">IF(AND(C4="仮予約",H4&lt;&gt;""),H4-TODAY(),"")</f>
        <v/>
      </c>
      <c r="J4" s="15"/>
      <c r="K4" s="15"/>
      <c r="L4" s="15"/>
      <c r="M4" s="12"/>
      <c r="N4" s="15"/>
      <c r="O4" s="12"/>
      <c r="P4" s="15"/>
      <c r="Q4" s="15"/>
    </row>
    <row r="5" customFormat="false" ht="15" hidden="false" customHeight="false" outlineLevel="0" collapsed="false">
      <c r="A5" s="12"/>
      <c r="B5" s="12"/>
      <c r="C5" s="12"/>
      <c r="D5" s="12"/>
      <c r="E5" s="13"/>
      <c r="F5" s="13"/>
      <c r="G5" s="14" t="str">
        <f aca="false">IF(COUNT(E5,F5)&lt;2,"",F5-E5)</f>
        <v/>
      </c>
      <c r="H5" s="13"/>
      <c r="I5" s="14" t="str">
        <f aca="true">IF(AND(C5="仮予約",H5&lt;&gt;""),H5-TODAY(),"")</f>
        <v/>
      </c>
      <c r="J5" s="15"/>
      <c r="K5" s="15"/>
      <c r="L5" s="15"/>
      <c r="M5" s="12"/>
      <c r="N5" s="15"/>
      <c r="O5" s="12"/>
      <c r="P5" s="15"/>
      <c r="Q5" s="15"/>
    </row>
    <row r="6" customFormat="false" ht="15" hidden="false" customHeight="false" outlineLevel="0" collapsed="false">
      <c r="A6" s="12"/>
      <c r="B6" s="12"/>
      <c r="C6" s="12"/>
      <c r="D6" s="12"/>
      <c r="E6" s="13"/>
      <c r="F6" s="13"/>
      <c r="G6" s="14" t="str">
        <f aca="false">IF(COUNT(E6,F6)&lt;2,"",F6-E6)</f>
        <v/>
      </c>
      <c r="H6" s="13"/>
      <c r="I6" s="14" t="str">
        <f aca="true">IF(AND(C6="仮予約",H6&lt;&gt;""),H6-TODAY(),"")</f>
        <v/>
      </c>
      <c r="J6" s="15"/>
      <c r="K6" s="15"/>
      <c r="L6" s="15"/>
      <c r="M6" s="12"/>
      <c r="N6" s="15"/>
      <c r="O6" s="12"/>
      <c r="P6" s="15"/>
      <c r="Q6" s="15"/>
    </row>
    <row r="7" customFormat="false" ht="15" hidden="false" customHeight="false" outlineLevel="0" collapsed="false">
      <c r="A7" s="12"/>
      <c r="B7" s="12"/>
      <c r="C7" s="12"/>
      <c r="D7" s="12"/>
      <c r="E7" s="13"/>
      <c r="F7" s="13"/>
      <c r="G7" s="14" t="str">
        <f aca="false">IF(COUNT(E7,F7)&lt;2,"",F7-E7)</f>
        <v/>
      </c>
      <c r="H7" s="13"/>
      <c r="I7" s="14" t="str">
        <f aca="true">IF(AND(C7="仮予約",H7&lt;&gt;""),H7-TODAY(),"")</f>
        <v/>
      </c>
      <c r="J7" s="15"/>
      <c r="K7" s="15"/>
      <c r="L7" s="15"/>
      <c r="M7" s="12"/>
      <c r="N7" s="15"/>
      <c r="O7" s="12"/>
      <c r="P7" s="15"/>
      <c r="Q7" s="15"/>
    </row>
    <row r="8" customFormat="false" ht="15" hidden="false" customHeight="false" outlineLevel="0" collapsed="false">
      <c r="A8" s="12"/>
      <c r="B8" s="12"/>
      <c r="C8" s="12"/>
      <c r="D8" s="12"/>
      <c r="E8" s="13"/>
      <c r="F8" s="13"/>
      <c r="G8" s="14" t="str">
        <f aca="false">IF(COUNT(E8,F8)&lt;2,"",F8-E8)</f>
        <v/>
      </c>
      <c r="H8" s="13"/>
      <c r="I8" s="14" t="str">
        <f aca="true">IF(AND(C8="仮予約",H8&lt;&gt;""),H8-TODAY(),"")</f>
        <v/>
      </c>
      <c r="J8" s="15"/>
      <c r="K8" s="15"/>
      <c r="L8" s="15"/>
      <c r="M8" s="12"/>
      <c r="N8" s="15"/>
      <c r="O8" s="12"/>
      <c r="P8" s="15"/>
      <c r="Q8" s="15"/>
    </row>
    <row r="9" customFormat="false" ht="15" hidden="false" customHeight="false" outlineLevel="0" collapsed="false">
      <c r="A9" s="12"/>
      <c r="B9" s="12"/>
      <c r="C9" s="12"/>
      <c r="D9" s="12"/>
      <c r="E9" s="13"/>
      <c r="F9" s="13"/>
      <c r="G9" s="14" t="str">
        <f aca="false">IF(COUNT(E9,F9)&lt;2,"",F9-E9)</f>
        <v/>
      </c>
      <c r="H9" s="13"/>
      <c r="I9" s="14" t="str">
        <f aca="true">IF(AND(C9="仮予約",H9&lt;&gt;""),H9-TODAY(),"")</f>
        <v/>
      </c>
      <c r="J9" s="15"/>
      <c r="K9" s="15"/>
      <c r="L9" s="15"/>
      <c r="M9" s="12"/>
      <c r="N9" s="15"/>
      <c r="O9" s="12"/>
      <c r="P9" s="15"/>
      <c r="Q9" s="15"/>
    </row>
    <row r="10" customFormat="false" ht="15" hidden="false" customHeight="false" outlineLevel="0" collapsed="false">
      <c r="A10" s="12"/>
      <c r="B10" s="12"/>
      <c r="C10" s="12"/>
      <c r="D10" s="12"/>
      <c r="E10" s="13"/>
      <c r="F10" s="13"/>
      <c r="G10" s="14" t="str">
        <f aca="false">IF(COUNT(E10,F10)&lt;2,"",F10-E10)</f>
        <v/>
      </c>
      <c r="H10" s="13"/>
      <c r="I10" s="14" t="str">
        <f aca="true">IF(AND(C10="仮予約",H10&lt;&gt;""),H10-TODAY(),"")</f>
        <v/>
      </c>
      <c r="J10" s="15"/>
      <c r="K10" s="15"/>
      <c r="L10" s="15"/>
      <c r="M10" s="12"/>
      <c r="N10" s="15"/>
      <c r="O10" s="12"/>
      <c r="P10" s="15"/>
      <c r="Q10" s="15"/>
    </row>
    <row r="11" customFormat="false" ht="15" hidden="false" customHeight="false" outlineLevel="0" collapsed="false">
      <c r="A11" s="12"/>
      <c r="B11" s="12"/>
      <c r="C11" s="12"/>
      <c r="D11" s="12"/>
      <c r="E11" s="13"/>
      <c r="F11" s="13"/>
      <c r="G11" s="14" t="str">
        <f aca="false">IF(COUNT(E11,F11)&lt;2,"",F11-E11)</f>
        <v/>
      </c>
      <c r="H11" s="13"/>
      <c r="I11" s="14" t="str">
        <f aca="true">IF(AND(C11="仮予約",H11&lt;&gt;""),H11-TODAY(),"")</f>
        <v/>
      </c>
      <c r="J11" s="15"/>
      <c r="K11" s="15"/>
      <c r="L11" s="15"/>
      <c r="M11" s="12"/>
      <c r="N11" s="15"/>
      <c r="O11" s="12"/>
      <c r="P11" s="15"/>
      <c r="Q11" s="15"/>
    </row>
    <row r="12" customFormat="false" ht="15" hidden="false" customHeight="false" outlineLevel="0" collapsed="false">
      <c r="A12" s="12"/>
      <c r="B12" s="12"/>
      <c r="C12" s="12"/>
      <c r="D12" s="12"/>
      <c r="E12" s="13"/>
      <c r="F12" s="13"/>
      <c r="G12" s="14" t="str">
        <f aca="false">IF(COUNT(E12,F12)&lt;2,"",F12-E12)</f>
        <v/>
      </c>
      <c r="H12" s="13"/>
      <c r="I12" s="14" t="str">
        <f aca="true">IF(AND(C12="仮予約",H12&lt;&gt;""),H12-TODAY(),"")</f>
        <v/>
      </c>
      <c r="J12" s="15"/>
      <c r="K12" s="15"/>
      <c r="L12" s="15"/>
      <c r="M12" s="12"/>
      <c r="N12" s="15"/>
      <c r="O12" s="12"/>
      <c r="P12" s="15"/>
      <c r="Q12" s="15"/>
    </row>
    <row r="13" customFormat="false" ht="15" hidden="false" customHeight="false" outlineLevel="0" collapsed="false">
      <c r="A13" s="12"/>
      <c r="B13" s="12"/>
      <c r="C13" s="12"/>
      <c r="D13" s="12"/>
      <c r="E13" s="13"/>
      <c r="F13" s="13"/>
      <c r="G13" s="14" t="str">
        <f aca="false">IF(COUNT(E13,F13)&lt;2,"",F13-E13)</f>
        <v/>
      </c>
      <c r="H13" s="13"/>
      <c r="I13" s="14" t="str">
        <f aca="true">IF(AND(C13="仮予約",H13&lt;&gt;""),H13-TODAY(),"")</f>
        <v/>
      </c>
      <c r="J13" s="15"/>
      <c r="K13" s="15"/>
      <c r="L13" s="15"/>
      <c r="M13" s="12"/>
      <c r="N13" s="15"/>
      <c r="O13" s="12"/>
      <c r="P13" s="15"/>
      <c r="Q13" s="15"/>
    </row>
    <row r="14" customFormat="false" ht="15" hidden="false" customHeight="false" outlineLevel="0" collapsed="false">
      <c r="A14" s="12"/>
      <c r="B14" s="12"/>
      <c r="C14" s="12"/>
      <c r="D14" s="12"/>
      <c r="E14" s="13"/>
      <c r="F14" s="13"/>
      <c r="G14" s="14" t="str">
        <f aca="false">IF(COUNT(E14,F14)&lt;2,"",F14-E14)</f>
        <v/>
      </c>
      <c r="H14" s="13"/>
      <c r="I14" s="14" t="str">
        <f aca="true">IF(AND(C14="仮予約",H14&lt;&gt;""),H14-TODAY(),"")</f>
        <v/>
      </c>
      <c r="J14" s="15"/>
      <c r="K14" s="15"/>
      <c r="L14" s="15"/>
      <c r="M14" s="12"/>
      <c r="N14" s="15"/>
      <c r="O14" s="12"/>
      <c r="P14" s="15"/>
      <c r="Q14" s="15"/>
    </row>
    <row r="15" customFormat="false" ht="15" hidden="false" customHeight="false" outlineLevel="0" collapsed="false">
      <c r="A15" s="12"/>
      <c r="B15" s="12"/>
      <c r="C15" s="12"/>
      <c r="D15" s="12"/>
      <c r="E15" s="13"/>
      <c r="F15" s="13"/>
      <c r="G15" s="14" t="str">
        <f aca="false">IF(COUNT(E15,F15)&lt;2,"",F15-E15)</f>
        <v/>
      </c>
      <c r="H15" s="13"/>
      <c r="I15" s="14" t="str">
        <f aca="true">IF(AND(C15="仮予約",H15&lt;&gt;""),H15-TODAY(),"")</f>
        <v/>
      </c>
      <c r="J15" s="15"/>
      <c r="K15" s="15"/>
      <c r="L15" s="15"/>
      <c r="M15" s="12"/>
      <c r="N15" s="15"/>
      <c r="O15" s="12"/>
      <c r="P15" s="15"/>
      <c r="Q15" s="15"/>
    </row>
    <row r="16" customFormat="false" ht="15" hidden="false" customHeight="false" outlineLevel="0" collapsed="false">
      <c r="A16" s="12"/>
      <c r="B16" s="12"/>
      <c r="C16" s="12"/>
      <c r="D16" s="12"/>
      <c r="E16" s="13"/>
      <c r="F16" s="13"/>
      <c r="G16" s="14" t="str">
        <f aca="false">IF(COUNT(E16,F16)&lt;2,"",F16-E16)</f>
        <v/>
      </c>
      <c r="H16" s="13"/>
      <c r="I16" s="14" t="str">
        <f aca="true">IF(AND(C16="仮予約",H16&lt;&gt;""),H16-TODAY(),"")</f>
        <v/>
      </c>
      <c r="J16" s="15"/>
      <c r="K16" s="15"/>
      <c r="L16" s="15"/>
      <c r="M16" s="12"/>
      <c r="N16" s="15"/>
      <c r="O16" s="12"/>
      <c r="P16" s="15"/>
      <c r="Q16" s="15"/>
    </row>
    <row r="17" customFormat="false" ht="15" hidden="false" customHeight="false" outlineLevel="0" collapsed="false">
      <c r="A17" s="12"/>
      <c r="B17" s="12"/>
      <c r="C17" s="12"/>
      <c r="D17" s="12"/>
      <c r="E17" s="13"/>
      <c r="F17" s="13"/>
      <c r="G17" s="14" t="str">
        <f aca="false">IF(COUNT(E17,F17)&lt;2,"",F17-E17)</f>
        <v/>
      </c>
      <c r="H17" s="13"/>
      <c r="I17" s="14" t="str">
        <f aca="true">IF(AND(C17="仮予約",H17&lt;&gt;""),H17-TODAY(),"")</f>
        <v/>
      </c>
      <c r="J17" s="15"/>
      <c r="K17" s="15"/>
      <c r="L17" s="15"/>
      <c r="M17" s="12"/>
      <c r="N17" s="15"/>
      <c r="O17" s="12"/>
      <c r="P17" s="15"/>
      <c r="Q17" s="15"/>
    </row>
    <row r="18" customFormat="false" ht="15" hidden="false" customHeight="false" outlineLevel="0" collapsed="false">
      <c r="A18" s="12"/>
      <c r="B18" s="12"/>
      <c r="C18" s="12"/>
      <c r="D18" s="12"/>
      <c r="E18" s="13"/>
      <c r="F18" s="13"/>
      <c r="G18" s="14" t="str">
        <f aca="false">IF(COUNT(E18,F18)&lt;2,"",F18-E18)</f>
        <v/>
      </c>
      <c r="H18" s="13"/>
      <c r="I18" s="14" t="str">
        <f aca="true">IF(AND(C18="仮予約",H18&lt;&gt;""),H18-TODAY(),"")</f>
        <v/>
      </c>
      <c r="J18" s="15"/>
      <c r="K18" s="15"/>
      <c r="L18" s="15"/>
      <c r="M18" s="12"/>
      <c r="N18" s="15"/>
      <c r="O18" s="12"/>
      <c r="P18" s="15"/>
      <c r="Q18" s="15"/>
    </row>
    <row r="19" customFormat="false" ht="15" hidden="false" customHeight="false" outlineLevel="0" collapsed="false">
      <c r="A19" s="12"/>
      <c r="B19" s="12"/>
      <c r="C19" s="12"/>
      <c r="D19" s="12"/>
      <c r="E19" s="13"/>
      <c r="F19" s="13"/>
      <c r="G19" s="14" t="str">
        <f aca="false">IF(COUNT(E19,F19)&lt;2,"",F19-E19)</f>
        <v/>
      </c>
      <c r="H19" s="13"/>
      <c r="I19" s="14" t="str">
        <f aca="true">IF(AND(C19="仮予約",H19&lt;&gt;""),H19-TODAY(),"")</f>
        <v/>
      </c>
      <c r="J19" s="15"/>
      <c r="K19" s="15"/>
      <c r="L19" s="15"/>
      <c r="M19" s="12"/>
      <c r="N19" s="15"/>
      <c r="O19" s="12"/>
      <c r="P19" s="15"/>
      <c r="Q19" s="15"/>
    </row>
    <row r="20" customFormat="false" ht="15" hidden="false" customHeight="false" outlineLevel="0" collapsed="false">
      <c r="A20" s="12"/>
      <c r="B20" s="12"/>
      <c r="C20" s="12"/>
      <c r="D20" s="12"/>
      <c r="E20" s="13"/>
      <c r="F20" s="13"/>
      <c r="G20" s="14" t="str">
        <f aca="false">IF(COUNT(E20,F20)&lt;2,"",F20-E20)</f>
        <v/>
      </c>
      <c r="H20" s="13"/>
      <c r="I20" s="14" t="str">
        <f aca="true">IF(AND(C20="仮予約",H20&lt;&gt;""),H20-TODAY(),"")</f>
        <v/>
      </c>
      <c r="J20" s="15"/>
      <c r="K20" s="15"/>
      <c r="L20" s="15"/>
      <c r="M20" s="12"/>
      <c r="N20" s="15"/>
      <c r="O20" s="12"/>
      <c r="P20" s="15"/>
      <c r="Q20" s="15"/>
    </row>
    <row r="21" customFormat="false" ht="15" hidden="false" customHeight="false" outlineLevel="0" collapsed="false">
      <c r="A21" s="12"/>
      <c r="B21" s="12"/>
      <c r="C21" s="12"/>
      <c r="D21" s="12"/>
      <c r="E21" s="13"/>
      <c r="F21" s="13"/>
      <c r="G21" s="14" t="str">
        <f aca="false">IF(COUNT(E21,F21)&lt;2,"",F21-E21)</f>
        <v/>
      </c>
      <c r="H21" s="13"/>
      <c r="I21" s="14" t="str">
        <f aca="true">IF(AND(C21="仮予約",H21&lt;&gt;""),H21-TODAY(),"")</f>
        <v/>
      </c>
      <c r="J21" s="15"/>
      <c r="K21" s="15"/>
      <c r="L21" s="15"/>
      <c r="M21" s="12"/>
      <c r="N21" s="15"/>
      <c r="O21" s="12"/>
      <c r="P21" s="15"/>
      <c r="Q21" s="15"/>
    </row>
    <row r="22" customFormat="false" ht="15" hidden="false" customHeight="false" outlineLevel="0" collapsed="false">
      <c r="A22" s="12"/>
      <c r="B22" s="12"/>
      <c r="C22" s="12"/>
      <c r="D22" s="12"/>
      <c r="E22" s="13"/>
      <c r="F22" s="13"/>
      <c r="G22" s="14" t="str">
        <f aca="false">IF(COUNT(E22,F22)&lt;2,"",F22-E22)</f>
        <v/>
      </c>
      <c r="H22" s="13"/>
      <c r="I22" s="14" t="str">
        <f aca="true">IF(AND(C22="仮予約",H22&lt;&gt;""),H22-TODAY(),"")</f>
        <v/>
      </c>
      <c r="J22" s="15"/>
      <c r="K22" s="15"/>
      <c r="L22" s="15"/>
      <c r="M22" s="12"/>
      <c r="N22" s="15"/>
      <c r="O22" s="12"/>
      <c r="P22" s="15"/>
      <c r="Q22" s="15"/>
    </row>
    <row r="23" customFormat="false" ht="15" hidden="false" customHeight="false" outlineLevel="0" collapsed="false">
      <c r="A23" s="12"/>
      <c r="B23" s="12"/>
      <c r="C23" s="12"/>
      <c r="D23" s="12"/>
      <c r="E23" s="13"/>
      <c r="F23" s="13"/>
      <c r="G23" s="14" t="str">
        <f aca="false">IF(COUNT(E23,F23)&lt;2,"",F23-E23)</f>
        <v/>
      </c>
      <c r="H23" s="13"/>
      <c r="I23" s="14" t="str">
        <f aca="true">IF(AND(C23="仮予約",H23&lt;&gt;""),H23-TODAY(),"")</f>
        <v/>
      </c>
      <c r="J23" s="15"/>
      <c r="K23" s="15"/>
      <c r="L23" s="15"/>
      <c r="M23" s="12"/>
      <c r="N23" s="15"/>
      <c r="O23" s="12"/>
      <c r="P23" s="15"/>
      <c r="Q23" s="15"/>
    </row>
    <row r="24" customFormat="false" ht="15" hidden="false" customHeight="false" outlineLevel="0" collapsed="false">
      <c r="A24" s="12"/>
      <c r="B24" s="12"/>
      <c r="C24" s="12"/>
      <c r="D24" s="12"/>
      <c r="E24" s="13"/>
      <c r="F24" s="13"/>
      <c r="G24" s="14" t="str">
        <f aca="false">IF(COUNT(E24,F24)&lt;2,"",F24-E24)</f>
        <v/>
      </c>
      <c r="H24" s="13"/>
      <c r="I24" s="14" t="str">
        <f aca="true">IF(AND(C24="仮予約",H24&lt;&gt;""),H24-TODAY(),"")</f>
        <v/>
      </c>
      <c r="J24" s="15"/>
      <c r="K24" s="15"/>
      <c r="L24" s="15"/>
      <c r="M24" s="12"/>
      <c r="N24" s="15"/>
      <c r="O24" s="12"/>
      <c r="P24" s="15"/>
      <c r="Q24" s="15"/>
    </row>
    <row r="25" customFormat="false" ht="15" hidden="false" customHeight="false" outlineLevel="0" collapsed="false">
      <c r="A25" s="12"/>
      <c r="B25" s="12"/>
      <c r="C25" s="12"/>
      <c r="D25" s="12"/>
      <c r="E25" s="13"/>
      <c r="F25" s="13"/>
      <c r="G25" s="14" t="str">
        <f aca="false">IF(COUNT(E25,F25)&lt;2,"",F25-E25)</f>
        <v/>
      </c>
      <c r="H25" s="13"/>
      <c r="I25" s="14" t="str">
        <f aca="true">IF(AND(C25="仮予約",H25&lt;&gt;""),H25-TODAY(),"")</f>
        <v/>
      </c>
      <c r="J25" s="15"/>
      <c r="K25" s="15"/>
      <c r="L25" s="15"/>
      <c r="M25" s="12"/>
      <c r="N25" s="15"/>
      <c r="O25" s="12"/>
      <c r="P25" s="15"/>
      <c r="Q25" s="15"/>
    </row>
    <row r="26" customFormat="false" ht="15" hidden="false" customHeight="false" outlineLevel="0" collapsed="false">
      <c r="A26" s="12"/>
      <c r="B26" s="12"/>
      <c r="C26" s="12"/>
      <c r="D26" s="12"/>
      <c r="E26" s="13"/>
      <c r="F26" s="13"/>
      <c r="G26" s="14" t="str">
        <f aca="false">IF(COUNT(E26,F26)&lt;2,"",F26-E26)</f>
        <v/>
      </c>
      <c r="H26" s="13"/>
      <c r="I26" s="14" t="str">
        <f aca="true">IF(AND(C26="仮予約",H26&lt;&gt;""),H26-TODAY(),"")</f>
        <v/>
      </c>
      <c r="J26" s="15"/>
      <c r="K26" s="15"/>
      <c r="L26" s="15"/>
      <c r="M26" s="12"/>
      <c r="N26" s="15"/>
      <c r="O26" s="12"/>
      <c r="P26" s="15"/>
      <c r="Q26" s="15"/>
    </row>
    <row r="27" customFormat="false" ht="15" hidden="false" customHeight="false" outlineLevel="0" collapsed="false">
      <c r="A27" s="12"/>
      <c r="B27" s="12"/>
      <c r="C27" s="12"/>
      <c r="D27" s="12"/>
      <c r="E27" s="13"/>
      <c r="F27" s="13"/>
      <c r="G27" s="14" t="str">
        <f aca="false">IF(COUNT(E27,F27)&lt;2,"",F27-E27)</f>
        <v/>
      </c>
      <c r="H27" s="13"/>
      <c r="I27" s="14" t="str">
        <f aca="true">IF(AND(C27="仮予約",H27&lt;&gt;""),H27-TODAY(),"")</f>
        <v/>
      </c>
      <c r="J27" s="15"/>
      <c r="K27" s="15"/>
      <c r="L27" s="15"/>
      <c r="M27" s="12"/>
      <c r="N27" s="15"/>
      <c r="O27" s="12"/>
      <c r="P27" s="15"/>
      <c r="Q27" s="15"/>
    </row>
    <row r="28" customFormat="false" ht="15" hidden="false" customHeight="false" outlineLevel="0" collapsed="false">
      <c r="A28" s="12"/>
      <c r="B28" s="12"/>
      <c r="C28" s="12"/>
      <c r="D28" s="12"/>
      <c r="E28" s="13"/>
      <c r="F28" s="13"/>
      <c r="G28" s="14" t="str">
        <f aca="false">IF(COUNT(E28,F28)&lt;2,"",F28-E28)</f>
        <v/>
      </c>
      <c r="H28" s="13"/>
      <c r="I28" s="14" t="str">
        <f aca="true">IF(AND(C28="仮予約",H28&lt;&gt;""),H28-TODAY(),"")</f>
        <v/>
      </c>
      <c r="J28" s="15"/>
      <c r="K28" s="15"/>
      <c r="L28" s="15"/>
      <c r="M28" s="12"/>
      <c r="N28" s="15"/>
      <c r="O28" s="12"/>
      <c r="P28" s="15"/>
      <c r="Q28" s="15"/>
    </row>
    <row r="29" customFormat="false" ht="15" hidden="false" customHeight="false" outlineLevel="0" collapsed="false">
      <c r="A29" s="12"/>
      <c r="B29" s="12"/>
      <c r="C29" s="12"/>
      <c r="D29" s="12"/>
      <c r="E29" s="13"/>
      <c r="F29" s="13"/>
      <c r="G29" s="14" t="str">
        <f aca="false">IF(COUNT(E29,F29)&lt;2,"",F29-E29)</f>
        <v/>
      </c>
      <c r="H29" s="13"/>
      <c r="I29" s="14" t="str">
        <f aca="true">IF(AND(C29="仮予約",H29&lt;&gt;""),H29-TODAY(),"")</f>
        <v/>
      </c>
      <c r="J29" s="15"/>
      <c r="K29" s="15"/>
      <c r="L29" s="15"/>
      <c r="M29" s="12"/>
      <c r="N29" s="15"/>
      <c r="O29" s="12"/>
      <c r="P29" s="15"/>
      <c r="Q29" s="15"/>
    </row>
    <row r="30" customFormat="false" ht="15" hidden="false" customHeight="false" outlineLevel="0" collapsed="false">
      <c r="A30" s="12"/>
      <c r="B30" s="12"/>
      <c r="C30" s="12"/>
      <c r="D30" s="12"/>
      <c r="E30" s="13"/>
      <c r="F30" s="13"/>
      <c r="G30" s="14" t="str">
        <f aca="false">IF(COUNT(E30,F30)&lt;2,"",F30-E30)</f>
        <v/>
      </c>
      <c r="H30" s="13"/>
      <c r="I30" s="14" t="str">
        <f aca="true">IF(AND(C30="仮予約",H30&lt;&gt;""),H30-TODAY(),"")</f>
        <v/>
      </c>
      <c r="J30" s="15"/>
      <c r="K30" s="15"/>
      <c r="L30" s="15"/>
      <c r="M30" s="12"/>
      <c r="N30" s="15"/>
      <c r="O30" s="12"/>
      <c r="P30" s="15"/>
      <c r="Q30" s="15"/>
    </row>
    <row r="31" customFormat="false" ht="15" hidden="false" customHeight="false" outlineLevel="0" collapsed="false">
      <c r="A31" s="12"/>
      <c r="B31" s="12"/>
      <c r="C31" s="12"/>
      <c r="D31" s="12"/>
      <c r="E31" s="13"/>
      <c r="F31" s="13"/>
      <c r="G31" s="14" t="str">
        <f aca="false">IF(COUNT(E31,F31)&lt;2,"",F31-E31)</f>
        <v/>
      </c>
      <c r="H31" s="13"/>
      <c r="I31" s="14" t="str">
        <f aca="true">IF(AND(C31="仮予約",H31&lt;&gt;""),H31-TODAY(),"")</f>
        <v/>
      </c>
      <c r="J31" s="15"/>
      <c r="K31" s="15"/>
      <c r="L31" s="15"/>
      <c r="M31" s="12"/>
      <c r="N31" s="15"/>
      <c r="O31" s="12"/>
      <c r="P31" s="15"/>
      <c r="Q31" s="15"/>
    </row>
    <row r="32" customFormat="false" ht="15" hidden="false" customHeight="false" outlineLevel="0" collapsed="false">
      <c r="A32" s="12"/>
      <c r="B32" s="12"/>
      <c r="C32" s="12"/>
      <c r="D32" s="12"/>
      <c r="E32" s="13"/>
      <c r="F32" s="13"/>
      <c r="G32" s="14" t="str">
        <f aca="false">IF(COUNT(E32,F32)&lt;2,"",F32-E32)</f>
        <v/>
      </c>
      <c r="H32" s="13"/>
      <c r="I32" s="14" t="str">
        <f aca="true">IF(AND(C32="仮予約",H32&lt;&gt;""),H32-TODAY(),"")</f>
        <v/>
      </c>
      <c r="J32" s="15"/>
      <c r="K32" s="15"/>
      <c r="L32" s="15"/>
      <c r="M32" s="12"/>
      <c r="N32" s="15"/>
      <c r="O32" s="12"/>
      <c r="P32" s="15"/>
      <c r="Q32" s="15"/>
    </row>
    <row r="33" customFormat="false" ht="15" hidden="false" customHeight="false" outlineLevel="0" collapsed="false">
      <c r="A33" s="12"/>
      <c r="B33" s="12"/>
      <c r="C33" s="12"/>
      <c r="D33" s="12"/>
      <c r="E33" s="13"/>
      <c r="F33" s="13"/>
      <c r="G33" s="14" t="str">
        <f aca="false">IF(COUNT(E33,F33)&lt;2,"",F33-E33)</f>
        <v/>
      </c>
      <c r="H33" s="13"/>
      <c r="I33" s="14" t="str">
        <f aca="true">IF(AND(C33="仮予約",H33&lt;&gt;""),H33-TODAY(),"")</f>
        <v/>
      </c>
      <c r="J33" s="15"/>
      <c r="K33" s="15"/>
      <c r="L33" s="15"/>
      <c r="M33" s="12"/>
      <c r="N33" s="15"/>
      <c r="O33" s="12"/>
      <c r="P33" s="15"/>
      <c r="Q33" s="15"/>
    </row>
    <row r="34" customFormat="false" ht="15" hidden="false" customHeight="false" outlineLevel="0" collapsed="false">
      <c r="A34" s="12"/>
      <c r="B34" s="12"/>
      <c r="C34" s="12"/>
      <c r="D34" s="12"/>
      <c r="E34" s="13"/>
      <c r="F34" s="13"/>
      <c r="G34" s="14" t="str">
        <f aca="false">IF(COUNT(E34,F34)&lt;2,"",F34-E34)</f>
        <v/>
      </c>
      <c r="H34" s="13"/>
      <c r="I34" s="14" t="str">
        <f aca="true">IF(AND(C34="仮予約",H34&lt;&gt;""),H34-TODAY(),"")</f>
        <v/>
      </c>
      <c r="J34" s="15"/>
      <c r="K34" s="15"/>
      <c r="L34" s="15"/>
      <c r="M34" s="12"/>
      <c r="N34" s="15"/>
      <c r="O34" s="12"/>
      <c r="P34" s="15"/>
      <c r="Q34" s="15"/>
    </row>
    <row r="35" customFormat="false" ht="15" hidden="false" customHeight="false" outlineLevel="0" collapsed="false">
      <c r="A35" s="12"/>
      <c r="B35" s="12"/>
      <c r="C35" s="12"/>
      <c r="D35" s="12"/>
      <c r="E35" s="13"/>
      <c r="F35" s="13"/>
      <c r="G35" s="14" t="str">
        <f aca="false">IF(COUNT(E35,F35)&lt;2,"",F35-E35)</f>
        <v/>
      </c>
      <c r="H35" s="13"/>
      <c r="I35" s="14" t="str">
        <f aca="true">IF(AND(C35="仮予約",H35&lt;&gt;""),H35-TODAY(),"")</f>
        <v/>
      </c>
      <c r="J35" s="15"/>
      <c r="K35" s="15"/>
      <c r="L35" s="15"/>
      <c r="M35" s="12"/>
      <c r="N35" s="15"/>
      <c r="O35" s="12"/>
      <c r="P35" s="15"/>
      <c r="Q35" s="15"/>
    </row>
    <row r="36" customFormat="false" ht="15" hidden="false" customHeight="false" outlineLevel="0" collapsed="false">
      <c r="A36" s="12"/>
      <c r="B36" s="12"/>
      <c r="C36" s="12"/>
      <c r="D36" s="12"/>
      <c r="E36" s="13"/>
      <c r="F36" s="13"/>
      <c r="G36" s="14" t="str">
        <f aca="false">IF(COUNT(E36,F36)&lt;2,"",F36-E36)</f>
        <v/>
      </c>
      <c r="H36" s="13"/>
      <c r="I36" s="14" t="str">
        <f aca="true">IF(AND(C36="仮予約",H36&lt;&gt;""),H36-TODAY(),"")</f>
        <v/>
      </c>
      <c r="J36" s="15"/>
      <c r="K36" s="15"/>
      <c r="L36" s="15"/>
      <c r="M36" s="12"/>
      <c r="N36" s="15"/>
      <c r="O36" s="12"/>
      <c r="P36" s="15"/>
      <c r="Q36" s="15"/>
    </row>
    <row r="37" customFormat="false" ht="15" hidden="false" customHeight="false" outlineLevel="0" collapsed="false">
      <c r="A37" s="12"/>
      <c r="B37" s="12"/>
      <c r="C37" s="12"/>
      <c r="D37" s="12"/>
      <c r="E37" s="13"/>
      <c r="F37" s="13"/>
      <c r="G37" s="14" t="str">
        <f aca="false">IF(COUNT(E37,F37)&lt;2,"",F37-E37)</f>
        <v/>
      </c>
      <c r="H37" s="13"/>
      <c r="I37" s="14" t="str">
        <f aca="true">IF(AND(C37="仮予約",H37&lt;&gt;""),H37-TODAY(),"")</f>
        <v/>
      </c>
      <c r="J37" s="15"/>
      <c r="K37" s="15"/>
      <c r="L37" s="15"/>
      <c r="M37" s="12"/>
      <c r="N37" s="15"/>
      <c r="O37" s="12"/>
      <c r="P37" s="15"/>
      <c r="Q37" s="15"/>
    </row>
    <row r="38" customFormat="false" ht="15" hidden="false" customHeight="false" outlineLevel="0" collapsed="false">
      <c r="A38" s="12"/>
      <c r="B38" s="12"/>
      <c r="C38" s="12"/>
      <c r="D38" s="12"/>
      <c r="E38" s="13"/>
      <c r="F38" s="13"/>
      <c r="G38" s="14" t="str">
        <f aca="false">IF(COUNT(E38,F38)&lt;2,"",F38-E38)</f>
        <v/>
      </c>
      <c r="H38" s="13"/>
      <c r="I38" s="14" t="str">
        <f aca="true">IF(AND(C38="仮予約",H38&lt;&gt;""),H38-TODAY(),"")</f>
        <v/>
      </c>
      <c r="J38" s="15"/>
      <c r="K38" s="15"/>
      <c r="L38" s="15"/>
      <c r="M38" s="12"/>
      <c r="N38" s="15"/>
      <c r="O38" s="12"/>
      <c r="P38" s="15"/>
      <c r="Q38" s="15"/>
    </row>
    <row r="39" customFormat="false" ht="15" hidden="false" customHeight="false" outlineLevel="0" collapsed="false">
      <c r="A39" s="12"/>
      <c r="B39" s="12"/>
      <c r="C39" s="12"/>
      <c r="D39" s="12"/>
      <c r="E39" s="13"/>
      <c r="F39" s="13"/>
      <c r="G39" s="14" t="str">
        <f aca="false">IF(COUNT(E39,F39)&lt;2,"",F39-E39)</f>
        <v/>
      </c>
      <c r="H39" s="13"/>
      <c r="I39" s="14" t="str">
        <f aca="true">IF(AND(C39="仮予約",H39&lt;&gt;""),H39-TODAY(),"")</f>
        <v/>
      </c>
      <c r="J39" s="15"/>
      <c r="K39" s="15"/>
      <c r="L39" s="15"/>
      <c r="M39" s="12"/>
      <c r="N39" s="15"/>
      <c r="O39" s="12"/>
      <c r="P39" s="15"/>
      <c r="Q39" s="15"/>
    </row>
    <row r="40" customFormat="false" ht="15" hidden="false" customHeight="false" outlineLevel="0" collapsed="false">
      <c r="A40" s="12"/>
      <c r="B40" s="12"/>
      <c r="C40" s="12"/>
      <c r="D40" s="12"/>
      <c r="E40" s="13"/>
      <c r="F40" s="13"/>
      <c r="G40" s="14" t="str">
        <f aca="false">IF(COUNT(E40,F40)&lt;2,"",F40-E40)</f>
        <v/>
      </c>
      <c r="H40" s="13"/>
      <c r="I40" s="14" t="str">
        <f aca="true">IF(AND(C40="仮予約",H40&lt;&gt;""),H40-TODAY(),"")</f>
        <v/>
      </c>
      <c r="J40" s="15"/>
      <c r="K40" s="15"/>
      <c r="L40" s="15"/>
      <c r="M40" s="12"/>
      <c r="N40" s="15"/>
      <c r="O40" s="12"/>
      <c r="P40" s="15"/>
      <c r="Q40" s="15"/>
    </row>
    <row r="41" customFormat="false" ht="15" hidden="false" customHeight="false" outlineLevel="0" collapsed="false">
      <c r="A41" s="12"/>
      <c r="B41" s="12"/>
      <c r="C41" s="12"/>
      <c r="D41" s="12"/>
      <c r="E41" s="13"/>
      <c r="F41" s="13"/>
      <c r="G41" s="14" t="str">
        <f aca="false">IF(COUNT(E41,F41)&lt;2,"",F41-E41)</f>
        <v/>
      </c>
      <c r="H41" s="13"/>
      <c r="I41" s="14" t="str">
        <f aca="true">IF(AND(C41="仮予約",H41&lt;&gt;""),H41-TODAY(),"")</f>
        <v/>
      </c>
      <c r="J41" s="15"/>
      <c r="K41" s="15"/>
      <c r="L41" s="15"/>
      <c r="M41" s="12"/>
      <c r="N41" s="15"/>
      <c r="O41" s="12"/>
      <c r="P41" s="15"/>
      <c r="Q41" s="15"/>
    </row>
    <row r="42" customFormat="false" ht="15" hidden="false" customHeight="false" outlineLevel="0" collapsed="false">
      <c r="A42" s="12"/>
      <c r="B42" s="12"/>
      <c r="C42" s="12"/>
      <c r="D42" s="12"/>
      <c r="E42" s="13"/>
      <c r="F42" s="13"/>
      <c r="G42" s="14" t="str">
        <f aca="false">IF(COUNT(E42,F42)&lt;2,"",F42-E42)</f>
        <v/>
      </c>
      <c r="H42" s="13"/>
      <c r="I42" s="14" t="str">
        <f aca="true">IF(AND(C42="仮予約",H42&lt;&gt;""),H42-TODAY(),"")</f>
        <v/>
      </c>
      <c r="J42" s="15"/>
      <c r="K42" s="15"/>
      <c r="L42" s="15"/>
      <c r="M42" s="12"/>
      <c r="N42" s="15"/>
      <c r="O42" s="12"/>
      <c r="P42" s="15"/>
      <c r="Q42" s="15"/>
    </row>
    <row r="43" customFormat="false" ht="15" hidden="false" customHeight="false" outlineLevel="0" collapsed="false">
      <c r="A43" s="12"/>
      <c r="B43" s="12"/>
      <c r="C43" s="12"/>
      <c r="D43" s="12"/>
      <c r="E43" s="13"/>
      <c r="F43" s="13"/>
      <c r="G43" s="14" t="str">
        <f aca="false">IF(COUNT(E43,F43)&lt;2,"",F43-E43)</f>
        <v/>
      </c>
      <c r="H43" s="13"/>
      <c r="I43" s="14" t="str">
        <f aca="true">IF(AND(C43="仮予約",H43&lt;&gt;""),H43-TODAY(),"")</f>
        <v/>
      </c>
      <c r="J43" s="15"/>
      <c r="K43" s="15"/>
      <c r="L43" s="15"/>
      <c r="M43" s="12"/>
      <c r="N43" s="15"/>
      <c r="O43" s="12"/>
      <c r="P43" s="15"/>
      <c r="Q43" s="15"/>
    </row>
    <row r="44" customFormat="false" ht="15" hidden="false" customHeight="false" outlineLevel="0" collapsed="false">
      <c r="A44" s="12"/>
      <c r="B44" s="12"/>
      <c r="C44" s="12"/>
      <c r="D44" s="12"/>
      <c r="E44" s="13"/>
      <c r="F44" s="13"/>
      <c r="G44" s="14" t="str">
        <f aca="false">IF(COUNT(E44,F44)&lt;2,"",F44-E44)</f>
        <v/>
      </c>
      <c r="H44" s="13"/>
      <c r="I44" s="14" t="str">
        <f aca="true">IF(AND(C44="仮予約",H44&lt;&gt;""),H44-TODAY(),"")</f>
        <v/>
      </c>
      <c r="J44" s="15"/>
      <c r="K44" s="15"/>
      <c r="L44" s="15"/>
      <c r="M44" s="12"/>
      <c r="N44" s="15"/>
      <c r="O44" s="12"/>
      <c r="P44" s="15"/>
      <c r="Q44" s="15"/>
    </row>
    <row r="45" customFormat="false" ht="15" hidden="false" customHeight="false" outlineLevel="0" collapsed="false">
      <c r="A45" s="12"/>
      <c r="B45" s="12"/>
      <c r="C45" s="12"/>
      <c r="D45" s="12"/>
      <c r="E45" s="13"/>
      <c r="F45" s="13"/>
      <c r="G45" s="14" t="str">
        <f aca="false">IF(COUNT(E45,F45)&lt;2,"",F45-E45)</f>
        <v/>
      </c>
      <c r="H45" s="13"/>
      <c r="I45" s="14" t="str">
        <f aca="true">IF(AND(C45="仮予約",H45&lt;&gt;""),H45-TODAY(),"")</f>
        <v/>
      </c>
      <c r="J45" s="15"/>
      <c r="K45" s="15"/>
      <c r="L45" s="15"/>
      <c r="M45" s="12"/>
      <c r="N45" s="15"/>
      <c r="O45" s="12"/>
      <c r="P45" s="15"/>
      <c r="Q45" s="15"/>
    </row>
    <row r="46" customFormat="false" ht="15" hidden="false" customHeight="false" outlineLevel="0" collapsed="false">
      <c r="A46" s="12"/>
      <c r="B46" s="12"/>
      <c r="C46" s="12"/>
      <c r="D46" s="12"/>
      <c r="E46" s="13"/>
      <c r="F46" s="13"/>
      <c r="G46" s="14" t="str">
        <f aca="false">IF(COUNT(E46,F46)&lt;2,"",F46-E46)</f>
        <v/>
      </c>
      <c r="H46" s="13"/>
      <c r="I46" s="14" t="str">
        <f aca="true">IF(AND(C46="仮予約",H46&lt;&gt;""),H46-TODAY(),"")</f>
        <v/>
      </c>
      <c r="J46" s="15"/>
      <c r="K46" s="15"/>
      <c r="L46" s="15"/>
      <c r="M46" s="12"/>
      <c r="N46" s="15"/>
      <c r="O46" s="12"/>
      <c r="P46" s="15"/>
      <c r="Q46" s="15"/>
    </row>
    <row r="47" customFormat="false" ht="15" hidden="false" customHeight="false" outlineLevel="0" collapsed="false">
      <c r="A47" s="12"/>
      <c r="B47" s="12"/>
      <c r="C47" s="12"/>
      <c r="D47" s="12"/>
      <c r="E47" s="13"/>
      <c r="F47" s="13"/>
      <c r="G47" s="14" t="str">
        <f aca="false">IF(COUNT(E47,F47)&lt;2,"",F47-E47)</f>
        <v/>
      </c>
      <c r="H47" s="13"/>
      <c r="I47" s="14" t="str">
        <f aca="true">IF(AND(C47="仮予約",H47&lt;&gt;""),H47-TODAY(),"")</f>
        <v/>
      </c>
      <c r="J47" s="15"/>
      <c r="K47" s="15"/>
      <c r="L47" s="15"/>
      <c r="M47" s="12"/>
      <c r="N47" s="15"/>
      <c r="O47" s="12"/>
      <c r="P47" s="15"/>
      <c r="Q47" s="15"/>
    </row>
    <row r="48" customFormat="false" ht="15" hidden="false" customHeight="false" outlineLevel="0" collapsed="false">
      <c r="A48" s="12"/>
      <c r="B48" s="12"/>
      <c r="C48" s="12"/>
      <c r="D48" s="12"/>
      <c r="E48" s="13"/>
      <c r="F48" s="13"/>
      <c r="G48" s="14" t="str">
        <f aca="false">IF(COUNT(E48,F48)&lt;2,"",F48-E48)</f>
        <v/>
      </c>
      <c r="H48" s="13"/>
      <c r="I48" s="14" t="str">
        <f aca="true">IF(AND(C48="仮予約",H48&lt;&gt;""),H48-TODAY(),"")</f>
        <v/>
      </c>
      <c r="J48" s="15"/>
      <c r="K48" s="15"/>
      <c r="L48" s="15"/>
      <c r="M48" s="12"/>
      <c r="N48" s="15"/>
      <c r="O48" s="12"/>
      <c r="P48" s="15"/>
      <c r="Q48" s="15"/>
    </row>
    <row r="49" customFormat="false" ht="15" hidden="false" customHeight="false" outlineLevel="0" collapsed="false">
      <c r="A49" s="12"/>
      <c r="B49" s="12"/>
      <c r="C49" s="12"/>
      <c r="D49" s="12"/>
      <c r="E49" s="13"/>
      <c r="F49" s="13"/>
      <c r="G49" s="14" t="str">
        <f aca="false">IF(COUNT(E49,F49)&lt;2,"",F49-E49)</f>
        <v/>
      </c>
      <c r="H49" s="13"/>
      <c r="I49" s="14" t="str">
        <f aca="true">IF(AND(C49="仮予約",H49&lt;&gt;""),H49-TODAY(),"")</f>
        <v/>
      </c>
      <c r="J49" s="15"/>
      <c r="K49" s="15"/>
      <c r="L49" s="15"/>
      <c r="M49" s="12"/>
      <c r="N49" s="15"/>
      <c r="O49" s="12"/>
      <c r="P49" s="15"/>
      <c r="Q49" s="15"/>
    </row>
    <row r="50" customFormat="false" ht="15" hidden="false" customHeight="false" outlineLevel="0" collapsed="false">
      <c r="A50" s="12"/>
      <c r="B50" s="12"/>
      <c r="C50" s="12"/>
      <c r="D50" s="12"/>
      <c r="E50" s="13"/>
      <c r="F50" s="13"/>
      <c r="G50" s="14" t="str">
        <f aca="false">IF(COUNT(E50,F50)&lt;2,"",F50-E50)</f>
        <v/>
      </c>
      <c r="H50" s="13"/>
      <c r="I50" s="14" t="str">
        <f aca="true">IF(AND(C50="仮予約",H50&lt;&gt;""),H50-TODAY(),"")</f>
        <v/>
      </c>
      <c r="J50" s="15"/>
      <c r="K50" s="15"/>
      <c r="L50" s="15"/>
      <c r="M50" s="12"/>
      <c r="N50" s="15"/>
      <c r="O50" s="12"/>
      <c r="P50" s="15"/>
      <c r="Q50" s="15"/>
    </row>
    <row r="51" customFormat="false" ht="15" hidden="false" customHeight="false" outlineLevel="0" collapsed="false">
      <c r="A51" s="12"/>
      <c r="B51" s="12"/>
      <c r="C51" s="12"/>
      <c r="D51" s="12"/>
      <c r="E51" s="13"/>
      <c r="F51" s="13"/>
      <c r="G51" s="14" t="str">
        <f aca="false">IF(COUNT(E51,F51)&lt;2,"",F51-E51)</f>
        <v/>
      </c>
      <c r="H51" s="13"/>
      <c r="I51" s="14" t="str">
        <f aca="true">IF(AND(C51="仮予約",H51&lt;&gt;""),H51-TODAY(),"")</f>
        <v/>
      </c>
      <c r="J51" s="15"/>
      <c r="K51" s="15"/>
      <c r="L51" s="15"/>
      <c r="M51" s="12"/>
      <c r="N51" s="15"/>
      <c r="O51" s="12"/>
      <c r="P51" s="15"/>
      <c r="Q51" s="15"/>
    </row>
    <row r="52" customFormat="false" ht="15" hidden="false" customHeight="false" outlineLevel="0" collapsed="false">
      <c r="A52" s="12"/>
      <c r="B52" s="12"/>
      <c r="C52" s="12"/>
      <c r="D52" s="12"/>
      <c r="E52" s="13"/>
      <c r="F52" s="13"/>
      <c r="G52" s="14" t="str">
        <f aca="false">IF(COUNT(E52,F52)&lt;2,"",F52-E52)</f>
        <v/>
      </c>
      <c r="H52" s="13"/>
      <c r="I52" s="14" t="str">
        <f aca="true">IF(AND(C52="仮予約",H52&lt;&gt;""),H52-TODAY(),"")</f>
        <v/>
      </c>
      <c r="J52" s="15"/>
      <c r="K52" s="15"/>
      <c r="L52" s="15"/>
      <c r="M52" s="12"/>
      <c r="N52" s="15"/>
      <c r="O52" s="12"/>
      <c r="P52" s="15"/>
      <c r="Q52" s="15"/>
    </row>
    <row r="53" customFormat="false" ht="15" hidden="false" customHeight="false" outlineLevel="0" collapsed="false">
      <c r="A53" s="12"/>
      <c r="B53" s="12"/>
      <c r="C53" s="12"/>
      <c r="D53" s="12"/>
      <c r="E53" s="13"/>
      <c r="F53" s="13"/>
      <c r="G53" s="14" t="str">
        <f aca="false">IF(COUNT(E53,F53)&lt;2,"",F53-E53)</f>
        <v/>
      </c>
      <c r="H53" s="13"/>
      <c r="I53" s="14" t="str">
        <f aca="true">IF(AND(C53="仮予約",H53&lt;&gt;""),H53-TODAY(),"")</f>
        <v/>
      </c>
      <c r="J53" s="15"/>
      <c r="K53" s="15"/>
      <c r="L53" s="15"/>
      <c r="M53" s="12"/>
      <c r="N53" s="15"/>
      <c r="O53" s="12"/>
      <c r="P53" s="15"/>
      <c r="Q53" s="15"/>
    </row>
    <row r="54" customFormat="false" ht="15" hidden="false" customHeight="false" outlineLevel="0" collapsed="false">
      <c r="A54" s="12"/>
      <c r="B54" s="12"/>
      <c r="C54" s="12"/>
      <c r="D54" s="12"/>
      <c r="E54" s="13"/>
      <c r="F54" s="13"/>
      <c r="G54" s="14" t="str">
        <f aca="false">IF(COUNT(E54,F54)&lt;2,"",F54-E54)</f>
        <v/>
      </c>
      <c r="H54" s="13"/>
      <c r="I54" s="14" t="str">
        <f aca="true">IF(AND(C54="仮予約",H54&lt;&gt;""),H54-TODAY(),"")</f>
        <v/>
      </c>
      <c r="J54" s="15"/>
      <c r="K54" s="15"/>
      <c r="L54" s="15"/>
      <c r="M54" s="12"/>
      <c r="N54" s="15"/>
      <c r="O54" s="12"/>
      <c r="P54" s="15"/>
      <c r="Q54" s="15"/>
    </row>
    <row r="55" customFormat="false" ht="15" hidden="false" customHeight="false" outlineLevel="0" collapsed="false">
      <c r="A55" s="12"/>
      <c r="B55" s="12"/>
      <c r="C55" s="12"/>
      <c r="D55" s="12"/>
      <c r="E55" s="13"/>
      <c r="F55" s="13"/>
      <c r="G55" s="14" t="str">
        <f aca="false">IF(COUNT(E55,F55)&lt;2,"",F55-E55)</f>
        <v/>
      </c>
      <c r="H55" s="13"/>
      <c r="I55" s="14" t="str">
        <f aca="true">IF(AND(C55="仮予約",H55&lt;&gt;""),H55-TODAY(),"")</f>
        <v/>
      </c>
      <c r="J55" s="15"/>
      <c r="K55" s="15"/>
      <c r="L55" s="15"/>
      <c r="M55" s="12"/>
      <c r="N55" s="15"/>
      <c r="O55" s="12"/>
      <c r="P55" s="15"/>
      <c r="Q55" s="15"/>
    </row>
    <row r="56" customFormat="false" ht="15" hidden="false" customHeight="false" outlineLevel="0" collapsed="false">
      <c r="A56" s="12"/>
      <c r="B56" s="12"/>
      <c r="C56" s="12"/>
      <c r="D56" s="12"/>
      <c r="E56" s="13"/>
      <c r="F56" s="13"/>
      <c r="G56" s="14" t="str">
        <f aca="false">IF(COUNT(E56,F56)&lt;2,"",F56-E56)</f>
        <v/>
      </c>
      <c r="H56" s="13"/>
      <c r="I56" s="14" t="str">
        <f aca="true">IF(AND(C56="仮予約",H56&lt;&gt;""),H56-TODAY(),"")</f>
        <v/>
      </c>
      <c r="J56" s="15"/>
      <c r="K56" s="15"/>
      <c r="L56" s="15"/>
      <c r="M56" s="12"/>
      <c r="N56" s="15"/>
      <c r="O56" s="12"/>
      <c r="P56" s="15"/>
      <c r="Q56" s="15"/>
    </row>
    <row r="57" customFormat="false" ht="15" hidden="false" customHeight="false" outlineLevel="0" collapsed="false">
      <c r="A57" s="12"/>
      <c r="B57" s="12"/>
      <c r="C57" s="12"/>
      <c r="D57" s="12"/>
      <c r="E57" s="13"/>
      <c r="F57" s="13"/>
      <c r="G57" s="14" t="str">
        <f aca="false">IF(COUNT(E57,F57)&lt;2,"",F57-E57)</f>
        <v/>
      </c>
      <c r="H57" s="13"/>
      <c r="I57" s="14" t="str">
        <f aca="true">IF(AND(C57="仮予約",H57&lt;&gt;""),H57-TODAY(),"")</f>
        <v/>
      </c>
      <c r="J57" s="15"/>
      <c r="K57" s="15"/>
      <c r="L57" s="15"/>
      <c r="M57" s="12"/>
      <c r="N57" s="15"/>
      <c r="O57" s="12"/>
      <c r="P57" s="15"/>
      <c r="Q57" s="15"/>
    </row>
    <row r="58" customFormat="false" ht="15" hidden="false" customHeight="false" outlineLevel="0" collapsed="false">
      <c r="A58" s="12"/>
      <c r="B58" s="12"/>
      <c r="C58" s="12"/>
      <c r="D58" s="12"/>
      <c r="E58" s="13"/>
      <c r="F58" s="13"/>
      <c r="G58" s="14" t="str">
        <f aca="false">IF(COUNT(E58,F58)&lt;2,"",F58-E58)</f>
        <v/>
      </c>
      <c r="H58" s="13"/>
      <c r="I58" s="14" t="str">
        <f aca="true">IF(AND(C58="仮予約",H58&lt;&gt;""),H58-TODAY(),"")</f>
        <v/>
      </c>
      <c r="J58" s="15"/>
      <c r="K58" s="15"/>
      <c r="L58" s="15"/>
      <c r="M58" s="12"/>
      <c r="N58" s="15"/>
      <c r="O58" s="12"/>
      <c r="P58" s="15"/>
      <c r="Q58" s="15"/>
    </row>
    <row r="59" customFormat="false" ht="15" hidden="false" customHeight="false" outlineLevel="0" collapsed="false">
      <c r="A59" s="12"/>
      <c r="B59" s="12"/>
      <c r="C59" s="12"/>
      <c r="D59" s="12"/>
      <c r="E59" s="13"/>
      <c r="F59" s="13"/>
      <c r="G59" s="14" t="str">
        <f aca="false">IF(COUNT(E59,F59)&lt;2,"",F59-E59)</f>
        <v/>
      </c>
      <c r="H59" s="13"/>
      <c r="I59" s="14" t="str">
        <f aca="true">IF(AND(C59="仮予約",H59&lt;&gt;""),H59-TODAY(),"")</f>
        <v/>
      </c>
      <c r="J59" s="15"/>
      <c r="K59" s="15"/>
      <c r="L59" s="15"/>
      <c r="M59" s="12"/>
      <c r="N59" s="15"/>
      <c r="O59" s="12"/>
      <c r="P59" s="15"/>
      <c r="Q59" s="15"/>
    </row>
    <row r="60" customFormat="false" ht="15" hidden="false" customHeight="false" outlineLevel="0" collapsed="false">
      <c r="A60" s="12"/>
      <c r="B60" s="12"/>
      <c r="C60" s="12"/>
      <c r="D60" s="12"/>
      <c r="E60" s="13"/>
      <c r="F60" s="13"/>
      <c r="G60" s="14" t="str">
        <f aca="false">IF(COUNT(E60,F60)&lt;2,"",F60-E60)</f>
        <v/>
      </c>
      <c r="H60" s="13"/>
      <c r="I60" s="14" t="str">
        <f aca="true">IF(AND(C60="仮予約",H60&lt;&gt;""),H60-TODAY(),"")</f>
        <v/>
      </c>
      <c r="J60" s="15"/>
      <c r="K60" s="15"/>
      <c r="L60" s="15"/>
      <c r="M60" s="12"/>
      <c r="N60" s="15"/>
      <c r="O60" s="12"/>
      <c r="P60" s="15"/>
      <c r="Q60" s="15"/>
    </row>
    <row r="61" customFormat="false" ht="15" hidden="false" customHeight="false" outlineLevel="0" collapsed="false">
      <c r="A61" s="12"/>
      <c r="B61" s="12"/>
      <c r="C61" s="12"/>
      <c r="D61" s="12"/>
      <c r="E61" s="13"/>
      <c r="F61" s="13"/>
      <c r="G61" s="14" t="str">
        <f aca="false">IF(COUNT(E61,F61)&lt;2,"",F61-E61)</f>
        <v/>
      </c>
      <c r="H61" s="13"/>
      <c r="I61" s="14" t="str">
        <f aca="true">IF(AND(C61="仮予約",H61&lt;&gt;""),H61-TODAY(),"")</f>
        <v/>
      </c>
      <c r="J61" s="15"/>
      <c r="K61" s="15"/>
      <c r="L61" s="15"/>
      <c r="M61" s="12"/>
      <c r="N61" s="15"/>
      <c r="O61" s="12"/>
      <c r="P61" s="15"/>
      <c r="Q61" s="15"/>
    </row>
    <row r="62" customFormat="false" ht="15" hidden="false" customHeight="false" outlineLevel="0" collapsed="false">
      <c r="A62" s="12"/>
      <c r="B62" s="12"/>
      <c r="C62" s="12"/>
      <c r="D62" s="12"/>
      <c r="E62" s="13"/>
      <c r="F62" s="13"/>
      <c r="G62" s="14" t="str">
        <f aca="false">IF(COUNT(E62,F62)&lt;2,"",F62-E62)</f>
        <v/>
      </c>
      <c r="H62" s="13"/>
      <c r="I62" s="14" t="str">
        <f aca="true">IF(AND(C62="仮予約",H62&lt;&gt;""),H62-TODAY(),"")</f>
        <v/>
      </c>
      <c r="J62" s="15"/>
      <c r="K62" s="15"/>
      <c r="L62" s="15"/>
      <c r="M62" s="12"/>
      <c r="N62" s="15"/>
      <c r="O62" s="12"/>
      <c r="P62" s="15"/>
      <c r="Q62" s="15"/>
    </row>
  </sheetData>
  <mergeCells count="1">
    <mergeCell ref="A1:Q1"/>
  </mergeCells>
  <conditionalFormatting sqref="I3:I62">
    <cfRule type="expression" priority="2" aboveAverage="0" equalAverage="0" bottom="0" percent="0" rank="0" text="" dxfId="0">
      <formula>AND($I3&lt;&gt;"",$I3&lt;=0)</formula>
    </cfRule>
    <cfRule type="expression" priority="3" aboveAverage="0" equalAverage="0" bottom="0" percent="0" rank="0" text="" dxfId="1">
      <formula>AND($I3&lt;&gt;"",$I3&lt;=3)</formula>
    </cfRule>
  </conditionalFormatting>
  <conditionalFormatting sqref="A3:Q62">
    <cfRule type="expression" priority="4" aboveAverage="0" equalAverage="0" bottom="0" percent="0" rank="0" text="" dxfId="2">
      <formula>$C3="キャンセル"</formula>
    </cfRule>
  </conditionalFormatting>
  <dataValidations count="3">
    <dataValidation allowBlank="true" errorStyle="stop" operator="between" showDropDown="false" showErrorMessage="false" showInputMessage="false" sqref="C3:C62" type="list">
      <formula1>"引合,仮予約,確定,実施済,請求済,入金済,キャンセル"</formula1>
      <formula2>0</formula2>
    </dataValidation>
    <dataValidation allowBlank="true" errorStyle="stop" operator="between" showDropDown="false" showErrorMessage="false" showInputMessage="false" sqref="D3:D62" type="list">
      <formula1>"S,A,B,C"</formula1>
      <formula2>0</formula2>
    </dataValidation>
    <dataValidation allowBlank="true" errorStyle="stop" operator="between" showDropDown="false" showErrorMessage="false" showInputMessage="false" sqref="N3:N62" type="list">
      <formula1>"宴会場,多目的ホール,ザ・プレート,あさ日,BECO,矢代"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8" min="3" style="0" width="18"/>
  </cols>
  <sheetData>
    <row r="1" customFormat="false" ht="14.15" hidden="false" customHeight="false" outlineLevel="0" collapsed="false">
      <c r="A1" s="9" t="s">
        <v>33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0" t="s">
        <v>39</v>
      </c>
      <c r="G3" s="11" t="s">
        <v>40</v>
      </c>
      <c r="H3" s="10" t="s">
        <v>41</v>
      </c>
    </row>
    <row r="4" customFormat="false" ht="15" hidden="false" customHeight="false" outlineLevel="0" collapsed="false">
      <c r="A4" s="16" t="n">
        <v>46204</v>
      </c>
      <c r="B4" s="17" t="s">
        <v>42</v>
      </c>
      <c r="C4" s="18" t="str">
        <f aca="false">IF(COUNTIFS(案件一覧!$N$3:$N$62,C$3,案件一覧!$E$3:$E$62,"&lt;="&amp;$A4,案件一覧!$F$3:$F$62,"&gt;"&amp;$A4,案件一覧!$C$3:$C$62,"&lt;&gt;キャンセル")=0,"",INDEX(案件一覧!$J$3:$J$62,MATCH(1,INDEX((案件一覧!$N$3:$N$62=C$3)*(案件一覧!$E$3:$E$62&lt;=$A4)*(案件一覧!$F$3:$F$62&gt;$A4)*(案件一覧!$C$3:$C$62&lt;&gt;"キャンセル"),0),0))&amp;IF(COUNTIFS(案件一覧!$N$3:$N$62,C$3,案件一覧!$E$3:$E$62,"&lt;="&amp;$A4,案件一覧!$F$3:$F$62,"&gt;"&amp;$A4,案件一覧!$C$3:$C$62,"&lt;&gt;キャンセル")&gt;1," ◆重複!",""))</f>
        <v/>
      </c>
      <c r="D4" s="18" t="str">
        <f aca="false">IF(COUNTIFS(案件一覧!$N$3:$N$62,D$3,案件一覧!$E$3:$E$62,"&lt;="&amp;$A4,案件一覧!$F$3:$F$62,"&gt;"&amp;$A4,案件一覧!$C$3:$C$62,"&lt;&gt;キャンセル")=0,"",INDEX(案件一覧!$J$3:$J$62,MATCH(1,INDEX((案件一覧!$N$3:$N$62=D$3)*(案件一覧!$E$3:$E$62&lt;=$A4)*(案件一覧!$F$3:$F$62&gt;$A4)*(案件一覧!$C$3:$C$62&lt;&gt;"キャンセル"),0),0))&amp;IF(COUNTIFS(案件一覧!$N$3:$N$62,D$3,案件一覧!$E$3:$E$62,"&lt;="&amp;$A4,案件一覧!$F$3:$F$62,"&gt;"&amp;$A4,案件一覧!$C$3:$C$62,"&lt;&gt;キャンセル")&gt;1," ◆重複!",""))</f>
        <v/>
      </c>
      <c r="E4" s="18" t="str">
        <f aca="false">IF(COUNTIFS(案件一覧!$N$3:$N$62,E$3,案件一覧!$E$3:$E$62,"&lt;="&amp;$A4,案件一覧!$F$3:$F$62,"&gt;"&amp;$A4,案件一覧!$C$3:$C$62,"&lt;&gt;キャンセル")=0,"",INDEX(案件一覧!$J$3:$J$62,MATCH(1,INDEX((案件一覧!$N$3:$N$62=E$3)*(案件一覧!$E$3:$E$62&lt;=$A4)*(案件一覧!$F$3:$F$62&gt;$A4)*(案件一覧!$C$3:$C$62&lt;&gt;"キャンセル"),0),0))&amp;IF(COUNTIFS(案件一覧!$N$3:$N$62,E$3,案件一覧!$E$3:$E$62,"&lt;="&amp;$A4,案件一覧!$F$3:$F$62,"&gt;"&amp;$A4,案件一覧!$C$3:$C$62,"&lt;&gt;キャンセル")&gt;1," ◆重複!",""))</f>
        <v/>
      </c>
      <c r="F4" s="18" t="str">
        <f aca="false">IF(COUNTIFS(案件一覧!$N$3:$N$62,F$3,案件一覧!$E$3:$E$62,"&lt;="&amp;$A4,案件一覧!$F$3:$F$62,"&gt;"&amp;$A4,案件一覧!$C$3:$C$62,"&lt;&gt;キャンセル")=0,"",INDEX(案件一覧!$J$3:$J$62,MATCH(1,INDEX((案件一覧!$N$3:$N$62=F$3)*(案件一覧!$E$3:$E$62&lt;=$A4)*(案件一覧!$F$3:$F$62&gt;$A4)*(案件一覧!$C$3:$C$62&lt;&gt;"キャンセル"),0),0))&amp;IF(COUNTIFS(案件一覧!$N$3:$N$62,F$3,案件一覧!$E$3:$E$62,"&lt;="&amp;$A4,案件一覧!$F$3:$F$62,"&gt;"&amp;$A4,案件一覧!$C$3:$C$62,"&lt;&gt;キャンセル")&gt;1," ◆重複!",""))</f>
        <v/>
      </c>
      <c r="G4" s="18" t="str">
        <f aca="false">IF(COUNTIFS(案件一覧!$N$3:$N$62,G$3,案件一覧!$E$3:$E$62,"&lt;="&amp;$A4,案件一覧!$F$3:$F$62,"&gt;"&amp;$A4,案件一覧!$C$3:$C$62,"&lt;&gt;キャンセル")=0,"",INDEX(案件一覧!$J$3:$J$62,MATCH(1,INDEX((案件一覧!$N$3:$N$62=G$3)*(案件一覧!$E$3:$E$62&lt;=$A4)*(案件一覧!$F$3:$F$62&gt;$A4)*(案件一覧!$C$3:$C$62&lt;&gt;"キャンセル"),0),0))&amp;IF(COUNTIFS(案件一覧!$N$3:$N$62,G$3,案件一覧!$E$3:$E$62,"&lt;="&amp;$A4,案件一覧!$F$3:$F$62,"&gt;"&amp;$A4,案件一覧!$C$3:$C$62,"&lt;&gt;キャンセル")&gt;1," ◆重複!",""))</f>
        <v/>
      </c>
      <c r="H4" s="18" t="str">
        <f aca="false">IF(COUNTIFS(案件一覧!$N$3:$N$62,H$3,案件一覧!$E$3:$E$62,"&lt;="&amp;$A4,案件一覧!$F$3:$F$62,"&gt;"&amp;$A4,案件一覧!$C$3:$C$62,"&lt;&gt;キャンセル")=0,"",INDEX(案件一覧!$J$3:$J$62,MATCH(1,INDEX((案件一覧!$N$3:$N$62=H$3)*(案件一覧!$E$3:$E$62&lt;=$A4)*(案件一覧!$F$3:$F$62&gt;$A4)*(案件一覧!$C$3:$C$62&lt;&gt;"キャンセル"),0),0))&amp;IF(COUNTIFS(案件一覧!$N$3:$N$62,H$3,案件一覧!$E$3:$E$62,"&lt;="&amp;$A4,案件一覧!$F$3:$F$62,"&gt;"&amp;$A4,案件一覧!$C$3:$C$62,"&lt;&gt;キャンセル")&gt;1," ◆重複!",""))</f>
        <v/>
      </c>
    </row>
    <row r="5" customFormat="false" ht="15" hidden="false" customHeight="false" outlineLevel="0" collapsed="false">
      <c r="A5" s="16" t="n">
        <v>46205</v>
      </c>
      <c r="B5" s="17" t="s">
        <v>43</v>
      </c>
      <c r="C5" s="18" t="str">
        <f aca="false">IF(COUNTIFS(案件一覧!$N$3:$N$62,C$3,案件一覧!$E$3:$E$62,"&lt;="&amp;$A5,案件一覧!$F$3:$F$62,"&gt;"&amp;$A5,案件一覧!$C$3:$C$62,"&lt;&gt;キャンセル")=0,"",INDEX(案件一覧!$J$3:$J$62,MATCH(1,INDEX((案件一覧!$N$3:$N$62=C$3)*(案件一覧!$E$3:$E$62&lt;=$A5)*(案件一覧!$F$3:$F$62&gt;$A5)*(案件一覧!$C$3:$C$62&lt;&gt;"キャンセル"),0),0))&amp;IF(COUNTIFS(案件一覧!$N$3:$N$62,C$3,案件一覧!$E$3:$E$62,"&lt;="&amp;$A5,案件一覧!$F$3:$F$62,"&gt;"&amp;$A5,案件一覧!$C$3:$C$62,"&lt;&gt;キャンセル")&gt;1," ◆重複!",""))</f>
        <v/>
      </c>
      <c r="D5" s="18" t="str">
        <f aca="false">IF(COUNTIFS(案件一覧!$N$3:$N$62,D$3,案件一覧!$E$3:$E$62,"&lt;="&amp;$A5,案件一覧!$F$3:$F$62,"&gt;"&amp;$A5,案件一覧!$C$3:$C$62,"&lt;&gt;キャンセル")=0,"",INDEX(案件一覧!$J$3:$J$62,MATCH(1,INDEX((案件一覧!$N$3:$N$62=D$3)*(案件一覧!$E$3:$E$62&lt;=$A5)*(案件一覧!$F$3:$F$62&gt;$A5)*(案件一覧!$C$3:$C$62&lt;&gt;"キャンセル"),0),0))&amp;IF(COUNTIFS(案件一覧!$N$3:$N$62,D$3,案件一覧!$E$3:$E$62,"&lt;="&amp;$A5,案件一覧!$F$3:$F$62,"&gt;"&amp;$A5,案件一覧!$C$3:$C$62,"&lt;&gt;キャンセル")&gt;1," ◆重複!",""))</f>
        <v/>
      </c>
      <c r="E5" s="18" t="str">
        <f aca="false">IF(COUNTIFS(案件一覧!$N$3:$N$62,E$3,案件一覧!$E$3:$E$62,"&lt;="&amp;$A5,案件一覧!$F$3:$F$62,"&gt;"&amp;$A5,案件一覧!$C$3:$C$62,"&lt;&gt;キャンセル")=0,"",INDEX(案件一覧!$J$3:$J$62,MATCH(1,INDEX((案件一覧!$N$3:$N$62=E$3)*(案件一覧!$E$3:$E$62&lt;=$A5)*(案件一覧!$F$3:$F$62&gt;$A5)*(案件一覧!$C$3:$C$62&lt;&gt;"キャンセル"),0),0))&amp;IF(COUNTIFS(案件一覧!$N$3:$N$62,E$3,案件一覧!$E$3:$E$62,"&lt;="&amp;$A5,案件一覧!$F$3:$F$62,"&gt;"&amp;$A5,案件一覧!$C$3:$C$62,"&lt;&gt;キャンセル")&gt;1," ◆重複!",""))</f>
        <v/>
      </c>
      <c r="F5" s="18" t="str">
        <f aca="false">IF(COUNTIFS(案件一覧!$N$3:$N$62,F$3,案件一覧!$E$3:$E$62,"&lt;="&amp;$A5,案件一覧!$F$3:$F$62,"&gt;"&amp;$A5,案件一覧!$C$3:$C$62,"&lt;&gt;キャンセル")=0,"",INDEX(案件一覧!$J$3:$J$62,MATCH(1,INDEX((案件一覧!$N$3:$N$62=F$3)*(案件一覧!$E$3:$E$62&lt;=$A5)*(案件一覧!$F$3:$F$62&gt;$A5)*(案件一覧!$C$3:$C$62&lt;&gt;"キャンセル"),0),0))&amp;IF(COUNTIFS(案件一覧!$N$3:$N$62,F$3,案件一覧!$E$3:$E$62,"&lt;="&amp;$A5,案件一覧!$F$3:$F$62,"&gt;"&amp;$A5,案件一覧!$C$3:$C$62,"&lt;&gt;キャンセル")&gt;1," ◆重複!",""))</f>
        <v/>
      </c>
      <c r="G5" s="18" t="str">
        <f aca="false">IF(COUNTIFS(案件一覧!$N$3:$N$62,G$3,案件一覧!$E$3:$E$62,"&lt;="&amp;$A5,案件一覧!$F$3:$F$62,"&gt;"&amp;$A5,案件一覧!$C$3:$C$62,"&lt;&gt;キャンセル")=0,"",INDEX(案件一覧!$J$3:$J$62,MATCH(1,INDEX((案件一覧!$N$3:$N$62=G$3)*(案件一覧!$E$3:$E$62&lt;=$A5)*(案件一覧!$F$3:$F$62&gt;$A5)*(案件一覧!$C$3:$C$62&lt;&gt;"キャンセル"),0),0))&amp;IF(COUNTIFS(案件一覧!$N$3:$N$62,G$3,案件一覧!$E$3:$E$62,"&lt;="&amp;$A5,案件一覧!$F$3:$F$62,"&gt;"&amp;$A5,案件一覧!$C$3:$C$62,"&lt;&gt;キャンセル")&gt;1," ◆重複!",""))</f>
        <v/>
      </c>
      <c r="H5" s="18" t="str">
        <f aca="false">IF(COUNTIFS(案件一覧!$N$3:$N$62,H$3,案件一覧!$E$3:$E$62,"&lt;="&amp;$A5,案件一覧!$F$3:$F$62,"&gt;"&amp;$A5,案件一覧!$C$3:$C$62,"&lt;&gt;キャンセル")=0,"",INDEX(案件一覧!$J$3:$J$62,MATCH(1,INDEX((案件一覧!$N$3:$N$62=H$3)*(案件一覧!$E$3:$E$62&lt;=$A5)*(案件一覧!$F$3:$F$62&gt;$A5)*(案件一覧!$C$3:$C$62&lt;&gt;"キャンセル"),0),0))&amp;IF(COUNTIFS(案件一覧!$N$3:$N$62,H$3,案件一覧!$E$3:$E$62,"&lt;="&amp;$A5,案件一覧!$F$3:$F$62,"&gt;"&amp;$A5,案件一覧!$C$3:$C$62,"&lt;&gt;キャンセル")&gt;1," ◆重複!",""))</f>
        <v/>
      </c>
    </row>
    <row r="6" customFormat="false" ht="15" hidden="false" customHeight="false" outlineLevel="0" collapsed="false">
      <c r="A6" s="16" t="n">
        <v>46206</v>
      </c>
      <c r="B6" s="17" t="s">
        <v>44</v>
      </c>
      <c r="C6" s="18" t="str">
        <f aca="false">IF(COUNTIFS(案件一覧!$N$3:$N$62,C$3,案件一覧!$E$3:$E$62,"&lt;="&amp;$A6,案件一覧!$F$3:$F$62,"&gt;"&amp;$A6,案件一覧!$C$3:$C$62,"&lt;&gt;キャンセル")=0,"",INDEX(案件一覧!$J$3:$J$62,MATCH(1,INDEX((案件一覧!$N$3:$N$62=C$3)*(案件一覧!$E$3:$E$62&lt;=$A6)*(案件一覧!$F$3:$F$62&gt;$A6)*(案件一覧!$C$3:$C$62&lt;&gt;"キャンセル"),0),0))&amp;IF(COUNTIFS(案件一覧!$N$3:$N$62,C$3,案件一覧!$E$3:$E$62,"&lt;="&amp;$A6,案件一覧!$F$3:$F$62,"&gt;"&amp;$A6,案件一覧!$C$3:$C$62,"&lt;&gt;キャンセル")&gt;1," ◆重複!",""))</f>
        <v/>
      </c>
      <c r="D6" s="18" t="str">
        <f aca="false">IF(COUNTIFS(案件一覧!$N$3:$N$62,D$3,案件一覧!$E$3:$E$62,"&lt;="&amp;$A6,案件一覧!$F$3:$F$62,"&gt;"&amp;$A6,案件一覧!$C$3:$C$62,"&lt;&gt;キャンセル")=0,"",INDEX(案件一覧!$J$3:$J$62,MATCH(1,INDEX((案件一覧!$N$3:$N$62=D$3)*(案件一覧!$E$3:$E$62&lt;=$A6)*(案件一覧!$F$3:$F$62&gt;$A6)*(案件一覧!$C$3:$C$62&lt;&gt;"キャンセル"),0),0))&amp;IF(COUNTIFS(案件一覧!$N$3:$N$62,D$3,案件一覧!$E$3:$E$62,"&lt;="&amp;$A6,案件一覧!$F$3:$F$62,"&gt;"&amp;$A6,案件一覧!$C$3:$C$62,"&lt;&gt;キャンセル")&gt;1," ◆重複!",""))</f>
        <v/>
      </c>
      <c r="E6" s="18" t="str">
        <f aca="false">IF(COUNTIFS(案件一覧!$N$3:$N$62,E$3,案件一覧!$E$3:$E$62,"&lt;="&amp;$A6,案件一覧!$F$3:$F$62,"&gt;"&amp;$A6,案件一覧!$C$3:$C$62,"&lt;&gt;キャンセル")=0,"",INDEX(案件一覧!$J$3:$J$62,MATCH(1,INDEX((案件一覧!$N$3:$N$62=E$3)*(案件一覧!$E$3:$E$62&lt;=$A6)*(案件一覧!$F$3:$F$62&gt;$A6)*(案件一覧!$C$3:$C$62&lt;&gt;"キャンセル"),0),0))&amp;IF(COUNTIFS(案件一覧!$N$3:$N$62,E$3,案件一覧!$E$3:$E$62,"&lt;="&amp;$A6,案件一覧!$F$3:$F$62,"&gt;"&amp;$A6,案件一覧!$C$3:$C$62,"&lt;&gt;キャンセル")&gt;1," ◆重複!",""))</f>
        <v/>
      </c>
      <c r="F6" s="18" t="str">
        <f aca="false">IF(COUNTIFS(案件一覧!$N$3:$N$62,F$3,案件一覧!$E$3:$E$62,"&lt;="&amp;$A6,案件一覧!$F$3:$F$62,"&gt;"&amp;$A6,案件一覧!$C$3:$C$62,"&lt;&gt;キャンセル")=0,"",INDEX(案件一覧!$J$3:$J$62,MATCH(1,INDEX((案件一覧!$N$3:$N$62=F$3)*(案件一覧!$E$3:$E$62&lt;=$A6)*(案件一覧!$F$3:$F$62&gt;$A6)*(案件一覧!$C$3:$C$62&lt;&gt;"キャンセル"),0),0))&amp;IF(COUNTIFS(案件一覧!$N$3:$N$62,F$3,案件一覧!$E$3:$E$62,"&lt;="&amp;$A6,案件一覧!$F$3:$F$62,"&gt;"&amp;$A6,案件一覧!$C$3:$C$62,"&lt;&gt;キャンセル")&gt;1," ◆重複!",""))</f>
        <v/>
      </c>
      <c r="G6" s="18" t="str">
        <f aca="false">IF(COUNTIFS(案件一覧!$N$3:$N$62,G$3,案件一覧!$E$3:$E$62,"&lt;="&amp;$A6,案件一覧!$F$3:$F$62,"&gt;"&amp;$A6,案件一覧!$C$3:$C$62,"&lt;&gt;キャンセル")=0,"",INDEX(案件一覧!$J$3:$J$62,MATCH(1,INDEX((案件一覧!$N$3:$N$62=G$3)*(案件一覧!$E$3:$E$62&lt;=$A6)*(案件一覧!$F$3:$F$62&gt;$A6)*(案件一覧!$C$3:$C$62&lt;&gt;"キャンセル"),0),0))&amp;IF(COUNTIFS(案件一覧!$N$3:$N$62,G$3,案件一覧!$E$3:$E$62,"&lt;="&amp;$A6,案件一覧!$F$3:$F$62,"&gt;"&amp;$A6,案件一覧!$C$3:$C$62,"&lt;&gt;キャンセル")&gt;1," ◆重複!",""))</f>
        <v/>
      </c>
      <c r="H6" s="18" t="str">
        <f aca="false">IF(COUNTIFS(案件一覧!$N$3:$N$62,H$3,案件一覧!$E$3:$E$62,"&lt;="&amp;$A6,案件一覧!$F$3:$F$62,"&gt;"&amp;$A6,案件一覧!$C$3:$C$62,"&lt;&gt;キャンセル")=0,"",INDEX(案件一覧!$J$3:$J$62,MATCH(1,INDEX((案件一覧!$N$3:$N$62=H$3)*(案件一覧!$E$3:$E$62&lt;=$A6)*(案件一覧!$F$3:$F$62&gt;$A6)*(案件一覧!$C$3:$C$62&lt;&gt;"キャンセル"),0),0))&amp;IF(COUNTIFS(案件一覧!$N$3:$N$62,H$3,案件一覧!$E$3:$E$62,"&lt;="&amp;$A6,案件一覧!$F$3:$F$62,"&gt;"&amp;$A6,案件一覧!$C$3:$C$62,"&lt;&gt;キャンセル")&gt;1," ◆重複!",""))</f>
        <v/>
      </c>
    </row>
    <row r="7" customFormat="false" ht="15" hidden="false" customHeight="false" outlineLevel="0" collapsed="false">
      <c r="A7" s="19" t="n">
        <v>46207</v>
      </c>
      <c r="B7" s="20" t="s">
        <v>45</v>
      </c>
      <c r="C7" s="21" t="str">
        <f aca="false">IF(COUNTIFS(案件一覧!$N$3:$N$62,C$3,案件一覧!$E$3:$E$62,"&lt;="&amp;$A7,案件一覧!$F$3:$F$62,"&gt;"&amp;$A7,案件一覧!$C$3:$C$62,"&lt;&gt;キャンセル")=0,"",INDEX(案件一覧!$J$3:$J$62,MATCH(1,INDEX((案件一覧!$N$3:$N$62=C$3)*(案件一覧!$E$3:$E$62&lt;=$A7)*(案件一覧!$F$3:$F$62&gt;$A7)*(案件一覧!$C$3:$C$62&lt;&gt;"キャンセル"),0),0))&amp;IF(COUNTIFS(案件一覧!$N$3:$N$62,C$3,案件一覧!$E$3:$E$62,"&lt;="&amp;$A7,案件一覧!$F$3:$F$62,"&gt;"&amp;$A7,案件一覧!$C$3:$C$62,"&lt;&gt;キャンセル")&gt;1," ◆重複!",""))</f>
        <v/>
      </c>
      <c r="D7" s="21" t="str">
        <f aca="false">IF(COUNTIFS(案件一覧!$N$3:$N$62,D$3,案件一覧!$E$3:$E$62,"&lt;="&amp;$A7,案件一覧!$F$3:$F$62,"&gt;"&amp;$A7,案件一覧!$C$3:$C$62,"&lt;&gt;キャンセル")=0,"",INDEX(案件一覧!$J$3:$J$62,MATCH(1,INDEX((案件一覧!$N$3:$N$62=D$3)*(案件一覧!$E$3:$E$62&lt;=$A7)*(案件一覧!$F$3:$F$62&gt;$A7)*(案件一覧!$C$3:$C$62&lt;&gt;"キャンセル"),0),0))&amp;IF(COUNTIFS(案件一覧!$N$3:$N$62,D$3,案件一覧!$E$3:$E$62,"&lt;="&amp;$A7,案件一覧!$F$3:$F$62,"&gt;"&amp;$A7,案件一覧!$C$3:$C$62,"&lt;&gt;キャンセル")&gt;1," ◆重複!",""))</f>
        <v/>
      </c>
      <c r="E7" s="21" t="str">
        <f aca="false">IF(COUNTIFS(案件一覧!$N$3:$N$62,E$3,案件一覧!$E$3:$E$62,"&lt;="&amp;$A7,案件一覧!$F$3:$F$62,"&gt;"&amp;$A7,案件一覧!$C$3:$C$62,"&lt;&gt;キャンセル")=0,"",INDEX(案件一覧!$J$3:$J$62,MATCH(1,INDEX((案件一覧!$N$3:$N$62=E$3)*(案件一覧!$E$3:$E$62&lt;=$A7)*(案件一覧!$F$3:$F$62&gt;$A7)*(案件一覧!$C$3:$C$62&lt;&gt;"キャンセル"),0),0))&amp;IF(COUNTIFS(案件一覧!$N$3:$N$62,E$3,案件一覧!$E$3:$E$62,"&lt;="&amp;$A7,案件一覧!$F$3:$F$62,"&gt;"&amp;$A7,案件一覧!$C$3:$C$62,"&lt;&gt;キャンセル")&gt;1," ◆重複!",""))</f>
        <v/>
      </c>
      <c r="F7" s="21" t="str">
        <f aca="false">IF(COUNTIFS(案件一覧!$N$3:$N$62,F$3,案件一覧!$E$3:$E$62,"&lt;="&amp;$A7,案件一覧!$F$3:$F$62,"&gt;"&amp;$A7,案件一覧!$C$3:$C$62,"&lt;&gt;キャンセル")=0,"",INDEX(案件一覧!$J$3:$J$62,MATCH(1,INDEX((案件一覧!$N$3:$N$62=F$3)*(案件一覧!$E$3:$E$62&lt;=$A7)*(案件一覧!$F$3:$F$62&gt;$A7)*(案件一覧!$C$3:$C$62&lt;&gt;"キャンセル"),0),0))&amp;IF(COUNTIFS(案件一覧!$N$3:$N$62,F$3,案件一覧!$E$3:$E$62,"&lt;="&amp;$A7,案件一覧!$F$3:$F$62,"&gt;"&amp;$A7,案件一覧!$C$3:$C$62,"&lt;&gt;キャンセル")&gt;1," ◆重複!",""))</f>
        <v/>
      </c>
      <c r="G7" s="21" t="str">
        <f aca="false">IF(COUNTIFS(案件一覧!$N$3:$N$62,G$3,案件一覧!$E$3:$E$62,"&lt;="&amp;$A7,案件一覧!$F$3:$F$62,"&gt;"&amp;$A7,案件一覧!$C$3:$C$62,"&lt;&gt;キャンセル")=0,"",INDEX(案件一覧!$J$3:$J$62,MATCH(1,INDEX((案件一覧!$N$3:$N$62=G$3)*(案件一覧!$E$3:$E$62&lt;=$A7)*(案件一覧!$F$3:$F$62&gt;$A7)*(案件一覧!$C$3:$C$62&lt;&gt;"キャンセル"),0),0))&amp;IF(COUNTIFS(案件一覧!$N$3:$N$62,G$3,案件一覧!$E$3:$E$62,"&lt;="&amp;$A7,案件一覧!$F$3:$F$62,"&gt;"&amp;$A7,案件一覧!$C$3:$C$62,"&lt;&gt;キャンセル")&gt;1," ◆重複!",""))</f>
        <v/>
      </c>
      <c r="H7" s="21" t="str">
        <f aca="false">IF(COUNTIFS(案件一覧!$N$3:$N$62,H$3,案件一覧!$E$3:$E$62,"&lt;="&amp;$A7,案件一覧!$F$3:$F$62,"&gt;"&amp;$A7,案件一覧!$C$3:$C$62,"&lt;&gt;キャンセル")=0,"",INDEX(案件一覧!$J$3:$J$62,MATCH(1,INDEX((案件一覧!$N$3:$N$62=H$3)*(案件一覧!$E$3:$E$62&lt;=$A7)*(案件一覧!$F$3:$F$62&gt;$A7)*(案件一覧!$C$3:$C$62&lt;&gt;"キャンセル"),0),0))&amp;IF(COUNTIFS(案件一覧!$N$3:$N$62,H$3,案件一覧!$E$3:$E$62,"&lt;="&amp;$A7,案件一覧!$F$3:$F$62,"&gt;"&amp;$A7,案件一覧!$C$3:$C$62,"&lt;&gt;キャンセル")&gt;1," ◆重複!",""))</f>
        <v/>
      </c>
    </row>
    <row r="8" customFormat="false" ht="15" hidden="false" customHeight="false" outlineLevel="0" collapsed="false">
      <c r="A8" s="22" t="n">
        <v>46208</v>
      </c>
      <c r="B8" s="23" t="s">
        <v>46</v>
      </c>
      <c r="C8" s="24" t="str">
        <f aca="false">IF(COUNTIFS(案件一覧!$N$3:$N$62,C$3,案件一覧!$E$3:$E$62,"&lt;="&amp;$A8,案件一覧!$F$3:$F$62,"&gt;"&amp;$A8,案件一覧!$C$3:$C$62,"&lt;&gt;キャンセル")=0,"",INDEX(案件一覧!$J$3:$J$62,MATCH(1,INDEX((案件一覧!$N$3:$N$62=C$3)*(案件一覧!$E$3:$E$62&lt;=$A8)*(案件一覧!$F$3:$F$62&gt;$A8)*(案件一覧!$C$3:$C$62&lt;&gt;"キャンセル"),0),0))&amp;IF(COUNTIFS(案件一覧!$N$3:$N$62,C$3,案件一覧!$E$3:$E$62,"&lt;="&amp;$A8,案件一覧!$F$3:$F$62,"&gt;"&amp;$A8,案件一覧!$C$3:$C$62,"&lt;&gt;キャンセル")&gt;1," ◆重複!",""))</f>
        <v/>
      </c>
      <c r="D8" s="24" t="str">
        <f aca="false">IF(COUNTIFS(案件一覧!$N$3:$N$62,D$3,案件一覧!$E$3:$E$62,"&lt;="&amp;$A8,案件一覧!$F$3:$F$62,"&gt;"&amp;$A8,案件一覧!$C$3:$C$62,"&lt;&gt;キャンセル")=0,"",INDEX(案件一覧!$J$3:$J$62,MATCH(1,INDEX((案件一覧!$N$3:$N$62=D$3)*(案件一覧!$E$3:$E$62&lt;=$A8)*(案件一覧!$F$3:$F$62&gt;$A8)*(案件一覧!$C$3:$C$62&lt;&gt;"キャンセル"),0),0))&amp;IF(COUNTIFS(案件一覧!$N$3:$N$62,D$3,案件一覧!$E$3:$E$62,"&lt;="&amp;$A8,案件一覧!$F$3:$F$62,"&gt;"&amp;$A8,案件一覧!$C$3:$C$62,"&lt;&gt;キャンセル")&gt;1," ◆重複!",""))</f>
        <v/>
      </c>
      <c r="E8" s="24" t="str">
        <f aca="false">IF(COUNTIFS(案件一覧!$N$3:$N$62,E$3,案件一覧!$E$3:$E$62,"&lt;="&amp;$A8,案件一覧!$F$3:$F$62,"&gt;"&amp;$A8,案件一覧!$C$3:$C$62,"&lt;&gt;キャンセル")=0,"",INDEX(案件一覧!$J$3:$J$62,MATCH(1,INDEX((案件一覧!$N$3:$N$62=E$3)*(案件一覧!$E$3:$E$62&lt;=$A8)*(案件一覧!$F$3:$F$62&gt;$A8)*(案件一覧!$C$3:$C$62&lt;&gt;"キャンセル"),0),0))&amp;IF(COUNTIFS(案件一覧!$N$3:$N$62,E$3,案件一覧!$E$3:$E$62,"&lt;="&amp;$A8,案件一覧!$F$3:$F$62,"&gt;"&amp;$A8,案件一覧!$C$3:$C$62,"&lt;&gt;キャンセル")&gt;1," ◆重複!",""))</f>
        <v/>
      </c>
      <c r="F8" s="24" t="str">
        <f aca="false">IF(COUNTIFS(案件一覧!$N$3:$N$62,F$3,案件一覧!$E$3:$E$62,"&lt;="&amp;$A8,案件一覧!$F$3:$F$62,"&gt;"&amp;$A8,案件一覧!$C$3:$C$62,"&lt;&gt;キャンセル")=0,"",INDEX(案件一覧!$J$3:$J$62,MATCH(1,INDEX((案件一覧!$N$3:$N$62=F$3)*(案件一覧!$E$3:$E$62&lt;=$A8)*(案件一覧!$F$3:$F$62&gt;$A8)*(案件一覧!$C$3:$C$62&lt;&gt;"キャンセル"),0),0))&amp;IF(COUNTIFS(案件一覧!$N$3:$N$62,F$3,案件一覧!$E$3:$E$62,"&lt;="&amp;$A8,案件一覧!$F$3:$F$62,"&gt;"&amp;$A8,案件一覧!$C$3:$C$62,"&lt;&gt;キャンセル")&gt;1," ◆重複!",""))</f>
        <v/>
      </c>
      <c r="G8" s="24" t="str">
        <f aca="false">IF(COUNTIFS(案件一覧!$N$3:$N$62,G$3,案件一覧!$E$3:$E$62,"&lt;="&amp;$A8,案件一覧!$F$3:$F$62,"&gt;"&amp;$A8,案件一覧!$C$3:$C$62,"&lt;&gt;キャンセル")=0,"",INDEX(案件一覧!$J$3:$J$62,MATCH(1,INDEX((案件一覧!$N$3:$N$62=G$3)*(案件一覧!$E$3:$E$62&lt;=$A8)*(案件一覧!$F$3:$F$62&gt;$A8)*(案件一覧!$C$3:$C$62&lt;&gt;"キャンセル"),0),0))&amp;IF(COUNTIFS(案件一覧!$N$3:$N$62,G$3,案件一覧!$E$3:$E$62,"&lt;="&amp;$A8,案件一覧!$F$3:$F$62,"&gt;"&amp;$A8,案件一覧!$C$3:$C$62,"&lt;&gt;キャンセル")&gt;1," ◆重複!",""))</f>
        <v/>
      </c>
      <c r="H8" s="24" t="str">
        <f aca="false">IF(COUNTIFS(案件一覧!$N$3:$N$62,H$3,案件一覧!$E$3:$E$62,"&lt;="&amp;$A8,案件一覧!$F$3:$F$62,"&gt;"&amp;$A8,案件一覧!$C$3:$C$62,"&lt;&gt;キャンセル")=0,"",INDEX(案件一覧!$J$3:$J$62,MATCH(1,INDEX((案件一覧!$N$3:$N$62=H$3)*(案件一覧!$E$3:$E$62&lt;=$A8)*(案件一覧!$F$3:$F$62&gt;$A8)*(案件一覧!$C$3:$C$62&lt;&gt;"キャンセル"),0),0))&amp;IF(COUNTIFS(案件一覧!$N$3:$N$62,H$3,案件一覧!$E$3:$E$62,"&lt;="&amp;$A8,案件一覧!$F$3:$F$62,"&gt;"&amp;$A8,案件一覧!$C$3:$C$62,"&lt;&gt;キャンセル")&gt;1," ◆重複!",""))</f>
        <v/>
      </c>
    </row>
    <row r="9" customFormat="false" ht="15" hidden="false" customHeight="false" outlineLevel="0" collapsed="false">
      <c r="A9" s="16" t="n">
        <v>46209</v>
      </c>
      <c r="B9" s="17" t="s">
        <v>47</v>
      </c>
      <c r="C9" s="18" t="str">
        <f aca="false">IF(COUNTIFS(案件一覧!$N$3:$N$62,C$3,案件一覧!$E$3:$E$62,"&lt;="&amp;$A9,案件一覧!$F$3:$F$62,"&gt;"&amp;$A9,案件一覧!$C$3:$C$62,"&lt;&gt;キャンセル")=0,"",INDEX(案件一覧!$J$3:$J$62,MATCH(1,INDEX((案件一覧!$N$3:$N$62=C$3)*(案件一覧!$E$3:$E$62&lt;=$A9)*(案件一覧!$F$3:$F$62&gt;$A9)*(案件一覧!$C$3:$C$62&lt;&gt;"キャンセル"),0),0))&amp;IF(COUNTIFS(案件一覧!$N$3:$N$62,C$3,案件一覧!$E$3:$E$62,"&lt;="&amp;$A9,案件一覧!$F$3:$F$62,"&gt;"&amp;$A9,案件一覧!$C$3:$C$62,"&lt;&gt;キャンセル")&gt;1," ◆重複!",""))</f>
        <v/>
      </c>
      <c r="D9" s="18" t="str">
        <f aca="false">IF(COUNTIFS(案件一覧!$N$3:$N$62,D$3,案件一覧!$E$3:$E$62,"&lt;="&amp;$A9,案件一覧!$F$3:$F$62,"&gt;"&amp;$A9,案件一覧!$C$3:$C$62,"&lt;&gt;キャンセル")=0,"",INDEX(案件一覧!$J$3:$J$62,MATCH(1,INDEX((案件一覧!$N$3:$N$62=D$3)*(案件一覧!$E$3:$E$62&lt;=$A9)*(案件一覧!$F$3:$F$62&gt;$A9)*(案件一覧!$C$3:$C$62&lt;&gt;"キャンセル"),0),0))&amp;IF(COUNTIFS(案件一覧!$N$3:$N$62,D$3,案件一覧!$E$3:$E$62,"&lt;="&amp;$A9,案件一覧!$F$3:$F$62,"&gt;"&amp;$A9,案件一覧!$C$3:$C$62,"&lt;&gt;キャンセル")&gt;1," ◆重複!",""))</f>
        <v/>
      </c>
      <c r="E9" s="18" t="str">
        <f aca="false">IF(COUNTIFS(案件一覧!$N$3:$N$62,E$3,案件一覧!$E$3:$E$62,"&lt;="&amp;$A9,案件一覧!$F$3:$F$62,"&gt;"&amp;$A9,案件一覧!$C$3:$C$62,"&lt;&gt;キャンセル")=0,"",INDEX(案件一覧!$J$3:$J$62,MATCH(1,INDEX((案件一覧!$N$3:$N$62=E$3)*(案件一覧!$E$3:$E$62&lt;=$A9)*(案件一覧!$F$3:$F$62&gt;$A9)*(案件一覧!$C$3:$C$62&lt;&gt;"キャンセル"),0),0))&amp;IF(COUNTIFS(案件一覧!$N$3:$N$62,E$3,案件一覧!$E$3:$E$62,"&lt;="&amp;$A9,案件一覧!$F$3:$F$62,"&gt;"&amp;$A9,案件一覧!$C$3:$C$62,"&lt;&gt;キャンセル")&gt;1," ◆重複!",""))</f>
        <v/>
      </c>
      <c r="F9" s="18" t="str">
        <f aca="false">IF(COUNTIFS(案件一覧!$N$3:$N$62,F$3,案件一覧!$E$3:$E$62,"&lt;="&amp;$A9,案件一覧!$F$3:$F$62,"&gt;"&amp;$A9,案件一覧!$C$3:$C$62,"&lt;&gt;キャンセル")=0,"",INDEX(案件一覧!$J$3:$J$62,MATCH(1,INDEX((案件一覧!$N$3:$N$62=F$3)*(案件一覧!$E$3:$E$62&lt;=$A9)*(案件一覧!$F$3:$F$62&gt;$A9)*(案件一覧!$C$3:$C$62&lt;&gt;"キャンセル"),0),0))&amp;IF(COUNTIFS(案件一覧!$N$3:$N$62,F$3,案件一覧!$E$3:$E$62,"&lt;="&amp;$A9,案件一覧!$F$3:$F$62,"&gt;"&amp;$A9,案件一覧!$C$3:$C$62,"&lt;&gt;キャンセル")&gt;1," ◆重複!",""))</f>
        <v/>
      </c>
      <c r="G9" s="18" t="str">
        <f aca="false">IF(COUNTIFS(案件一覧!$N$3:$N$62,G$3,案件一覧!$E$3:$E$62,"&lt;="&amp;$A9,案件一覧!$F$3:$F$62,"&gt;"&amp;$A9,案件一覧!$C$3:$C$62,"&lt;&gt;キャンセル")=0,"",INDEX(案件一覧!$J$3:$J$62,MATCH(1,INDEX((案件一覧!$N$3:$N$62=G$3)*(案件一覧!$E$3:$E$62&lt;=$A9)*(案件一覧!$F$3:$F$62&gt;$A9)*(案件一覧!$C$3:$C$62&lt;&gt;"キャンセル"),0),0))&amp;IF(COUNTIFS(案件一覧!$N$3:$N$62,G$3,案件一覧!$E$3:$E$62,"&lt;="&amp;$A9,案件一覧!$F$3:$F$62,"&gt;"&amp;$A9,案件一覧!$C$3:$C$62,"&lt;&gt;キャンセル")&gt;1," ◆重複!",""))</f>
        <v/>
      </c>
      <c r="H9" s="18" t="str">
        <f aca="false">IF(COUNTIFS(案件一覧!$N$3:$N$62,H$3,案件一覧!$E$3:$E$62,"&lt;="&amp;$A9,案件一覧!$F$3:$F$62,"&gt;"&amp;$A9,案件一覧!$C$3:$C$62,"&lt;&gt;キャンセル")=0,"",INDEX(案件一覧!$J$3:$J$62,MATCH(1,INDEX((案件一覧!$N$3:$N$62=H$3)*(案件一覧!$E$3:$E$62&lt;=$A9)*(案件一覧!$F$3:$F$62&gt;$A9)*(案件一覧!$C$3:$C$62&lt;&gt;"キャンセル"),0),0))&amp;IF(COUNTIFS(案件一覧!$N$3:$N$62,H$3,案件一覧!$E$3:$E$62,"&lt;="&amp;$A9,案件一覧!$F$3:$F$62,"&gt;"&amp;$A9,案件一覧!$C$3:$C$62,"&lt;&gt;キャンセル")&gt;1," ◆重複!",""))</f>
        <v/>
      </c>
    </row>
    <row r="10" customFormat="false" ht="15" hidden="false" customHeight="false" outlineLevel="0" collapsed="false">
      <c r="A10" s="16" t="n">
        <v>46210</v>
      </c>
      <c r="B10" s="17" t="s">
        <v>48</v>
      </c>
      <c r="C10" s="18" t="str">
        <f aca="false">IF(COUNTIFS(案件一覧!$N$3:$N$62,C$3,案件一覧!$E$3:$E$62,"&lt;="&amp;$A10,案件一覧!$F$3:$F$62,"&gt;"&amp;$A10,案件一覧!$C$3:$C$62,"&lt;&gt;キャンセル")=0,"",INDEX(案件一覧!$J$3:$J$62,MATCH(1,INDEX((案件一覧!$N$3:$N$62=C$3)*(案件一覧!$E$3:$E$62&lt;=$A10)*(案件一覧!$F$3:$F$62&gt;$A10)*(案件一覧!$C$3:$C$62&lt;&gt;"キャンセル"),0),0))&amp;IF(COUNTIFS(案件一覧!$N$3:$N$62,C$3,案件一覧!$E$3:$E$62,"&lt;="&amp;$A10,案件一覧!$F$3:$F$62,"&gt;"&amp;$A10,案件一覧!$C$3:$C$62,"&lt;&gt;キャンセル")&gt;1," ◆重複!",""))</f>
        <v/>
      </c>
      <c r="D10" s="18" t="str">
        <f aca="false">IF(COUNTIFS(案件一覧!$N$3:$N$62,D$3,案件一覧!$E$3:$E$62,"&lt;="&amp;$A10,案件一覧!$F$3:$F$62,"&gt;"&amp;$A10,案件一覧!$C$3:$C$62,"&lt;&gt;キャンセル")=0,"",INDEX(案件一覧!$J$3:$J$62,MATCH(1,INDEX((案件一覧!$N$3:$N$62=D$3)*(案件一覧!$E$3:$E$62&lt;=$A10)*(案件一覧!$F$3:$F$62&gt;$A10)*(案件一覧!$C$3:$C$62&lt;&gt;"キャンセル"),0),0))&amp;IF(COUNTIFS(案件一覧!$N$3:$N$62,D$3,案件一覧!$E$3:$E$62,"&lt;="&amp;$A10,案件一覧!$F$3:$F$62,"&gt;"&amp;$A10,案件一覧!$C$3:$C$62,"&lt;&gt;キャンセル")&gt;1," ◆重複!",""))</f>
        <v/>
      </c>
      <c r="E10" s="18" t="str">
        <f aca="false">IF(COUNTIFS(案件一覧!$N$3:$N$62,E$3,案件一覧!$E$3:$E$62,"&lt;="&amp;$A10,案件一覧!$F$3:$F$62,"&gt;"&amp;$A10,案件一覧!$C$3:$C$62,"&lt;&gt;キャンセル")=0,"",INDEX(案件一覧!$J$3:$J$62,MATCH(1,INDEX((案件一覧!$N$3:$N$62=E$3)*(案件一覧!$E$3:$E$62&lt;=$A10)*(案件一覧!$F$3:$F$62&gt;$A10)*(案件一覧!$C$3:$C$62&lt;&gt;"キャンセル"),0),0))&amp;IF(COUNTIFS(案件一覧!$N$3:$N$62,E$3,案件一覧!$E$3:$E$62,"&lt;="&amp;$A10,案件一覧!$F$3:$F$62,"&gt;"&amp;$A10,案件一覧!$C$3:$C$62,"&lt;&gt;キャンセル")&gt;1," ◆重複!",""))</f>
        <v/>
      </c>
      <c r="F10" s="18" t="str">
        <f aca="false">IF(COUNTIFS(案件一覧!$N$3:$N$62,F$3,案件一覧!$E$3:$E$62,"&lt;="&amp;$A10,案件一覧!$F$3:$F$62,"&gt;"&amp;$A10,案件一覧!$C$3:$C$62,"&lt;&gt;キャンセル")=0,"",INDEX(案件一覧!$J$3:$J$62,MATCH(1,INDEX((案件一覧!$N$3:$N$62=F$3)*(案件一覧!$E$3:$E$62&lt;=$A10)*(案件一覧!$F$3:$F$62&gt;$A10)*(案件一覧!$C$3:$C$62&lt;&gt;"キャンセル"),0),0))&amp;IF(COUNTIFS(案件一覧!$N$3:$N$62,F$3,案件一覧!$E$3:$E$62,"&lt;="&amp;$A10,案件一覧!$F$3:$F$62,"&gt;"&amp;$A10,案件一覧!$C$3:$C$62,"&lt;&gt;キャンセル")&gt;1," ◆重複!",""))</f>
        <v/>
      </c>
      <c r="G10" s="18" t="str">
        <f aca="false">IF(COUNTIFS(案件一覧!$N$3:$N$62,G$3,案件一覧!$E$3:$E$62,"&lt;="&amp;$A10,案件一覧!$F$3:$F$62,"&gt;"&amp;$A10,案件一覧!$C$3:$C$62,"&lt;&gt;キャンセル")=0,"",INDEX(案件一覧!$J$3:$J$62,MATCH(1,INDEX((案件一覧!$N$3:$N$62=G$3)*(案件一覧!$E$3:$E$62&lt;=$A10)*(案件一覧!$F$3:$F$62&gt;$A10)*(案件一覧!$C$3:$C$62&lt;&gt;"キャンセル"),0),0))&amp;IF(COUNTIFS(案件一覧!$N$3:$N$62,G$3,案件一覧!$E$3:$E$62,"&lt;="&amp;$A10,案件一覧!$F$3:$F$62,"&gt;"&amp;$A10,案件一覧!$C$3:$C$62,"&lt;&gt;キャンセル")&gt;1," ◆重複!",""))</f>
        <v/>
      </c>
      <c r="H10" s="18" t="str">
        <f aca="false">IF(COUNTIFS(案件一覧!$N$3:$N$62,H$3,案件一覧!$E$3:$E$62,"&lt;="&amp;$A10,案件一覧!$F$3:$F$62,"&gt;"&amp;$A10,案件一覧!$C$3:$C$62,"&lt;&gt;キャンセル")=0,"",INDEX(案件一覧!$J$3:$J$62,MATCH(1,INDEX((案件一覧!$N$3:$N$62=H$3)*(案件一覧!$E$3:$E$62&lt;=$A10)*(案件一覧!$F$3:$F$62&gt;$A10)*(案件一覧!$C$3:$C$62&lt;&gt;"キャンセル"),0),0))&amp;IF(COUNTIFS(案件一覧!$N$3:$N$62,H$3,案件一覧!$E$3:$E$62,"&lt;="&amp;$A10,案件一覧!$F$3:$F$62,"&gt;"&amp;$A10,案件一覧!$C$3:$C$62,"&lt;&gt;キャンセル")&gt;1," ◆重複!",""))</f>
        <v/>
      </c>
    </row>
    <row r="11" customFormat="false" ht="15" hidden="false" customHeight="false" outlineLevel="0" collapsed="false">
      <c r="A11" s="16" t="n">
        <v>46211</v>
      </c>
      <c r="B11" s="17" t="s">
        <v>42</v>
      </c>
      <c r="C11" s="18" t="str">
        <f aca="false">IF(COUNTIFS(案件一覧!$N$3:$N$62,C$3,案件一覧!$E$3:$E$62,"&lt;="&amp;$A11,案件一覧!$F$3:$F$62,"&gt;"&amp;$A11,案件一覧!$C$3:$C$62,"&lt;&gt;キャンセル")=0,"",INDEX(案件一覧!$J$3:$J$62,MATCH(1,INDEX((案件一覧!$N$3:$N$62=C$3)*(案件一覧!$E$3:$E$62&lt;=$A11)*(案件一覧!$F$3:$F$62&gt;$A11)*(案件一覧!$C$3:$C$62&lt;&gt;"キャンセル"),0),0))&amp;IF(COUNTIFS(案件一覧!$N$3:$N$62,C$3,案件一覧!$E$3:$E$62,"&lt;="&amp;$A11,案件一覧!$F$3:$F$62,"&gt;"&amp;$A11,案件一覧!$C$3:$C$62,"&lt;&gt;キャンセル")&gt;1," ◆重複!",""))</f>
        <v/>
      </c>
      <c r="D11" s="18" t="str">
        <f aca="false">IF(COUNTIFS(案件一覧!$N$3:$N$62,D$3,案件一覧!$E$3:$E$62,"&lt;="&amp;$A11,案件一覧!$F$3:$F$62,"&gt;"&amp;$A11,案件一覧!$C$3:$C$62,"&lt;&gt;キャンセル")=0,"",INDEX(案件一覧!$J$3:$J$62,MATCH(1,INDEX((案件一覧!$N$3:$N$62=D$3)*(案件一覧!$E$3:$E$62&lt;=$A11)*(案件一覧!$F$3:$F$62&gt;$A11)*(案件一覧!$C$3:$C$62&lt;&gt;"キャンセル"),0),0))&amp;IF(COUNTIFS(案件一覧!$N$3:$N$62,D$3,案件一覧!$E$3:$E$62,"&lt;="&amp;$A11,案件一覧!$F$3:$F$62,"&gt;"&amp;$A11,案件一覧!$C$3:$C$62,"&lt;&gt;キャンセル")&gt;1," ◆重複!",""))</f>
        <v/>
      </c>
      <c r="E11" s="18" t="str">
        <f aca="false">IF(COUNTIFS(案件一覧!$N$3:$N$62,E$3,案件一覧!$E$3:$E$62,"&lt;="&amp;$A11,案件一覧!$F$3:$F$62,"&gt;"&amp;$A11,案件一覧!$C$3:$C$62,"&lt;&gt;キャンセル")=0,"",INDEX(案件一覧!$J$3:$J$62,MATCH(1,INDEX((案件一覧!$N$3:$N$62=E$3)*(案件一覧!$E$3:$E$62&lt;=$A11)*(案件一覧!$F$3:$F$62&gt;$A11)*(案件一覧!$C$3:$C$62&lt;&gt;"キャンセル"),0),0))&amp;IF(COUNTIFS(案件一覧!$N$3:$N$62,E$3,案件一覧!$E$3:$E$62,"&lt;="&amp;$A11,案件一覧!$F$3:$F$62,"&gt;"&amp;$A11,案件一覧!$C$3:$C$62,"&lt;&gt;キャンセル")&gt;1," ◆重複!",""))</f>
        <v/>
      </c>
      <c r="F11" s="18" t="str">
        <f aca="false">IF(COUNTIFS(案件一覧!$N$3:$N$62,F$3,案件一覧!$E$3:$E$62,"&lt;="&amp;$A11,案件一覧!$F$3:$F$62,"&gt;"&amp;$A11,案件一覧!$C$3:$C$62,"&lt;&gt;キャンセル")=0,"",INDEX(案件一覧!$J$3:$J$62,MATCH(1,INDEX((案件一覧!$N$3:$N$62=F$3)*(案件一覧!$E$3:$E$62&lt;=$A11)*(案件一覧!$F$3:$F$62&gt;$A11)*(案件一覧!$C$3:$C$62&lt;&gt;"キャンセル"),0),0))&amp;IF(COUNTIFS(案件一覧!$N$3:$N$62,F$3,案件一覧!$E$3:$E$62,"&lt;="&amp;$A11,案件一覧!$F$3:$F$62,"&gt;"&amp;$A11,案件一覧!$C$3:$C$62,"&lt;&gt;キャンセル")&gt;1," ◆重複!",""))</f>
        <v/>
      </c>
      <c r="G11" s="18" t="str">
        <f aca="false">IF(COUNTIFS(案件一覧!$N$3:$N$62,G$3,案件一覧!$E$3:$E$62,"&lt;="&amp;$A11,案件一覧!$F$3:$F$62,"&gt;"&amp;$A11,案件一覧!$C$3:$C$62,"&lt;&gt;キャンセル")=0,"",INDEX(案件一覧!$J$3:$J$62,MATCH(1,INDEX((案件一覧!$N$3:$N$62=G$3)*(案件一覧!$E$3:$E$62&lt;=$A11)*(案件一覧!$F$3:$F$62&gt;$A11)*(案件一覧!$C$3:$C$62&lt;&gt;"キャンセル"),0),0))&amp;IF(COUNTIFS(案件一覧!$N$3:$N$62,G$3,案件一覧!$E$3:$E$62,"&lt;="&amp;$A11,案件一覧!$F$3:$F$62,"&gt;"&amp;$A11,案件一覧!$C$3:$C$62,"&lt;&gt;キャンセル")&gt;1," ◆重複!",""))</f>
        <v/>
      </c>
      <c r="H11" s="18" t="str">
        <f aca="false">IF(COUNTIFS(案件一覧!$N$3:$N$62,H$3,案件一覧!$E$3:$E$62,"&lt;="&amp;$A11,案件一覧!$F$3:$F$62,"&gt;"&amp;$A11,案件一覧!$C$3:$C$62,"&lt;&gt;キャンセル")=0,"",INDEX(案件一覧!$J$3:$J$62,MATCH(1,INDEX((案件一覧!$N$3:$N$62=H$3)*(案件一覧!$E$3:$E$62&lt;=$A11)*(案件一覧!$F$3:$F$62&gt;$A11)*(案件一覧!$C$3:$C$62&lt;&gt;"キャンセル"),0),0))&amp;IF(COUNTIFS(案件一覧!$N$3:$N$62,H$3,案件一覧!$E$3:$E$62,"&lt;="&amp;$A11,案件一覧!$F$3:$F$62,"&gt;"&amp;$A11,案件一覧!$C$3:$C$62,"&lt;&gt;キャンセル")&gt;1," ◆重複!",""))</f>
        <v/>
      </c>
    </row>
    <row r="12" customFormat="false" ht="15" hidden="false" customHeight="false" outlineLevel="0" collapsed="false">
      <c r="A12" s="16" t="n">
        <v>46212</v>
      </c>
      <c r="B12" s="17" t="s">
        <v>43</v>
      </c>
      <c r="C12" s="18" t="str">
        <f aca="false">IF(COUNTIFS(案件一覧!$N$3:$N$62,C$3,案件一覧!$E$3:$E$62,"&lt;="&amp;$A12,案件一覧!$F$3:$F$62,"&gt;"&amp;$A12,案件一覧!$C$3:$C$62,"&lt;&gt;キャンセル")=0,"",INDEX(案件一覧!$J$3:$J$62,MATCH(1,INDEX((案件一覧!$N$3:$N$62=C$3)*(案件一覧!$E$3:$E$62&lt;=$A12)*(案件一覧!$F$3:$F$62&gt;$A12)*(案件一覧!$C$3:$C$62&lt;&gt;"キャンセル"),0),0))&amp;IF(COUNTIFS(案件一覧!$N$3:$N$62,C$3,案件一覧!$E$3:$E$62,"&lt;="&amp;$A12,案件一覧!$F$3:$F$62,"&gt;"&amp;$A12,案件一覧!$C$3:$C$62,"&lt;&gt;キャンセル")&gt;1," ◆重複!",""))</f>
        <v/>
      </c>
      <c r="D12" s="18" t="str">
        <f aca="false">IF(COUNTIFS(案件一覧!$N$3:$N$62,D$3,案件一覧!$E$3:$E$62,"&lt;="&amp;$A12,案件一覧!$F$3:$F$62,"&gt;"&amp;$A12,案件一覧!$C$3:$C$62,"&lt;&gt;キャンセル")=0,"",INDEX(案件一覧!$J$3:$J$62,MATCH(1,INDEX((案件一覧!$N$3:$N$62=D$3)*(案件一覧!$E$3:$E$62&lt;=$A12)*(案件一覧!$F$3:$F$62&gt;$A12)*(案件一覧!$C$3:$C$62&lt;&gt;"キャンセル"),0),0))&amp;IF(COUNTIFS(案件一覧!$N$3:$N$62,D$3,案件一覧!$E$3:$E$62,"&lt;="&amp;$A12,案件一覧!$F$3:$F$62,"&gt;"&amp;$A12,案件一覧!$C$3:$C$62,"&lt;&gt;キャンセル")&gt;1," ◆重複!",""))</f>
        <v/>
      </c>
      <c r="E12" s="18" t="str">
        <f aca="false">IF(COUNTIFS(案件一覧!$N$3:$N$62,E$3,案件一覧!$E$3:$E$62,"&lt;="&amp;$A12,案件一覧!$F$3:$F$62,"&gt;"&amp;$A12,案件一覧!$C$3:$C$62,"&lt;&gt;キャンセル")=0,"",INDEX(案件一覧!$J$3:$J$62,MATCH(1,INDEX((案件一覧!$N$3:$N$62=E$3)*(案件一覧!$E$3:$E$62&lt;=$A12)*(案件一覧!$F$3:$F$62&gt;$A12)*(案件一覧!$C$3:$C$62&lt;&gt;"キャンセル"),0),0))&amp;IF(COUNTIFS(案件一覧!$N$3:$N$62,E$3,案件一覧!$E$3:$E$62,"&lt;="&amp;$A12,案件一覧!$F$3:$F$62,"&gt;"&amp;$A12,案件一覧!$C$3:$C$62,"&lt;&gt;キャンセル")&gt;1," ◆重複!",""))</f>
        <v/>
      </c>
      <c r="F12" s="18" t="str">
        <f aca="false">IF(COUNTIFS(案件一覧!$N$3:$N$62,F$3,案件一覧!$E$3:$E$62,"&lt;="&amp;$A12,案件一覧!$F$3:$F$62,"&gt;"&amp;$A12,案件一覧!$C$3:$C$62,"&lt;&gt;キャンセル")=0,"",INDEX(案件一覧!$J$3:$J$62,MATCH(1,INDEX((案件一覧!$N$3:$N$62=F$3)*(案件一覧!$E$3:$E$62&lt;=$A12)*(案件一覧!$F$3:$F$62&gt;$A12)*(案件一覧!$C$3:$C$62&lt;&gt;"キャンセル"),0),0))&amp;IF(COUNTIFS(案件一覧!$N$3:$N$62,F$3,案件一覧!$E$3:$E$62,"&lt;="&amp;$A12,案件一覧!$F$3:$F$62,"&gt;"&amp;$A12,案件一覧!$C$3:$C$62,"&lt;&gt;キャンセル")&gt;1," ◆重複!",""))</f>
        <v/>
      </c>
      <c r="G12" s="18" t="str">
        <f aca="false">IF(COUNTIFS(案件一覧!$N$3:$N$62,G$3,案件一覧!$E$3:$E$62,"&lt;="&amp;$A12,案件一覧!$F$3:$F$62,"&gt;"&amp;$A12,案件一覧!$C$3:$C$62,"&lt;&gt;キャンセル")=0,"",INDEX(案件一覧!$J$3:$J$62,MATCH(1,INDEX((案件一覧!$N$3:$N$62=G$3)*(案件一覧!$E$3:$E$62&lt;=$A12)*(案件一覧!$F$3:$F$62&gt;$A12)*(案件一覧!$C$3:$C$62&lt;&gt;"キャンセル"),0),0))&amp;IF(COUNTIFS(案件一覧!$N$3:$N$62,G$3,案件一覧!$E$3:$E$62,"&lt;="&amp;$A12,案件一覧!$F$3:$F$62,"&gt;"&amp;$A12,案件一覧!$C$3:$C$62,"&lt;&gt;キャンセル")&gt;1," ◆重複!",""))</f>
        <v/>
      </c>
      <c r="H12" s="18" t="str">
        <f aca="false">IF(COUNTIFS(案件一覧!$N$3:$N$62,H$3,案件一覧!$E$3:$E$62,"&lt;="&amp;$A12,案件一覧!$F$3:$F$62,"&gt;"&amp;$A12,案件一覧!$C$3:$C$62,"&lt;&gt;キャンセル")=0,"",INDEX(案件一覧!$J$3:$J$62,MATCH(1,INDEX((案件一覧!$N$3:$N$62=H$3)*(案件一覧!$E$3:$E$62&lt;=$A12)*(案件一覧!$F$3:$F$62&gt;$A12)*(案件一覧!$C$3:$C$62&lt;&gt;"キャンセル"),0),0))&amp;IF(COUNTIFS(案件一覧!$N$3:$N$62,H$3,案件一覧!$E$3:$E$62,"&lt;="&amp;$A12,案件一覧!$F$3:$F$62,"&gt;"&amp;$A12,案件一覧!$C$3:$C$62,"&lt;&gt;キャンセル")&gt;1," ◆重複!",""))</f>
        <v/>
      </c>
    </row>
    <row r="13" customFormat="false" ht="15" hidden="false" customHeight="false" outlineLevel="0" collapsed="false">
      <c r="A13" s="16" t="n">
        <v>46213</v>
      </c>
      <c r="B13" s="17" t="s">
        <v>44</v>
      </c>
      <c r="C13" s="18" t="str">
        <f aca="false">IF(COUNTIFS(案件一覧!$N$3:$N$62,C$3,案件一覧!$E$3:$E$62,"&lt;="&amp;$A13,案件一覧!$F$3:$F$62,"&gt;"&amp;$A13,案件一覧!$C$3:$C$62,"&lt;&gt;キャンセル")=0,"",INDEX(案件一覧!$J$3:$J$62,MATCH(1,INDEX((案件一覧!$N$3:$N$62=C$3)*(案件一覧!$E$3:$E$62&lt;=$A13)*(案件一覧!$F$3:$F$62&gt;$A13)*(案件一覧!$C$3:$C$62&lt;&gt;"キャンセル"),0),0))&amp;IF(COUNTIFS(案件一覧!$N$3:$N$62,C$3,案件一覧!$E$3:$E$62,"&lt;="&amp;$A13,案件一覧!$F$3:$F$62,"&gt;"&amp;$A13,案件一覧!$C$3:$C$62,"&lt;&gt;キャンセル")&gt;1," ◆重複!",""))</f>
        <v/>
      </c>
      <c r="D13" s="18" t="str">
        <f aca="false">IF(COUNTIFS(案件一覧!$N$3:$N$62,D$3,案件一覧!$E$3:$E$62,"&lt;="&amp;$A13,案件一覧!$F$3:$F$62,"&gt;"&amp;$A13,案件一覧!$C$3:$C$62,"&lt;&gt;キャンセル")=0,"",INDEX(案件一覧!$J$3:$J$62,MATCH(1,INDEX((案件一覧!$N$3:$N$62=D$3)*(案件一覧!$E$3:$E$62&lt;=$A13)*(案件一覧!$F$3:$F$62&gt;$A13)*(案件一覧!$C$3:$C$62&lt;&gt;"キャンセル"),0),0))&amp;IF(COUNTIFS(案件一覧!$N$3:$N$62,D$3,案件一覧!$E$3:$E$62,"&lt;="&amp;$A13,案件一覧!$F$3:$F$62,"&gt;"&amp;$A13,案件一覧!$C$3:$C$62,"&lt;&gt;キャンセル")&gt;1," ◆重複!",""))</f>
        <v/>
      </c>
      <c r="E13" s="18" t="str">
        <f aca="false">IF(COUNTIFS(案件一覧!$N$3:$N$62,E$3,案件一覧!$E$3:$E$62,"&lt;="&amp;$A13,案件一覧!$F$3:$F$62,"&gt;"&amp;$A13,案件一覧!$C$3:$C$62,"&lt;&gt;キャンセル")=0,"",INDEX(案件一覧!$J$3:$J$62,MATCH(1,INDEX((案件一覧!$N$3:$N$62=E$3)*(案件一覧!$E$3:$E$62&lt;=$A13)*(案件一覧!$F$3:$F$62&gt;$A13)*(案件一覧!$C$3:$C$62&lt;&gt;"キャンセル"),0),0))&amp;IF(COUNTIFS(案件一覧!$N$3:$N$62,E$3,案件一覧!$E$3:$E$62,"&lt;="&amp;$A13,案件一覧!$F$3:$F$62,"&gt;"&amp;$A13,案件一覧!$C$3:$C$62,"&lt;&gt;キャンセル")&gt;1," ◆重複!",""))</f>
        <v/>
      </c>
      <c r="F13" s="18" t="str">
        <f aca="false">IF(COUNTIFS(案件一覧!$N$3:$N$62,F$3,案件一覧!$E$3:$E$62,"&lt;="&amp;$A13,案件一覧!$F$3:$F$62,"&gt;"&amp;$A13,案件一覧!$C$3:$C$62,"&lt;&gt;キャンセル")=0,"",INDEX(案件一覧!$J$3:$J$62,MATCH(1,INDEX((案件一覧!$N$3:$N$62=F$3)*(案件一覧!$E$3:$E$62&lt;=$A13)*(案件一覧!$F$3:$F$62&gt;$A13)*(案件一覧!$C$3:$C$62&lt;&gt;"キャンセル"),0),0))&amp;IF(COUNTIFS(案件一覧!$N$3:$N$62,F$3,案件一覧!$E$3:$E$62,"&lt;="&amp;$A13,案件一覧!$F$3:$F$62,"&gt;"&amp;$A13,案件一覧!$C$3:$C$62,"&lt;&gt;キャンセル")&gt;1," ◆重複!",""))</f>
        <v/>
      </c>
      <c r="G13" s="18" t="str">
        <f aca="false">IF(COUNTIFS(案件一覧!$N$3:$N$62,G$3,案件一覧!$E$3:$E$62,"&lt;="&amp;$A13,案件一覧!$F$3:$F$62,"&gt;"&amp;$A13,案件一覧!$C$3:$C$62,"&lt;&gt;キャンセル")=0,"",INDEX(案件一覧!$J$3:$J$62,MATCH(1,INDEX((案件一覧!$N$3:$N$62=G$3)*(案件一覧!$E$3:$E$62&lt;=$A13)*(案件一覧!$F$3:$F$62&gt;$A13)*(案件一覧!$C$3:$C$62&lt;&gt;"キャンセル"),0),0))&amp;IF(COUNTIFS(案件一覧!$N$3:$N$62,G$3,案件一覧!$E$3:$E$62,"&lt;="&amp;$A13,案件一覧!$F$3:$F$62,"&gt;"&amp;$A13,案件一覧!$C$3:$C$62,"&lt;&gt;キャンセル")&gt;1," ◆重複!",""))</f>
        <v/>
      </c>
      <c r="H13" s="18" t="str">
        <f aca="false">IF(COUNTIFS(案件一覧!$N$3:$N$62,H$3,案件一覧!$E$3:$E$62,"&lt;="&amp;$A13,案件一覧!$F$3:$F$62,"&gt;"&amp;$A13,案件一覧!$C$3:$C$62,"&lt;&gt;キャンセル")=0,"",INDEX(案件一覧!$J$3:$J$62,MATCH(1,INDEX((案件一覧!$N$3:$N$62=H$3)*(案件一覧!$E$3:$E$62&lt;=$A13)*(案件一覧!$F$3:$F$62&gt;$A13)*(案件一覧!$C$3:$C$62&lt;&gt;"キャンセル"),0),0))&amp;IF(COUNTIFS(案件一覧!$N$3:$N$62,H$3,案件一覧!$E$3:$E$62,"&lt;="&amp;$A13,案件一覧!$F$3:$F$62,"&gt;"&amp;$A13,案件一覧!$C$3:$C$62,"&lt;&gt;キャンセル")&gt;1," ◆重複!",""))</f>
        <v/>
      </c>
    </row>
    <row r="14" customFormat="false" ht="15" hidden="false" customHeight="false" outlineLevel="0" collapsed="false">
      <c r="A14" s="19" t="n">
        <v>46214</v>
      </c>
      <c r="B14" s="20" t="s">
        <v>45</v>
      </c>
      <c r="C14" s="21" t="str">
        <f aca="false">IF(COUNTIFS(案件一覧!$N$3:$N$62,C$3,案件一覧!$E$3:$E$62,"&lt;="&amp;$A14,案件一覧!$F$3:$F$62,"&gt;"&amp;$A14,案件一覧!$C$3:$C$62,"&lt;&gt;キャンセル")=0,"",INDEX(案件一覧!$J$3:$J$62,MATCH(1,INDEX((案件一覧!$N$3:$N$62=C$3)*(案件一覧!$E$3:$E$62&lt;=$A14)*(案件一覧!$F$3:$F$62&gt;$A14)*(案件一覧!$C$3:$C$62&lt;&gt;"キャンセル"),0),0))&amp;IF(COUNTIFS(案件一覧!$N$3:$N$62,C$3,案件一覧!$E$3:$E$62,"&lt;="&amp;$A14,案件一覧!$F$3:$F$62,"&gt;"&amp;$A14,案件一覧!$C$3:$C$62,"&lt;&gt;キャンセル")&gt;1," ◆重複!",""))</f>
        <v/>
      </c>
      <c r="D14" s="21" t="str">
        <f aca="false">IF(COUNTIFS(案件一覧!$N$3:$N$62,D$3,案件一覧!$E$3:$E$62,"&lt;="&amp;$A14,案件一覧!$F$3:$F$62,"&gt;"&amp;$A14,案件一覧!$C$3:$C$62,"&lt;&gt;キャンセル")=0,"",INDEX(案件一覧!$J$3:$J$62,MATCH(1,INDEX((案件一覧!$N$3:$N$62=D$3)*(案件一覧!$E$3:$E$62&lt;=$A14)*(案件一覧!$F$3:$F$62&gt;$A14)*(案件一覧!$C$3:$C$62&lt;&gt;"キャンセル"),0),0))&amp;IF(COUNTIFS(案件一覧!$N$3:$N$62,D$3,案件一覧!$E$3:$E$62,"&lt;="&amp;$A14,案件一覧!$F$3:$F$62,"&gt;"&amp;$A14,案件一覧!$C$3:$C$62,"&lt;&gt;キャンセル")&gt;1," ◆重複!",""))</f>
        <v/>
      </c>
      <c r="E14" s="21" t="str">
        <f aca="false">IF(COUNTIFS(案件一覧!$N$3:$N$62,E$3,案件一覧!$E$3:$E$62,"&lt;="&amp;$A14,案件一覧!$F$3:$F$62,"&gt;"&amp;$A14,案件一覧!$C$3:$C$62,"&lt;&gt;キャンセル")=0,"",INDEX(案件一覧!$J$3:$J$62,MATCH(1,INDEX((案件一覧!$N$3:$N$62=E$3)*(案件一覧!$E$3:$E$62&lt;=$A14)*(案件一覧!$F$3:$F$62&gt;$A14)*(案件一覧!$C$3:$C$62&lt;&gt;"キャンセル"),0),0))&amp;IF(COUNTIFS(案件一覧!$N$3:$N$62,E$3,案件一覧!$E$3:$E$62,"&lt;="&amp;$A14,案件一覧!$F$3:$F$62,"&gt;"&amp;$A14,案件一覧!$C$3:$C$62,"&lt;&gt;キャンセル")&gt;1," ◆重複!",""))</f>
        <v/>
      </c>
      <c r="F14" s="21" t="str">
        <f aca="false">IF(COUNTIFS(案件一覧!$N$3:$N$62,F$3,案件一覧!$E$3:$E$62,"&lt;="&amp;$A14,案件一覧!$F$3:$F$62,"&gt;"&amp;$A14,案件一覧!$C$3:$C$62,"&lt;&gt;キャンセル")=0,"",INDEX(案件一覧!$J$3:$J$62,MATCH(1,INDEX((案件一覧!$N$3:$N$62=F$3)*(案件一覧!$E$3:$E$62&lt;=$A14)*(案件一覧!$F$3:$F$62&gt;$A14)*(案件一覧!$C$3:$C$62&lt;&gt;"キャンセル"),0),0))&amp;IF(COUNTIFS(案件一覧!$N$3:$N$62,F$3,案件一覧!$E$3:$E$62,"&lt;="&amp;$A14,案件一覧!$F$3:$F$62,"&gt;"&amp;$A14,案件一覧!$C$3:$C$62,"&lt;&gt;キャンセル")&gt;1," ◆重複!",""))</f>
        <v/>
      </c>
      <c r="G14" s="21" t="str">
        <f aca="false">IF(COUNTIFS(案件一覧!$N$3:$N$62,G$3,案件一覧!$E$3:$E$62,"&lt;="&amp;$A14,案件一覧!$F$3:$F$62,"&gt;"&amp;$A14,案件一覧!$C$3:$C$62,"&lt;&gt;キャンセル")=0,"",INDEX(案件一覧!$J$3:$J$62,MATCH(1,INDEX((案件一覧!$N$3:$N$62=G$3)*(案件一覧!$E$3:$E$62&lt;=$A14)*(案件一覧!$F$3:$F$62&gt;$A14)*(案件一覧!$C$3:$C$62&lt;&gt;"キャンセル"),0),0))&amp;IF(COUNTIFS(案件一覧!$N$3:$N$62,G$3,案件一覧!$E$3:$E$62,"&lt;="&amp;$A14,案件一覧!$F$3:$F$62,"&gt;"&amp;$A14,案件一覧!$C$3:$C$62,"&lt;&gt;キャンセル")&gt;1," ◆重複!",""))</f>
        <v/>
      </c>
      <c r="H14" s="21" t="str">
        <f aca="false">IF(COUNTIFS(案件一覧!$N$3:$N$62,H$3,案件一覧!$E$3:$E$62,"&lt;="&amp;$A14,案件一覧!$F$3:$F$62,"&gt;"&amp;$A14,案件一覧!$C$3:$C$62,"&lt;&gt;キャンセル")=0,"",INDEX(案件一覧!$J$3:$J$62,MATCH(1,INDEX((案件一覧!$N$3:$N$62=H$3)*(案件一覧!$E$3:$E$62&lt;=$A14)*(案件一覧!$F$3:$F$62&gt;$A14)*(案件一覧!$C$3:$C$62&lt;&gt;"キャンセル"),0),0))&amp;IF(COUNTIFS(案件一覧!$N$3:$N$62,H$3,案件一覧!$E$3:$E$62,"&lt;="&amp;$A14,案件一覧!$F$3:$F$62,"&gt;"&amp;$A14,案件一覧!$C$3:$C$62,"&lt;&gt;キャンセル")&gt;1," ◆重複!",""))</f>
        <v/>
      </c>
    </row>
    <row r="15" customFormat="false" ht="15" hidden="false" customHeight="false" outlineLevel="0" collapsed="false">
      <c r="A15" s="22" t="n">
        <v>46215</v>
      </c>
      <c r="B15" s="23" t="s">
        <v>46</v>
      </c>
      <c r="C15" s="24" t="str">
        <f aca="false">IF(COUNTIFS(案件一覧!$N$3:$N$62,C$3,案件一覧!$E$3:$E$62,"&lt;="&amp;$A15,案件一覧!$F$3:$F$62,"&gt;"&amp;$A15,案件一覧!$C$3:$C$62,"&lt;&gt;キャンセル")=0,"",INDEX(案件一覧!$J$3:$J$62,MATCH(1,INDEX((案件一覧!$N$3:$N$62=C$3)*(案件一覧!$E$3:$E$62&lt;=$A15)*(案件一覧!$F$3:$F$62&gt;$A15)*(案件一覧!$C$3:$C$62&lt;&gt;"キャンセル"),0),0))&amp;IF(COUNTIFS(案件一覧!$N$3:$N$62,C$3,案件一覧!$E$3:$E$62,"&lt;="&amp;$A15,案件一覧!$F$3:$F$62,"&gt;"&amp;$A15,案件一覧!$C$3:$C$62,"&lt;&gt;キャンセル")&gt;1," ◆重複!",""))</f>
        <v/>
      </c>
      <c r="D15" s="24" t="str">
        <f aca="false">IF(COUNTIFS(案件一覧!$N$3:$N$62,D$3,案件一覧!$E$3:$E$62,"&lt;="&amp;$A15,案件一覧!$F$3:$F$62,"&gt;"&amp;$A15,案件一覧!$C$3:$C$62,"&lt;&gt;キャンセル")=0,"",INDEX(案件一覧!$J$3:$J$62,MATCH(1,INDEX((案件一覧!$N$3:$N$62=D$3)*(案件一覧!$E$3:$E$62&lt;=$A15)*(案件一覧!$F$3:$F$62&gt;$A15)*(案件一覧!$C$3:$C$62&lt;&gt;"キャンセル"),0),0))&amp;IF(COUNTIFS(案件一覧!$N$3:$N$62,D$3,案件一覧!$E$3:$E$62,"&lt;="&amp;$A15,案件一覧!$F$3:$F$62,"&gt;"&amp;$A15,案件一覧!$C$3:$C$62,"&lt;&gt;キャンセル")&gt;1," ◆重複!",""))</f>
        <v/>
      </c>
      <c r="E15" s="24" t="str">
        <f aca="false">IF(COUNTIFS(案件一覧!$N$3:$N$62,E$3,案件一覧!$E$3:$E$62,"&lt;="&amp;$A15,案件一覧!$F$3:$F$62,"&gt;"&amp;$A15,案件一覧!$C$3:$C$62,"&lt;&gt;キャンセル")=0,"",INDEX(案件一覧!$J$3:$J$62,MATCH(1,INDEX((案件一覧!$N$3:$N$62=E$3)*(案件一覧!$E$3:$E$62&lt;=$A15)*(案件一覧!$F$3:$F$62&gt;$A15)*(案件一覧!$C$3:$C$62&lt;&gt;"キャンセル"),0),0))&amp;IF(COUNTIFS(案件一覧!$N$3:$N$62,E$3,案件一覧!$E$3:$E$62,"&lt;="&amp;$A15,案件一覧!$F$3:$F$62,"&gt;"&amp;$A15,案件一覧!$C$3:$C$62,"&lt;&gt;キャンセル")&gt;1," ◆重複!",""))</f>
        <v/>
      </c>
      <c r="F15" s="24" t="str">
        <f aca="false">IF(COUNTIFS(案件一覧!$N$3:$N$62,F$3,案件一覧!$E$3:$E$62,"&lt;="&amp;$A15,案件一覧!$F$3:$F$62,"&gt;"&amp;$A15,案件一覧!$C$3:$C$62,"&lt;&gt;キャンセル")=0,"",INDEX(案件一覧!$J$3:$J$62,MATCH(1,INDEX((案件一覧!$N$3:$N$62=F$3)*(案件一覧!$E$3:$E$62&lt;=$A15)*(案件一覧!$F$3:$F$62&gt;$A15)*(案件一覧!$C$3:$C$62&lt;&gt;"キャンセル"),0),0))&amp;IF(COUNTIFS(案件一覧!$N$3:$N$62,F$3,案件一覧!$E$3:$E$62,"&lt;="&amp;$A15,案件一覧!$F$3:$F$62,"&gt;"&amp;$A15,案件一覧!$C$3:$C$62,"&lt;&gt;キャンセル")&gt;1," ◆重複!",""))</f>
        <v/>
      </c>
      <c r="G15" s="24" t="str">
        <f aca="false">IF(COUNTIFS(案件一覧!$N$3:$N$62,G$3,案件一覧!$E$3:$E$62,"&lt;="&amp;$A15,案件一覧!$F$3:$F$62,"&gt;"&amp;$A15,案件一覧!$C$3:$C$62,"&lt;&gt;キャンセル")=0,"",INDEX(案件一覧!$J$3:$J$62,MATCH(1,INDEX((案件一覧!$N$3:$N$62=G$3)*(案件一覧!$E$3:$E$62&lt;=$A15)*(案件一覧!$F$3:$F$62&gt;$A15)*(案件一覧!$C$3:$C$62&lt;&gt;"キャンセル"),0),0))&amp;IF(COUNTIFS(案件一覧!$N$3:$N$62,G$3,案件一覧!$E$3:$E$62,"&lt;="&amp;$A15,案件一覧!$F$3:$F$62,"&gt;"&amp;$A15,案件一覧!$C$3:$C$62,"&lt;&gt;キャンセル")&gt;1," ◆重複!",""))</f>
        <v/>
      </c>
      <c r="H15" s="24" t="str">
        <f aca="false">IF(COUNTIFS(案件一覧!$N$3:$N$62,H$3,案件一覧!$E$3:$E$62,"&lt;="&amp;$A15,案件一覧!$F$3:$F$62,"&gt;"&amp;$A15,案件一覧!$C$3:$C$62,"&lt;&gt;キャンセル")=0,"",INDEX(案件一覧!$J$3:$J$62,MATCH(1,INDEX((案件一覧!$N$3:$N$62=H$3)*(案件一覧!$E$3:$E$62&lt;=$A15)*(案件一覧!$F$3:$F$62&gt;$A15)*(案件一覧!$C$3:$C$62&lt;&gt;"キャンセル"),0),0))&amp;IF(COUNTIFS(案件一覧!$N$3:$N$62,H$3,案件一覧!$E$3:$E$62,"&lt;="&amp;$A15,案件一覧!$F$3:$F$62,"&gt;"&amp;$A15,案件一覧!$C$3:$C$62,"&lt;&gt;キャンセル")&gt;1," ◆重複!",""))</f>
        <v/>
      </c>
    </row>
    <row r="16" customFormat="false" ht="15" hidden="false" customHeight="false" outlineLevel="0" collapsed="false">
      <c r="A16" s="16" t="n">
        <v>46216</v>
      </c>
      <c r="B16" s="17" t="s">
        <v>47</v>
      </c>
      <c r="C16" s="18" t="str">
        <f aca="false">IF(COUNTIFS(案件一覧!$N$3:$N$62,C$3,案件一覧!$E$3:$E$62,"&lt;="&amp;$A16,案件一覧!$F$3:$F$62,"&gt;"&amp;$A16,案件一覧!$C$3:$C$62,"&lt;&gt;キャンセル")=0,"",INDEX(案件一覧!$J$3:$J$62,MATCH(1,INDEX((案件一覧!$N$3:$N$62=C$3)*(案件一覧!$E$3:$E$62&lt;=$A16)*(案件一覧!$F$3:$F$62&gt;$A16)*(案件一覧!$C$3:$C$62&lt;&gt;"キャンセル"),0),0))&amp;IF(COUNTIFS(案件一覧!$N$3:$N$62,C$3,案件一覧!$E$3:$E$62,"&lt;="&amp;$A16,案件一覧!$F$3:$F$62,"&gt;"&amp;$A16,案件一覧!$C$3:$C$62,"&lt;&gt;キャンセル")&gt;1," ◆重複!",""))</f>
        <v/>
      </c>
      <c r="D16" s="18" t="str">
        <f aca="false">IF(COUNTIFS(案件一覧!$N$3:$N$62,D$3,案件一覧!$E$3:$E$62,"&lt;="&amp;$A16,案件一覧!$F$3:$F$62,"&gt;"&amp;$A16,案件一覧!$C$3:$C$62,"&lt;&gt;キャンセル")=0,"",INDEX(案件一覧!$J$3:$J$62,MATCH(1,INDEX((案件一覧!$N$3:$N$62=D$3)*(案件一覧!$E$3:$E$62&lt;=$A16)*(案件一覧!$F$3:$F$62&gt;$A16)*(案件一覧!$C$3:$C$62&lt;&gt;"キャンセル"),0),0))&amp;IF(COUNTIFS(案件一覧!$N$3:$N$62,D$3,案件一覧!$E$3:$E$62,"&lt;="&amp;$A16,案件一覧!$F$3:$F$62,"&gt;"&amp;$A16,案件一覧!$C$3:$C$62,"&lt;&gt;キャンセル")&gt;1," ◆重複!",""))</f>
        <v/>
      </c>
      <c r="E16" s="18" t="str">
        <f aca="false">IF(COUNTIFS(案件一覧!$N$3:$N$62,E$3,案件一覧!$E$3:$E$62,"&lt;="&amp;$A16,案件一覧!$F$3:$F$62,"&gt;"&amp;$A16,案件一覧!$C$3:$C$62,"&lt;&gt;キャンセル")=0,"",INDEX(案件一覧!$J$3:$J$62,MATCH(1,INDEX((案件一覧!$N$3:$N$62=E$3)*(案件一覧!$E$3:$E$62&lt;=$A16)*(案件一覧!$F$3:$F$62&gt;$A16)*(案件一覧!$C$3:$C$62&lt;&gt;"キャンセル"),0),0))&amp;IF(COUNTIFS(案件一覧!$N$3:$N$62,E$3,案件一覧!$E$3:$E$62,"&lt;="&amp;$A16,案件一覧!$F$3:$F$62,"&gt;"&amp;$A16,案件一覧!$C$3:$C$62,"&lt;&gt;キャンセル")&gt;1," ◆重複!",""))</f>
        <v/>
      </c>
      <c r="F16" s="18" t="str">
        <f aca="false">IF(COUNTIFS(案件一覧!$N$3:$N$62,F$3,案件一覧!$E$3:$E$62,"&lt;="&amp;$A16,案件一覧!$F$3:$F$62,"&gt;"&amp;$A16,案件一覧!$C$3:$C$62,"&lt;&gt;キャンセル")=0,"",INDEX(案件一覧!$J$3:$J$62,MATCH(1,INDEX((案件一覧!$N$3:$N$62=F$3)*(案件一覧!$E$3:$E$62&lt;=$A16)*(案件一覧!$F$3:$F$62&gt;$A16)*(案件一覧!$C$3:$C$62&lt;&gt;"キャンセル"),0),0))&amp;IF(COUNTIFS(案件一覧!$N$3:$N$62,F$3,案件一覧!$E$3:$E$62,"&lt;="&amp;$A16,案件一覧!$F$3:$F$62,"&gt;"&amp;$A16,案件一覧!$C$3:$C$62,"&lt;&gt;キャンセル")&gt;1," ◆重複!",""))</f>
        <v/>
      </c>
      <c r="G16" s="18" t="str">
        <f aca="false">IF(COUNTIFS(案件一覧!$N$3:$N$62,G$3,案件一覧!$E$3:$E$62,"&lt;="&amp;$A16,案件一覧!$F$3:$F$62,"&gt;"&amp;$A16,案件一覧!$C$3:$C$62,"&lt;&gt;キャンセル")=0,"",INDEX(案件一覧!$J$3:$J$62,MATCH(1,INDEX((案件一覧!$N$3:$N$62=G$3)*(案件一覧!$E$3:$E$62&lt;=$A16)*(案件一覧!$F$3:$F$62&gt;$A16)*(案件一覧!$C$3:$C$62&lt;&gt;"キャンセル"),0),0))&amp;IF(COUNTIFS(案件一覧!$N$3:$N$62,G$3,案件一覧!$E$3:$E$62,"&lt;="&amp;$A16,案件一覧!$F$3:$F$62,"&gt;"&amp;$A16,案件一覧!$C$3:$C$62,"&lt;&gt;キャンセル")&gt;1," ◆重複!",""))</f>
        <v/>
      </c>
      <c r="H16" s="18" t="str">
        <f aca="false">IF(COUNTIFS(案件一覧!$N$3:$N$62,H$3,案件一覧!$E$3:$E$62,"&lt;="&amp;$A16,案件一覧!$F$3:$F$62,"&gt;"&amp;$A16,案件一覧!$C$3:$C$62,"&lt;&gt;キャンセル")=0,"",INDEX(案件一覧!$J$3:$J$62,MATCH(1,INDEX((案件一覧!$N$3:$N$62=H$3)*(案件一覧!$E$3:$E$62&lt;=$A16)*(案件一覧!$F$3:$F$62&gt;$A16)*(案件一覧!$C$3:$C$62&lt;&gt;"キャンセル"),0),0))&amp;IF(COUNTIFS(案件一覧!$N$3:$N$62,H$3,案件一覧!$E$3:$E$62,"&lt;="&amp;$A16,案件一覧!$F$3:$F$62,"&gt;"&amp;$A16,案件一覧!$C$3:$C$62,"&lt;&gt;キャンセル")&gt;1," ◆重複!",""))</f>
        <v/>
      </c>
    </row>
    <row r="17" customFormat="false" ht="15" hidden="false" customHeight="false" outlineLevel="0" collapsed="false">
      <c r="A17" s="16" t="n">
        <v>46217</v>
      </c>
      <c r="B17" s="17" t="s">
        <v>48</v>
      </c>
      <c r="C17" s="18" t="str">
        <f aca="false">IF(COUNTIFS(案件一覧!$N$3:$N$62,C$3,案件一覧!$E$3:$E$62,"&lt;="&amp;$A17,案件一覧!$F$3:$F$62,"&gt;"&amp;$A17,案件一覧!$C$3:$C$62,"&lt;&gt;キャンセル")=0,"",INDEX(案件一覧!$J$3:$J$62,MATCH(1,INDEX((案件一覧!$N$3:$N$62=C$3)*(案件一覧!$E$3:$E$62&lt;=$A17)*(案件一覧!$F$3:$F$62&gt;$A17)*(案件一覧!$C$3:$C$62&lt;&gt;"キャンセル"),0),0))&amp;IF(COUNTIFS(案件一覧!$N$3:$N$62,C$3,案件一覧!$E$3:$E$62,"&lt;="&amp;$A17,案件一覧!$F$3:$F$62,"&gt;"&amp;$A17,案件一覧!$C$3:$C$62,"&lt;&gt;キャンセル")&gt;1," ◆重複!",""))</f>
        <v/>
      </c>
      <c r="D17" s="18" t="str">
        <f aca="false">IF(COUNTIFS(案件一覧!$N$3:$N$62,D$3,案件一覧!$E$3:$E$62,"&lt;="&amp;$A17,案件一覧!$F$3:$F$62,"&gt;"&amp;$A17,案件一覧!$C$3:$C$62,"&lt;&gt;キャンセル")=0,"",INDEX(案件一覧!$J$3:$J$62,MATCH(1,INDEX((案件一覧!$N$3:$N$62=D$3)*(案件一覧!$E$3:$E$62&lt;=$A17)*(案件一覧!$F$3:$F$62&gt;$A17)*(案件一覧!$C$3:$C$62&lt;&gt;"キャンセル"),0),0))&amp;IF(COUNTIFS(案件一覧!$N$3:$N$62,D$3,案件一覧!$E$3:$E$62,"&lt;="&amp;$A17,案件一覧!$F$3:$F$62,"&gt;"&amp;$A17,案件一覧!$C$3:$C$62,"&lt;&gt;キャンセル")&gt;1," ◆重複!",""))</f>
        <v/>
      </c>
      <c r="E17" s="18" t="str">
        <f aca="false">IF(COUNTIFS(案件一覧!$N$3:$N$62,E$3,案件一覧!$E$3:$E$62,"&lt;="&amp;$A17,案件一覧!$F$3:$F$62,"&gt;"&amp;$A17,案件一覧!$C$3:$C$62,"&lt;&gt;キャンセル")=0,"",INDEX(案件一覧!$J$3:$J$62,MATCH(1,INDEX((案件一覧!$N$3:$N$62=E$3)*(案件一覧!$E$3:$E$62&lt;=$A17)*(案件一覧!$F$3:$F$62&gt;$A17)*(案件一覧!$C$3:$C$62&lt;&gt;"キャンセル"),0),0))&amp;IF(COUNTIFS(案件一覧!$N$3:$N$62,E$3,案件一覧!$E$3:$E$62,"&lt;="&amp;$A17,案件一覧!$F$3:$F$62,"&gt;"&amp;$A17,案件一覧!$C$3:$C$62,"&lt;&gt;キャンセル")&gt;1," ◆重複!",""))</f>
        <v/>
      </c>
      <c r="F17" s="18" t="str">
        <f aca="false">IF(COUNTIFS(案件一覧!$N$3:$N$62,F$3,案件一覧!$E$3:$E$62,"&lt;="&amp;$A17,案件一覧!$F$3:$F$62,"&gt;"&amp;$A17,案件一覧!$C$3:$C$62,"&lt;&gt;キャンセル")=0,"",INDEX(案件一覧!$J$3:$J$62,MATCH(1,INDEX((案件一覧!$N$3:$N$62=F$3)*(案件一覧!$E$3:$E$62&lt;=$A17)*(案件一覧!$F$3:$F$62&gt;$A17)*(案件一覧!$C$3:$C$62&lt;&gt;"キャンセル"),0),0))&amp;IF(COUNTIFS(案件一覧!$N$3:$N$62,F$3,案件一覧!$E$3:$E$62,"&lt;="&amp;$A17,案件一覧!$F$3:$F$62,"&gt;"&amp;$A17,案件一覧!$C$3:$C$62,"&lt;&gt;キャンセル")&gt;1," ◆重複!",""))</f>
        <v/>
      </c>
      <c r="G17" s="18" t="str">
        <f aca="false">IF(COUNTIFS(案件一覧!$N$3:$N$62,G$3,案件一覧!$E$3:$E$62,"&lt;="&amp;$A17,案件一覧!$F$3:$F$62,"&gt;"&amp;$A17,案件一覧!$C$3:$C$62,"&lt;&gt;キャンセル")=0,"",INDEX(案件一覧!$J$3:$J$62,MATCH(1,INDEX((案件一覧!$N$3:$N$62=G$3)*(案件一覧!$E$3:$E$62&lt;=$A17)*(案件一覧!$F$3:$F$62&gt;$A17)*(案件一覧!$C$3:$C$62&lt;&gt;"キャンセル"),0),0))&amp;IF(COUNTIFS(案件一覧!$N$3:$N$62,G$3,案件一覧!$E$3:$E$62,"&lt;="&amp;$A17,案件一覧!$F$3:$F$62,"&gt;"&amp;$A17,案件一覧!$C$3:$C$62,"&lt;&gt;キャンセル")&gt;1," ◆重複!",""))</f>
        <v/>
      </c>
      <c r="H17" s="18" t="str">
        <f aca="false">IF(COUNTIFS(案件一覧!$N$3:$N$62,H$3,案件一覧!$E$3:$E$62,"&lt;="&amp;$A17,案件一覧!$F$3:$F$62,"&gt;"&amp;$A17,案件一覧!$C$3:$C$62,"&lt;&gt;キャンセル")=0,"",INDEX(案件一覧!$J$3:$J$62,MATCH(1,INDEX((案件一覧!$N$3:$N$62=H$3)*(案件一覧!$E$3:$E$62&lt;=$A17)*(案件一覧!$F$3:$F$62&gt;$A17)*(案件一覧!$C$3:$C$62&lt;&gt;"キャンセル"),0),0))&amp;IF(COUNTIFS(案件一覧!$N$3:$N$62,H$3,案件一覧!$E$3:$E$62,"&lt;="&amp;$A17,案件一覧!$F$3:$F$62,"&gt;"&amp;$A17,案件一覧!$C$3:$C$62,"&lt;&gt;キャンセル")&gt;1," ◆重複!",""))</f>
        <v/>
      </c>
    </row>
    <row r="18" customFormat="false" ht="15" hidden="false" customHeight="false" outlineLevel="0" collapsed="false">
      <c r="A18" s="16" t="n">
        <v>46218</v>
      </c>
      <c r="B18" s="17" t="s">
        <v>42</v>
      </c>
      <c r="C18" s="18" t="str">
        <f aca="false">IF(COUNTIFS(案件一覧!$N$3:$N$62,C$3,案件一覧!$E$3:$E$62,"&lt;="&amp;$A18,案件一覧!$F$3:$F$62,"&gt;"&amp;$A18,案件一覧!$C$3:$C$62,"&lt;&gt;キャンセル")=0,"",INDEX(案件一覧!$J$3:$J$62,MATCH(1,INDEX((案件一覧!$N$3:$N$62=C$3)*(案件一覧!$E$3:$E$62&lt;=$A18)*(案件一覧!$F$3:$F$62&gt;$A18)*(案件一覧!$C$3:$C$62&lt;&gt;"キャンセル"),0),0))&amp;IF(COUNTIFS(案件一覧!$N$3:$N$62,C$3,案件一覧!$E$3:$E$62,"&lt;="&amp;$A18,案件一覧!$F$3:$F$62,"&gt;"&amp;$A18,案件一覧!$C$3:$C$62,"&lt;&gt;キャンセル")&gt;1," ◆重複!",""))</f>
        <v/>
      </c>
      <c r="D18" s="18" t="str">
        <f aca="false">IF(COUNTIFS(案件一覧!$N$3:$N$62,D$3,案件一覧!$E$3:$E$62,"&lt;="&amp;$A18,案件一覧!$F$3:$F$62,"&gt;"&amp;$A18,案件一覧!$C$3:$C$62,"&lt;&gt;キャンセル")=0,"",INDEX(案件一覧!$J$3:$J$62,MATCH(1,INDEX((案件一覧!$N$3:$N$62=D$3)*(案件一覧!$E$3:$E$62&lt;=$A18)*(案件一覧!$F$3:$F$62&gt;$A18)*(案件一覧!$C$3:$C$62&lt;&gt;"キャンセル"),0),0))&amp;IF(COUNTIFS(案件一覧!$N$3:$N$62,D$3,案件一覧!$E$3:$E$62,"&lt;="&amp;$A18,案件一覧!$F$3:$F$62,"&gt;"&amp;$A18,案件一覧!$C$3:$C$62,"&lt;&gt;キャンセル")&gt;1," ◆重複!",""))</f>
        <v/>
      </c>
      <c r="E18" s="18" t="str">
        <f aca="false">IF(COUNTIFS(案件一覧!$N$3:$N$62,E$3,案件一覧!$E$3:$E$62,"&lt;="&amp;$A18,案件一覧!$F$3:$F$62,"&gt;"&amp;$A18,案件一覧!$C$3:$C$62,"&lt;&gt;キャンセル")=0,"",INDEX(案件一覧!$J$3:$J$62,MATCH(1,INDEX((案件一覧!$N$3:$N$62=E$3)*(案件一覧!$E$3:$E$62&lt;=$A18)*(案件一覧!$F$3:$F$62&gt;$A18)*(案件一覧!$C$3:$C$62&lt;&gt;"キャンセル"),0),0))&amp;IF(COUNTIFS(案件一覧!$N$3:$N$62,E$3,案件一覧!$E$3:$E$62,"&lt;="&amp;$A18,案件一覧!$F$3:$F$62,"&gt;"&amp;$A18,案件一覧!$C$3:$C$62,"&lt;&gt;キャンセル")&gt;1," ◆重複!",""))</f>
        <v/>
      </c>
      <c r="F18" s="18" t="str">
        <f aca="false">IF(COUNTIFS(案件一覧!$N$3:$N$62,F$3,案件一覧!$E$3:$E$62,"&lt;="&amp;$A18,案件一覧!$F$3:$F$62,"&gt;"&amp;$A18,案件一覧!$C$3:$C$62,"&lt;&gt;キャンセル")=0,"",INDEX(案件一覧!$J$3:$J$62,MATCH(1,INDEX((案件一覧!$N$3:$N$62=F$3)*(案件一覧!$E$3:$E$62&lt;=$A18)*(案件一覧!$F$3:$F$62&gt;$A18)*(案件一覧!$C$3:$C$62&lt;&gt;"キャンセル"),0),0))&amp;IF(COUNTIFS(案件一覧!$N$3:$N$62,F$3,案件一覧!$E$3:$E$62,"&lt;="&amp;$A18,案件一覧!$F$3:$F$62,"&gt;"&amp;$A18,案件一覧!$C$3:$C$62,"&lt;&gt;キャンセル")&gt;1," ◆重複!",""))</f>
        <v/>
      </c>
      <c r="G18" s="18" t="str">
        <f aca="false">IF(COUNTIFS(案件一覧!$N$3:$N$62,G$3,案件一覧!$E$3:$E$62,"&lt;="&amp;$A18,案件一覧!$F$3:$F$62,"&gt;"&amp;$A18,案件一覧!$C$3:$C$62,"&lt;&gt;キャンセル")=0,"",INDEX(案件一覧!$J$3:$J$62,MATCH(1,INDEX((案件一覧!$N$3:$N$62=G$3)*(案件一覧!$E$3:$E$62&lt;=$A18)*(案件一覧!$F$3:$F$62&gt;$A18)*(案件一覧!$C$3:$C$62&lt;&gt;"キャンセル"),0),0))&amp;IF(COUNTIFS(案件一覧!$N$3:$N$62,G$3,案件一覧!$E$3:$E$62,"&lt;="&amp;$A18,案件一覧!$F$3:$F$62,"&gt;"&amp;$A18,案件一覧!$C$3:$C$62,"&lt;&gt;キャンセル")&gt;1," ◆重複!",""))</f>
        <v/>
      </c>
      <c r="H18" s="18" t="str">
        <f aca="false">IF(COUNTIFS(案件一覧!$N$3:$N$62,H$3,案件一覧!$E$3:$E$62,"&lt;="&amp;$A18,案件一覧!$F$3:$F$62,"&gt;"&amp;$A18,案件一覧!$C$3:$C$62,"&lt;&gt;キャンセル")=0,"",INDEX(案件一覧!$J$3:$J$62,MATCH(1,INDEX((案件一覧!$N$3:$N$62=H$3)*(案件一覧!$E$3:$E$62&lt;=$A18)*(案件一覧!$F$3:$F$62&gt;$A18)*(案件一覧!$C$3:$C$62&lt;&gt;"キャンセル"),0),0))&amp;IF(COUNTIFS(案件一覧!$N$3:$N$62,H$3,案件一覧!$E$3:$E$62,"&lt;="&amp;$A18,案件一覧!$F$3:$F$62,"&gt;"&amp;$A18,案件一覧!$C$3:$C$62,"&lt;&gt;キャンセル")&gt;1," ◆重複!",""))</f>
        <v/>
      </c>
    </row>
    <row r="19" customFormat="false" ht="15" hidden="false" customHeight="false" outlineLevel="0" collapsed="false">
      <c r="A19" s="16" t="n">
        <v>46219</v>
      </c>
      <c r="B19" s="17" t="s">
        <v>43</v>
      </c>
      <c r="C19" s="18" t="str">
        <f aca="false">IF(COUNTIFS(案件一覧!$N$3:$N$62,C$3,案件一覧!$E$3:$E$62,"&lt;="&amp;$A19,案件一覧!$F$3:$F$62,"&gt;"&amp;$A19,案件一覧!$C$3:$C$62,"&lt;&gt;キャンセル")=0,"",INDEX(案件一覧!$J$3:$J$62,MATCH(1,INDEX((案件一覧!$N$3:$N$62=C$3)*(案件一覧!$E$3:$E$62&lt;=$A19)*(案件一覧!$F$3:$F$62&gt;$A19)*(案件一覧!$C$3:$C$62&lt;&gt;"キャンセル"),0),0))&amp;IF(COUNTIFS(案件一覧!$N$3:$N$62,C$3,案件一覧!$E$3:$E$62,"&lt;="&amp;$A19,案件一覧!$F$3:$F$62,"&gt;"&amp;$A19,案件一覧!$C$3:$C$62,"&lt;&gt;キャンセル")&gt;1," ◆重複!",""))</f>
        <v/>
      </c>
      <c r="D19" s="18" t="str">
        <f aca="false">IF(COUNTIFS(案件一覧!$N$3:$N$62,D$3,案件一覧!$E$3:$E$62,"&lt;="&amp;$A19,案件一覧!$F$3:$F$62,"&gt;"&amp;$A19,案件一覧!$C$3:$C$62,"&lt;&gt;キャンセル")=0,"",INDEX(案件一覧!$J$3:$J$62,MATCH(1,INDEX((案件一覧!$N$3:$N$62=D$3)*(案件一覧!$E$3:$E$62&lt;=$A19)*(案件一覧!$F$3:$F$62&gt;$A19)*(案件一覧!$C$3:$C$62&lt;&gt;"キャンセル"),0),0))&amp;IF(COUNTIFS(案件一覧!$N$3:$N$62,D$3,案件一覧!$E$3:$E$62,"&lt;="&amp;$A19,案件一覧!$F$3:$F$62,"&gt;"&amp;$A19,案件一覧!$C$3:$C$62,"&lt;&gt;キャンセル")&gt;1," ◆重複!",""))</f>
        <v/>
      </c>
      <c r="E19" s="18" t="str">
        <f aca="false">IF(COUNTIFS(案件一覧!$N$3:$N$62,E$3,案件一覧!$E$3:$E$62,"&lt;="&amp;$A19,案件一覧!$F$3:$F$62,"&gt;"&amp;$A19,案件一覧!$C$3:$C$62,"&lt;&gt;キャンセル")=0,"",INDEX(案件一覧!$J$3:$J$62,MATCH(1,INDEX((案件一覧!$N$3:$N$62=E$3)*(案件一覧!$E$3:$E$62&lt;=$A19)*(案件一覧!$F$3:$F$62&gt;$A19)*(案件一覧!$C$3:$C$62&lt;&gt;"キャンセル"),0),0))&amp;IF(COUNTIFS(案件一覧!$N$3:$N$62,E$3,案件一覧!$E$3:$E$62,"&lt;="&amp;$A19,案件一覧!$F$3:$F$62,"&gt;"&amp;$A19,案件一覧!$C$3:$C$62,"&lt;&gt;キャンセル")&gt;1," ◆重複!",""))</f>
        <v/>
      </c>
      <c r="F19" s="18" t="str">
        <f aca="false">IF(COUNTIFS(案件一覧!$N$3:$N$62,F$3,案件一覧!$E$3:$E$62,"&lt;="&amp;$A19,案件一覧!$F$3:$F$62,"&gt;"&amp;$A19,案件一覧!$C$3:$C$62,"&lt;&gt;キャンセル")=0,"",INDEX(案件一覧!$J$3:$J$62,MATCH(1,INDEX((案件一覧!$N$3:$N$62=F$3)*(案件一覧!$E$3:$E$62&lt;=$A19)*(案件一覧!$F$3:$F$62&gt;$A19)*(案件一覧!$C$3:$C$62&lt;&gt;"キャンセル"),0),0))&amp;IF(COUNTIFS(案件一覧!$N$3:$N$62,F$3,案件一覧!$E$3:$E$62,"&lt;="&amp;$A19,案件一覧!$F$3:$F$62,"&gt;"&amp;$A19,案件一覧!$C$3:$C$62,"&lt;&gt;キャンセル")&gt;1," ◆重複!",""))</f>
        <v/>
      </c>
      <c r="G19" s="18" t="str">
        <f aca="false">IF(COUNTIFS(案件一覧!$N$3:$N$62,G$3,案件一覧!$E$3:$E$62,"&lt;="&amp;$A19,案件一覧!$F$3:$F$62,"&gt;"&amp;$A19,案件一覧!$C$3:$C$62,"&lt;&gt;キャンセル")=0,"",INDEX(案件一覧!$J$3:$J$62,MATCH(1,INDEX((案件一覧!$N$3:$N$62=G$3)*(案件一覧!$E$3:$E$62&lt;=$A19)*(案件一覧!$F$3:$F$62&gt;$A19)*(案件一覧!$C$3:$C$62&lt;&gt;"キャンセル"),0),0))&amp;IF(COUNTIFS(案件一覧!$N$3:$N$62,G$3,案件一覧!$E$3:$E$62,"&lt;="&amp;$A19,案件一覧!$F$3:$F$62,"&gt;"&amp;$A19,案件一覧!$C$3:$C$62,"&lt;&gt;キャンセル")&gt;1," ◆重複!",""))</f>
        <v/>
      </c>
      <c r="H19" s="18" t="str">
        <f aca="false">IF(COUNTIFS(案件一覧!$N$3:$N$62,H$3,案件一覧!$E$3:$E$62,"&lt;="&amp;$A19,案件一覧!$F$3:$F$62,"&gt;"&amp;$A19,案件一覧!$C$3:$C$62,"&lt;&gt;キャンセル")=0,"",INDEX(案件一覧!$J$3:$J$62,MATCH(1,INDEX((案件一覧!$N$3:$N$62=H$3)*(案件一覧!$E$3:$E$62&lt;=$A19)*(案件一覧!$F$3:$F$62&gt;$A19)*(案件一覧!$C$3:$C$62&lt;&gt;"キャンセル"),0),0))&amp;IF(COUNTIFS(案件一覧!$N$3:$N$62,H$3,案件一覧!$E$3:$E$62,"&lt;="&amp;$A19,案件一覧!$F$3:$F$62,"&gt;"&amp;$A19,案件一覧!$C$3:$C$62,"&lt;&gt;キャンセル")&gt;1," ◆重複!",""))</f>
        <v/>
      </c>
    </row>
    <row r="20" customFormat="false" ht="15" hidden="false" customHeight="false" outlineLevel="0" collapsed="false">
      <c r="A20" s="16" t="n">
        <v>46220</v>
      </c>
      <c r="B20" s="17" t="s">
        <v>44</v>
      </c>
      <c r="C20" s="18" t="str">
        <f aca="false">IF(COUNTIFS(案件一覧!$N$3:$N$62,C$3,案件一覧!$E$3:$E$62,"&lt;="&amp;$A20,案件一覧!$F$3:$F$62,"&gt;"&amp;$A20,案件一覧!$C$3:$C$62,"&lt;&gt;キャンセル")=0,"",INDEX(案件一覧!$J$3:$J$62,MATCH(1,INDEX((案件一覧!$N$3:$N$62=C$3)*(案件一覧!$E$3:$E$62&lt;=$A20)*(案件一覧!$F$3:$F$62&gt;$A20)*(案件一覧!$C$3:$C$62&lt;&gt;"キャンセル"),0),0))&amp;IF(COUNTIFS(案件一覧!$N$3:$N$62,C$3,案件一覧!$E$3:$E$62,"&lt;="&amp;$A20,案件一覧!$F$3:$F$62,"&gt;"&amp;$A20,案件一覧!$C$3:$C$62,"&lt;&gt;キャンセル")&gt;1," ◆重複!",""))</f>
        <v/>
      </c>
      <c r="D20" s="18" t="str">
        <f aca="false">IF(COUNTIFS(案件一覧!$N$3:$N$62,D$3,案件一覧!$E$3:$E$62,"&lt;="&amp;$A20,案件一覧!$F$3:$F$62,"&gt;"&amp;$A20,案件一覧!$C$3:$C$62,"&lt;&gt;キャンセル")=0,"",INDEX(案件一覧!$J$3:$J$62,MATCH(1,INDEX((案件一覧!$N$3:$N$62=D$3)*(案件一覧!$E$3:$E$62&lt;=$A20)*(案件一覧!$F$3:$F$62&gt;$A20)*(案件一覧!$C$3:$C$62&lt;&gt;"キャンセル"),0),0))&amp;IF(COUNTIFS(案件一覧!$N$3:$N$62,D$3,案件一覧!$E$3:$E$62,"&lt;="&amp;$A20,案件一覧!$F$3:$F$62,"&gt;"&amp;$A20,案件一覧!$C$3:$C$62,"&lt;&gt;キャンセル")&gt;1," ◆重複!",""))</f>
        <v/>
      </c>
      <c r="E20" s="18" t="str">
        <f aca="false">IF(COUNTIFS(案件一覧!$N$3:$N$62,E$3,案件一覧!$E$3:$E$62,"&lt;="&amp;$A20,案件一覧!$F$3:$F$62,"&gt;"&amp;$A20,案件一覧!$C$3:$C$62,"&lt;&gt;キャンセル")=0,"",INDEX(案件一覧!$J$3:$J$62,MATCH(1,INDEX((案件一覧!$N$3:$N$62=E$3)*(案件一覧!$E$3:$E$62&lt;=$A20)*(案件一覧!$F$3:$F$62&gt;$A20)*(案件一覧!$C$3:$C$62&lt;&gt;"キャンセル"),0),0))&amp;IF(COUNTIFS(案件一覧!$N$3:$N$62,E$3,案件一覧!$E$3:$E$62,"&lt;="&amp;$A20,案件一覧!$F$3:$F$62,"&gt;"&amp;$A20,案件一覧!$C$3:$C$62,"&lt;&gt;キャンセル")&gt;1," ◆重複!",""))</f>
        <v/>
      </c>
      <c r="F20" s="18" t="str">
        <f aca="false">IF(COUNTIFS(案件一覧!$N$3:$N$62,F$3,案件一覧!$E$3:$E$62,"&lt;="&amp;$A20,案件一覧!$F$3:$F$62,"&gt;"&amp;$A20,案件一覧!$C$3:$C$62,"&lt;&gt;キャンセル")=0,"",INDEX(案件一覧!$J$3:$J$62,MATCH(1,INDEX((案件一覧!$N$3:$N$62=F$3)*(案件一覧!$E$3:$E$62&lt;=$A20)*(案件一覧!$F$3:$F$62&gt;$A20)*(案件一覧!$C$3:$C$62&lt;&gt;"キャンセル"),0),0))&amp;IF(COUNTIFS(案件一覧!$N$3:$N$62,F$3,案件一覧!$E$3:$E$62,"&lt;="&amp;$A20,案件一覧!$F$3:$F$62,"&gt;"&amp;$A20,案件一覧!$C$3:$C$62,"&lt;&gt;キャンセル")&gt;1," ◆重複!",""))</f>
        <v/>
      </c>
      <c r="G20" s="18" t="str">
        <f aca="false">IF(COUNTIFS(案件一覧!$N$3:$N$62,G$3,案件一覧!$E$3:$E$62,"&lt;="&amp;$A20,案件一覧!$F$3:$F$62,"&gt;"&amp;$A20,案件一覧!$C$3:$C$62,"&lt;&gt;キャンセル")=0,"",INDEX(案件一覧!$J$3:$J$62,MATCH(1,INDEX((案件一覧!$N$3:$N$62=G$3)*(案件一覧!$E$3:$E$62&lt;=$A20)*(案件一覧!$F$3:$F$62&gt;$A20)*(案件一覧!$C$3:$C$62&lt;&gt;"キャンセル"),0),0))&amp;IF(COUNTIFS(案件一覧!$N$3:$N$62,G$3,案件一覧!$E$3:$E$62,"&lt;="&amp;$A20,案件一覧!$F$3:$F$62,"&gt;"&amp;$A20,案件一覧!$C$3:$C$62,"&lt;&gt;キャンセル")&gt;1," ◆重複!",""))</f>
        <v/>
      </c>
      <c r="H20" s="18" t="str">
        <f aca="false">IF(COUNTIFS(案件一覧!$N$3:$N$62,H$3,案件一覧!$E$3:$E$62,"&lt;="&amp;$A20,案件一覧!$F$3:$F$62,"&gt;"&amp;$A20,案件一覧!$C$3:$C$62,"&lt;&gt;キャンセル")=0,"",INDEX(案件一覧!$J$3:$J$62,MATCH(1,INDEX((案件一覧!$N$3:$N$62=H$3)*(案件一覧!$E$3:$E$62&lt;=$A20)*(案件一覧!$F$3:$F$62&gt;$A20)*(案件一覧!$C$3:$C$62&lt;&gt;"キャンセル"),0),0))&amp;IF(COUNTIFS(案件一覧!$N$3:$N$62,H$3,案件一覧!$E$3:$E$62,"&lt;="&amp;$A20,案件一覧!$F$3:$F$62,"&gt;"&amp;$A20,案件一覧!$C$3:$C$62,"&lt;&gt;キャンセル")&gt;1," ◆重複!",""))</f>
        <v/>
      </c>
    </row>
    <row r="21" customFormat="false" ht="15" hidden="false" customHeight="false" outlineLevel="0" collapsed="false">
      <c r="A21" s="19" t="n">
        <v>46221</v>
      </c>
      <c r="B21" s="20" t="s">
        <v>45</v>
      </c>
      <c r="C21" s="21" t="str">
        <f aca="false">IF(COUNTIFS(案件一覧!$N$3:$N$62,C$3,案件一覧!$E$3:$E$62,"&lt;="&amp;$A21,案件一覧!$F$3:$F$62,"&gt;"&amp;$A21,案件一覧!$C$3:$C$62,"&lt;&gt;キャンセル")=0,"",INDEX(案件一覧!$J$3:$J$62,MATCH(1,INDEX((案件一覧!$N$3:$N$62=C$3)*(案件一覧!$E$3:$E$62&lt;=$A21)*(案件一覧!$F$3:$F$62&gt;$A21)*(案件一覧!$C$3:$C$62&lt;&gt;"キャンセル"),0),0))&amp;IF(COUNTIFS(案件一覧!$N$3:$N$62,C$3,案件一覧!$E$3:$E$62,"&lt;="&amp;$A21,案件一覧!$F$3:$F$62,"&gt;"&amp;$A21,案件一覧!$C$3:$C$62,"&lt;&gt;キャンセル")&gt;1," ◆重複!",""))</f>
        <v/>
      </c>
      <c r="D21" s="21" t="str">
        <f aca="false">IF(COUNTIFS(案件一覧!$N$3:$N$62,D$3,案件一覧!$E$3:$E$62,"&lt;="&amp;$A21,案件一覧!$F$3:$F$62,"&gt;"&amp;$A21,案件一覧!$C$3:$C$62,"&lt;&gt;キャンセル")=0,"",INDEX(案件一覧!$J$3:$J$62,MATCH(1,INDEX((案件一覧!$N$3:$N$62=D$3)*(案件一覧!$E$3:$E$62&lt;=$A21)*(案件一覧!$F$3:$F$62&gt;$A21)*(案件一覧!$C$3:$C$62&lt;&gt;"キャンセル"),0),0))&amp;IF(COUNTIFS(案件一覧!$N$3:$N$62,D$3,案件一覧!$E$3:$E$62,"&lt;="&amp;$A21,案件一覧!$F$3:$F$62,"&gt;"&amp;$A21,案件一覧!$C$3:$C$62,"&lt;&gt;キャンセル")&gt;1," ◆重複!",""))</f>
        <v/>
      </c>
      <c r="E21" s="21" t="str">
        <f aca="false">IF(COUNTIFS(案件一覧!$N$3:$N$62,E$3,案件一覧!$E$3:$E$62,"&lt;="&amp;$A21,案件一覧!$F$3:$F$62,"&gt;"&amp;$A21,案件一覧!$C$3:$C$62,"&lt;&gt;キャンセル")=0,"",INDEX(案件一覧!$J$3:$J$62,MATCH(1,INDEX((案件一覧!$N$3:$N$62=E$3)*(案件一覧!$E$3:$E$62&lt;=$A21)*(案件一覧!$F$3:$F$62&gt;$A21)*(案件一覧!$C$3:$C$62&lt;&gt;"キャンセル"),0),0))&amp;IF(COUNTIFS(案件一覧!$N$3:$N$62,E$3,案件一覧!$E$3:$E$62,"&lt;="&amp;$A21,案件一覧!$F$3:$F$62,"&gt;"&amp;$A21,案件一覧!$C$3:$C$62,"&lt;&gt;キャンセル")&gt;1," ◆重複!",""))</f>
        <v/>
      </c>
      <c r="F21" s="21" t="str">
        <f aca="false">IF(COUNTIFS(案件一覧!$N$3:$N$62,F$3,案件一覧!$E$3:$E$62,"&lt;="&amp;$A21,案件一覧!$F$3:$F$62,"&gt;"&amp;$A21,案件一覧!$C$3:$C$62,"&lt;&gt;キャンセル")=0,"",INDEX(案件一覧!$J$3:$J$62,MATCH(1,INDEX((案件一覧!$N$3:$N$62=F$3)*(案件一覧!$E$3:$E$62&lt;=$A21)*(案件一覧!$F$3:$F$62&gt;$A21)*(案件一覧!$C$3:$C$62&lt;&gt;"キャンセル"),0),0))&amp;IF(COUNTIFS(案件一覧!$N$3:$N$62,F$3,案件一覧!$E$3:$E$62,"&lt;="&amp;$A21,案件一覧!$F$3:$F$62,"&gt;"&amp;$A21,案件一覧!$C$3:$C$62,"&lt;&gt;キャンセル")&gt;1," ◆重複!",""))</f>
        <v/>
      </c>
      <c r="G21" s="21" t="str">
        <f aca="false">IF(COUNTIFS(案件一覧!$N$3:$N$62,G$3,案件一覧!$E$3:$E$62,"&lt;="&amp;$A21,案件一覧!$F$3:$F$62,"&gt;"&amp;$A21,案件一覧!$C$3:$C$62,"&lt;&gt;キャンセル")=0,"",INDEX(案件一覧!$J$3:$J$62,MATCH(1,INDEX((案件一覧!$N$3:$N$62=G$3)*(案件一覧!$E$3:$E$62&lt;=$A21)*(案件一覧!$F$3:$F$62&gt;$A21)*(案件一覧!$C$3:$C$62&lt;&gt;"キャンセル"),0),0))&amp;IF(COUNTIFS(案件一覧!$N$3:$N$62,G$3,案件一覧!$E$3:$E$62,"&lt;="&amp;$A21,案件一覧!$F$3:$F$62,"&gt;"&amp;$A21,案件一覧!$C$3:$C$62,"&lt;&gt;キャンセル")&gt;1," ◆重複!",""))</f>
        <v/>
      </c>
      <c r="H21" s="21" t="str">
        <f aca="false">IF(COUNTIFS(案件一覧!$N$3:$N$62,H$3,案件一覧!$E$3:$E$62,"&lt;="&amp;$A21,案件一覧!$F$3:$F$62,"&gt;"&amp;$A21,案件一覧!$C$3:$C$62,"&lt;&gt;キャンセル")=0,"",INDEX(案件一覧!$J$3:$J$62,MATCH(1,INDEX((案件一覧!$N$3:$N$62=H$3)*(案件一覧!$E$3:$E$62&lt;=$A21)*(案件一覧!$F$3:$F$62&gt;$A21)*(案件一覧!$C$3:$C$62&lt;&gt;"キャンセル"),0),0))&amp;IF(COUNTIFS(案件一覧!$N$3:$N$62,H$3,案件一覧!$E$3:$E$62,"&lt;="&amp;$A21,案件一覧!$F$3:$F$62,"&gt;"&amp;$A21,案件一覧!$C$3:$C$62,"&lt;&gt;キャンセル")&gt;1," ◆重複!",""))</f>
        <v/>
      </c>
    </row>
    <row r="22" customFormat="false" ht="15" hidden="false" customHeight="false" outlineLevel="0" collapsed="false">
      <c r="A22" s="22" t="n">
        <v>46222</v>
      </c>
      <c r="B22" s="23" t="s">
        <v>46</v>
      </c>
      <c r="C22" s="24" t="str">
        <f aca="false">IF(COUNTIFS(案件一覧!$N$3:$N$62,C$3,案件一覧!$E$3:$E$62,"&lt;="&amp;$A22,案件一覧!$F$3:$F$62,"&gt;"&amp;$A22,案件一覧!$C$3:$C$62,"&lt;&gt;キャンセル")=0,"",INDEX(案件一覧!$J$3:$J$62,MATCH(1,INDEX((案件一覧!$N$3:$N$62=C$3)*(案件一覧!$E$3:$E$62&lt;=$A22)*(案件一覧!$F$3:$F$62&gt;$A22)*(案件一覧!$C$3:$C$62&lt;&gt;"キャンセル"),0),0))&amp;IF(COUNTIFS(案件一覧!$N$3:$N$62,C$3,案件一覧!$E$3:$E$62,"&lt;="&amp;$A22,案件一覧!$F$3:$F$62,"&gt;"&amp;$A22,案件一覧!$C$3:$C$62,"&lt;&gt;キャンセル")&gt;1," ◆重複!",""))</f>
        <v/>
      </c>
      <c r="D22" s="24" t="str">
        <f aca="false">IF(COUNTIFS(案件一覧!$N$3:$N$62,D$3,案件一覧!$E$3:$E$62,"&lt;="&amp;$A22,案件一覧!$F$3:$F$62,"&gt;"&amp;$A22,案件一覧!$C$3:$C$62,"&lt;&gt;キャンセル")=0,"",INDEX(案件一覧!$J$3:$J$62,MATCH(1,INDEX((案件一覧!$N$3:$N$62=D$3)*(案件一覧!$E$3:$E$62&lt;=$A22)*(案件一覧!$F$3:$F$62&gt;$A22)*(案件一覧!$C$3:$C$62&lt;&gt;"キャンセル"),0),0))&amp;IF(COUNTIFS(案件一覧!$N$3:$N$62,D$3,案件一覧!$E$3:$E$62,"&lt;="&amp;$A22,案件一覧!$F$3:$F$62,"&gt;"&amp;$A22,案件一覧!$C$3:$C$62,"&lt;&gt;キャンセル")&gt;1," ◆重複!",""))</f>
        <v/>
      </c>
      <c r="E22" s="24" t="str">
        <f aca="false">IF(COUNTIFS(案件一覧!$N$3:$N$62,E$3,案件一覧!$E$3:$E$62,"&lt;="&amp;$A22,案件一覧!$F$3:$F$62,"&gt;"&amp;$A22,案件一覧!$C$3:$C$62,"&lt;&gt;キャンセル")=0,"",INDEX(案件一覧!$J$3:$J$62,MATCH(1,INDEX((案件一覧!$N$3:$N$62=E$3)*(案件一覧!$E$3:$E$62&lt;=$A22)*(案件一覧!$F$3:$F$62&gt;$A22)*(案件一覧!$C$3:$C$62&lt;&gt;"キャンセル"),0),0))&amp;IF(COUNTIFS(案件一覧!$N$3:$N$62,E$3,案件一覧!$E$3:$E$62,"&lt;="&amp;$A22,案件一覧!$F$3:$F$62,"&gt;"&amp;$A22,案件一覧!$C$3:$C$62,"&lt;&gt;キャンセル")&gt;1," ◆重複!",""))</f>
        <v/>
      </c>
      <c r="F22" s="24" t="str">
        <f aca="false">IF(COUNTIFS(案件一覧!$N$3:$N$62,F$3,案件一覧!$E$3:$E$62,"&lt;="&amp;$A22,案件一覧!$F$3:$F$62,"&gt;"&amp;$A22,案件一覧!$C$3:$C$62,"&lt;&gt;キャンセル")=0,"",INDEX(案件一覧!$J$3:$J$62,MATCH(1,INDEX((案件一覧!$N$3:$N$62=F$3)*(案件一覧!$E$3:$E$62&lt;=$A22)*(案件一覧!$F$3:$F$62&gt;$A22)*(案件一覧!$C$3:$C$62&lt;&gt;"キャンセル"),0),0))&amp;IF(COUNTIFS(案件一覧!$N$3:$N$62,F$3,案件一覧!$E$3:$E$62,"&lt;="&amp;$A22,案件一覧!$F$3:$F$62,"&gt;"&amp;$A22,案件一覧!$C$3:$C$62,"&lt;&gt;キャンセル")&gt;1," ◆重複!",""))</f>
        <v/>
      </c>
      <c r="G22" s="24" t="str">
        <f aca="false">IF(COUNTIFS(案件一覧!$N$3:$N$62,G$3,案件一覧!$E$3:$E$62,"&lt;="&amp;$A22,案件一覧!$F$3:$F$62,"&gt;"&amp;$A22,案件一覧!$C$3:$C$62,"&lt;&gt;キャンセル")=0,"",INDEX(案件一覧!$J$3:$J$62,MATCH(1,INDEX((案件一覧!$N$3:$N$62=G$3)*(案件一覧!$E$3:$E$62&lt;=$A22)*(案件一覧!$F$3:$F$62&gt;$A22)*(案件一覧!$C$3:$C$62&lt;&gt;"キャンセル"),0),0))&amp;IF(COUNTIFS(案件一覧!$N$3:$N$62,G$3,案件一覧!$E$3:$E$62,"&lt;="&amp;$A22,案件一覧!$F$3:$F$62,"&gt;"&amp;$A22,案件一覧!$C$3:$C$62,"&lt;&gt;キャンセル")&gt;1," ◆重複!",""))</f>
        <v/>
      </c>
      <c r="H22" s="24" t="str">
        <f aca="false">IF(COUNTIFS(案件一覧!$N$3:$N$62,H$3,案件一覧!$E$3:$E$62,"&lt;="&amp;$A22,案件一覧!$F$3:$F$62,"&gt;"&amp;$A22,案件一覧!$C$3:$C$62,"&lt;&gt;キャンセル")=0,"",INDEX(案件一覧!$J$3:$J$62,MATCH(1,INDEX((案件一覧!$N$3:$N$62=H$3)*(案件一覧!$E$3:$E$62&lt;=$A22)*(案件一覧!$F$3:$F$62&gt;$A22)*(案件一覧!$C$3:$C$62&lt;&gt;"キャンセル"),0),0))&amp;IF(COUNTIFS(案件一覧!$N$3:$N$62,H$3,案件一覧!$E$3:$E$62,"&lt;="&amp;$A22,案件一覧!$F$3:$F$62,"&gt;"&amp;$A22,案件一覧!$C$3:$C$62,"&lt;&gt;キャンセル")&gt;1," ◆重複!",""))</f>
        <v/>
      </c>
    </row>
    <row r="23" customFormat="false" ht="15" hidden="false" customHeight="false" outlineLevel="0" collapsed="false">
      <c r="A23" s="16" t="n">
        <v>46223</v>
      </c>
      <c r="B23" s="17" t="s">
        <v>47</v>
      </c>
      <c r="C23" s="18" t="str">
        <f aca="false">IF(COUNTIFS(案件一覧!$N$3:$N$62,C$3,案件一覧!$E$3:$E$62,"&lt;="&amp;$A23,案件一覧!$F$3:$F$62,"&gt;"&amp;$A23,案件一覧!$C$3:$C$62,"&lt;&gt;キャンセル")=0,"",INDEX(案件一覧!$J$3:$J$62,MATCH(1,INDEX((案件一覧!$N$3:$N$62=C$3)*(案件一覧!$E$3:$E$62&lt;=$A23)*(案件一覧!$F$3:$F$62&gt;$A23)*(案件一覧!$C$3:$C$62&lt;&gt;"キャンセル"),0),0))&amp;IF(COUNTIFS(案件一覧!$N$3:$N$62,C$3,案件一覧!$E$3:$E$62,"&lt;="&amp;$A23,案件一覧!$F$3:$F$62,"&gt;"&amp;$A23,案件一覧!$C$3:$C$62,"&lt;&gt;キャンセル")&gt;1," ◆重複!",""))</f>
        <v/>
      </c>
      <c r="D23" s="18" t="str">
        <f aca="false">IF(COUNTIFS(案件一覧!$N$3:$N$62,D$3,案件一覧!$E$3:$E$62,"&lt;="&amp;$A23,案件一覧!$F$3:$F$62,"&gt;"&amp;$A23,案件一覧!$C$3:$C$62,"&lt;&gt;キャンセル")=0,"",INDEX(案件一覧!$J$3:$J$62,MATCH(1,INDEX((案件一覧!$N$3:$N$62=D$3)*(案件一覧!$E$3:$E$62&lt;=$A23)*(案件一覧!$F$3:$F$62&gt;$A23)*(案件一覧!$C$3:$C$62&lt;&gt;"キャンセル"),0),0))&amp;IF(COUNTIFS(案件一覧!$N$3:$N$62,D$3,案件一覧!$E$3:$E$62,"&lt;="&amp;$A23,案件一覧!$F$3:$F$62,"&gt;"&amp;$A23,案件一覧!$C$3:$C$62,"&lt;&gt;キャンセル")&gt;1," ◆重複!",""))</f>
        <v/>
      </c>
      <c r="E23" s="18" t="str">
        <f aca="false">IF(COUNTIFS(案件一覧!$N$3:$N$62,E$3,案件一覧!$E$3:$E$62,"&lt;="&amp;$A23,案件一覧!$F$3:$F$62,"&gt;"&amp;$A23,案件一覧!$C$3:$C$62,"&lt;&gt;キャンセル")=0,"",INDEX(案件一覧!$J$3:$J$62,MATCH(1,INDEX((案件一覧!$N$3:$N$62=E$3)*(案件一覧!$E$3:$E$62&lt;=$A23)*(案件一覧!$F$3:$F$62&gt;$A23)*(案件一覧!$C$3:$C$62&lt;&gt;"キャンセル"),0),0))&amp;IF(COUNTIFS(案件一覧!$N$3:$N$62,E$3,案件一覧!$E$3:$E$62,"&lt;="&amp;$A23,案件一覧!$F$3:$F$62,"&gt;"&amp;$A23,案件一覧!$C$3:$C$62,"&lt;&gt;キャンセル")&gt;1," ◆重複!",""))</f>
        <v/>
      </c>
      <c r="F23" s="18" t="str">
        <f aca="false">IF(COUNTIFS(案件一覧!$N$3:$N$62,F$3,案件一覧!$E$3:$E$62,"&lt;="&amp;$A23,案件一覧!$F$3:$F$62,"&gt;"&amp;$A23,案件一覧!$C$3:$C$62,"&lt;&gt;キャンセル")=0,"",INDEX(案件一覧!$J$3:$J$62,MATCH(1,INDEX((案件一覧!$N$3:$N$62=F$3)*(案件一覧!$E$3:$E$62&lt;=$A23)*(案件一覧!$F$3:$F$62&gt;$A23)*(案件一覧!$C$3:$C$62&lt;&gt;"キャンセル"),0),0))&amp;IF(COUNTIFS(案件一覧!$N$3:$N$62,F$3,案件一覧!$E$3:$E$62,"&lt;="&amp;$A23,案件一覧!$F$3:$F$62,"&gt;"&amp;$A23,案件一覧!$C$3:$C$62,"&lt;&gt;キャンセル")&gt;1," ◆重複!",""))</f>
        <v/>
      </c>
      <c r="G23" s="18" t="str">
        <f aca="false">IF(COUNTIFS(案件一覧!$N$3:$N$62,G$3,案件一覧!$E$3:$E$62,"&lt;="&amp;$A23,案件一覧!$F$3:$F$62,"&gt;"&amp;$A23,案件一覧!$C$3:$C$62,"&lt;&gt;キャンセル")=0,"",INDEX(案件一覧!$J$3:$J$62,MATCH(1,INDEX((案件一覧!$N$3:$N$62=G$3)*(案件一覧!$E$3:$E$62&lt;=$A23)*(案件一覧!$F$3:$F$62&gt;$A23)*(案件一覧!$C$3:$C$62&lt;&gt;"キャンセル"),0),0))&amp;IF(COUNTIFS(案件一覧!$N$3:$N$62,G$3,案件一覧!$E$3:$E$62,"&lt;="&amp;$A23,案件一覧!$F$3:$F$62,"&gt;"&amp;$A23,案件一覧!$C$3:$C$62,"&lt;&gt;キャンセル")&gt;1," ◆重複!",""))</f>
        <v/>
      </c>
      <c r="H23" s="18" t="str">
        <f aca="false">IF(COUNTIFS(案件一覧!$N$3:$N$62,H$3,案件一覧!$E$3:$E$62,"&lt;="&amp;$A23,案件一覧!$F$3:$F$62,"&gt;"&amp;$A23,案件一覧!$C$3:$C$62,"&lt;&gt;キャンセル")=0,"",INDEX(案件一覧!$J$3:$J$62,MATCH(1,INDEX((案件一覧!$N$3:$N$62=H$3)*(案件一覧!$E$3:$E$62&lt;=$A23)*(案件一覧!$F$3:$F$62&gt;$A23)*(案件一覧!$C$3:$C$62&lt;&gt;"キャンセル"),0),0))&amp;IF(COUNTIFS(案件一覧!$N$3:$N$62,H$3,案件一覧!$E$3:$E$62,"&lt;="&amp;$A23,案件一覧!$F$3:$F$62,"&gt;"&amp;$A23,案件一覧!$C$3:$C$62,"&lt;&gt;キャンセル")&gt;1," ◆重複!",""))</f>
        <v/>
      </c>
    </row>
    <row r="24" customFormat="false" ht="15" hidden="false" customHeight="false" outlineLevel="0" collapsed="false">
      <c r="A24" s="16" t="n">
        <v>46224</v>
      </c>
      <c r="B24" s="17" t="s">
        <v>48</v>
      </c>
      <c r="C24" s="18" t="str">
        <f aca="false">IF(COUNTIFS(案件一覧!$N$3:$N$62,C$3,案件一覧!$E$3:$E$62,"&lt;="&amp;$A24,案件一覧!$F$3:$F$62,"&gt;"&amp;$A24,案件一覧!$C$3:$C$62,"&lt;&gt;キャンセル")=0,"",INDEX(案件一覧!$J$3:$J$62,MATCH(1,INDEX((案件一覧!$N$3:$N$62=C$3)*(案件一覧!$E$3:$E$62&lt;=$A24)*(案件一覧!$F$3:$F$62&gt;$A24)*(案件一覧!$C$3:$C$62&lt;&gt;"キャンセル"),0),0))&amp;IF(COUNTIFS(案件一覧!$N$3:$N$62,C$3,案件一覧!$E$3:$E$62,"&lt;="&amp;$A24,案件一覧!$F$3:$F$62,"&gt;"&amp;$A24,案件一覧!$C$3:$C$62,"&lt;&gt;キャンセル")&gt;1," ◆重複!",""))</f>
        <v/>
      </c>
      <c r="D24" s="18" t="str">
        <f aca="false">IF(COUNTIFS(案件一覧!$N$3:$N$62,D$3,案件一覧!$E$3:$E$62,"&lt;="&amp;$A24,案件一覧!$F$3:$F$62,"&gt;"&amp;$A24,案件一覧!$C$3:$C$62,"&lt;&gt;キャンセル")=0,"",INDEX(案件一覧!$J$3:$J$62,MATCH(1,INDEX((案件一覧!$N$3:$N$62=D$3)*(案件一覧!$E$3:$E$62&lt;=$A24)*(案件一覧!$F$3:$F$62&gt;$A24)*(案件一覧!$C$3:$C$62&lt;&gt;"キャンセル"),0),0))&amp;IF(COUNTIFS(案件一覧!$N$3:$N$62,D$3,案件一覧!$E$3:$E$62,"&lt;="&amp;$A24,案件一覧!$F$3:$F$62,"&gt;"&amp;$A24,案件一覧!$C$3:$C$62,"&lt;&gt;キャンセル")&gt;1," ◆重複!",""))</f>
        <v/>
      </c>
      <c r="E24" s="18" t="str">
        <f aca="false">IF(COUNTIFS(案件一覧!$N$3:$N$62,E$3,案件一覧!$E$3:$E$62,"&lt;="&amp;$A24,案件一覧!$F$3:$F$62,"&gt;"&amp;$A24,案件一覧!$C$3:$C$62,"&lt;&gt;キャンセル")=0,"",INDEX(案件一覧!$J$3:$J$62,MATCH(1,INDEX((案件一覧!$N$3:$N$62=E$3)*(案件一覧!$E$3:$E$62&lt;=$A24)*(案件一覧!$F$3:$F$62&gt;$A24)*(案件一覧!$C$3:$C$62&lt;&gt;"キャンセル"),0),0))&amp;IF(COUNTIFS(案件一覧!$N$3:$N$62,E$3,案件一覧!$E$3:$E$62,"&lt;="&amp;$A24,案件一覧!$F$3:$F$62,"&gt;"&amp;$A24,案件一覧!$C$3:$C$62,"&lt;&gt;キャンセル")&gt;1," ◆重複!",""))</f>
        <v/>
      </c>
      <c r="F24" s="18" t="str">
        <f aca="false">IF(COUNTIFS(案件一覧!$N$3:$N$62,F$3,案件一覧!$E$3:$E$62,"&lt;="&amp;$A24,案件一覧!$F$3:$F$62,"&gt;"&amp;$A24,案件一覧!$C$3:$C$62,"&lt;&gt;キャンセル")=0,"",INDEX(案件一覧!$J$3:$J$62,MATCH(1,INDEX((案件一覧!$N$3:$N$62=F$3)*(案件一覧!$E$3:$E$62&lt;=$A24)*(案件一覧!$F$3:$F$62&gt;$A24)*(案件一覧!$C$3:$C$62&lt;&gt;"キャンセル"),0),0))&amp;IF(COUNTIFS(案件一覧!$N$3:$N$62,F$3,案件一覧!$E$3:$E$62,"&lt;="&amp;$A24,案件一覧!$F$3:$F$62,"&gt;"&amp;$A24,案件一覧!$C$3:$C$62,"&lt;&gt;キャンセル")&gt;1," ◆重複!",""))</f>
        <v/>
      </c>
      <c r="G24" s="18" t="str">
        <f aca="false">IF(COUNTIFS(案件一覧!$N$3:$N$62,G$3,案件一覧!$E$3:$E$62,"&lt;="&amp;$A24,案件一覧!$F$3:$F$62,"&gt;"&amp;$A24,案件一覧!$C$3:$C$62,"&lt;&gt;キャンセル")=0,"",INDEX(案件一覧!$J$3:$J$62,MATCH(1,INDEX((案件一覧!$N$3:$N$62=G$3)*(案件一覧!$E$3:$E$62&lt;=$A24)*(案件一覧!$F$3:$F$62&gt;$A24)*(案件一覧!$C$3:$C$62&lt;&gt;"キャンセル"),0),0))&amp;IF(COUNTIFS(案件一覧!$N$3:$N$62,G$3,案件一覧!$E$3:$E$62,"&lt;="&amp;$A24,案件一覧!$F$3:$F$62,"&gt;"&amp;$A24,案件一覧!$C$3:$C$62,"&lt;&gt;キャンセル")&gt;1," ◆重複!",""))</f>
        <v/>
      </c>
      <c r="H24" s="18" t="str">
        <f aca="false">IF(COUNTIFS(案件一覧!$N$3:$N$62,H$3,案件一覧!$E$3:$E$62,"&lt;="&amp;$A24,案件一覧!$F$3:$F$62,"&gt;"&amp;$A24,案件一覧!$C$3:$C$62,"&lt;&gt;キャンセル")=0,"",INDEX(案件一覧!$J$3:$J$62,MATCH(1,INDEX((案件一覧!$N$3:$N$62=H$3)*(案件一覧!$E$3:$E$62&lt;=$A24)*(案件一覧!$F$3:$F$62&gt;$A24)*(案件一覧!$C$3:$C$62&lt;&gt;"キャンセル"),0),0))&amp;IF(COUNTIFS(案件一覧!$N$3:$N$62,H$3,案件一覧!$E$3:$E$62,"&lt;="&amp;$A24,案件一覧!$F$3:$F$62,"&gt;"&amp;$A24,案件一覧!$C$3:$C$62,"&lt;&gt;キャンセル")&gt;1," ◆重複!",""))</f>
        <v/>
      </c>
    </row>
    <row r="25" customFormat="false" ht="15" hidden="false" customHeight="false" outlineLevel="0" collapsed="false">
      <c r="A25" s="16" t="n">
        <v>46225</v>
      </c>
      <c r="B25" s="17" t="s">
        <v>42</v>
      </c>
      <c r="C25" s="18" t="str">
        <f aca="false">IF(COUNTIFS(案件一覧!$N$3:$N$62,C$3,案件一覧!$E$3:$E$62,"&lt;="&amp;$A25,案件一覧!$F$3:$F$62,"&gt;"&amp;$A25,案件一覧!$C$3:$C$62,"&lt;&gt;キャンセル")=0,"",INDEX(案件一覧!$J$3:$J$62,MATCH(1,INDEX((案件一覧!$N$3:$N$62=C$3)*(案件一覧!$E$3:$E$62&lt;=$A25)*(案件一覧!$F$3:$F$62&gt;$A25)*(案件一覧!$C$3:$C$62&lt;&gt;"キャンセル"),0),0))&amp;IF(COUNTIFS(案件一覧!$N$3:$N$62,C$3,案件一覧!$E$3:$E$62,"&lt;="&amp;$A25,案件一覧!$F$3:$F$62,"&gt;"&amp;$A25,案件一覧!$C$3:$C$62,"&lt;&gt;キャンセル")&gt;1," ◆重複!",""))</f>
        <v/>
      </c>
      <c r="D25" s="18" t="str">
        <f aca="false">IF(COUNTIFS(案件一覧!$N$3:$N$62,D$3,案件一覧!$E$3:$E$62,"&lt;="&amp;$A25,案件一覧!$F$3:$F$62,"&gt;"&amp;$A25,案件一覧!$C$3:$C$62,"&lt;&gt;キャンセル")=0,"",INDEX(案件一覧!$J$3:$J$62,MATCH(1,INDEX((案件一覧!$N$3:$N$62=D$3)*(案件一覧!$E$3:$E$62&lt;=$A25)*(案件一覧!$F$3:$F$62&gt;$A25)*(案件一覧!$C$3:$C$62&lt;&gt;"キャンセル"),0),0))&amp;IF(COUNTIFS(案件一覧!$N$3:$N$62,D$3,案件一覧!$E$3:$E$62,"&lt;="&amp;$A25,案件一覧!$F$3:$F$62,"&gt;"&amp;$A25,案件一覧!$C$3:$C$62,"&lt;&gt;キャンセル")&gt;1," ◆重複!",""))</f>
        <v/>
      </c>
      <c r="E25" s="18" t="str">
        <f aca="false">IF(COUNTIFS(案件一覧!$N$3:$N$62,E$3,案件一覧!$E$3:$E$62,"&lt;="&amp;$A25,案件一覧!$F$3:$F$62,"&gt;"&amp;$A25,案件一覧!$C$3:$C$62,"&lt;&gt;キャンセル")=0,"",INDEX(案件一覧!$J$3:$J$62,MATCH(1,INDEX((案件一覧!$N$3:$N$62=E$3)*(案件一覧!$E$3:$E$62&lt;=$A25)*(案件一覧!$F$3:$F$62&gt;$A25)*(案件一覧!$C$3:$C$62&lt;&gt;"キャンセル"),0),0))&amp;IF(COUNTIFS(案件一覧!$N$3:$N$62,E$3,案件一覧!$E$3:$E$62,"&lt;="&amp;$A25,案件一覧!$F$3:$F$62,"&gt;"&amp;$A25,案件一覧!$C$3:$C$62,"&lt;&gt;キャンセル")&gt;1," ◆重複!",""))</f>
        <v/>
      </c>
      <c r="F25" s="18" t="str">
        <f aca="false">IF(COUNTIFS(案件一覧!$N$3:$N$62,F$3,案件一覧!$E$3:$E$62,"&lt;="&amp;$A25,案件一覧!$F$3:$F$62,"&gt;"&amp;$A25,案件一覧!$C$3:$C$62,"&lt;&gt;キャンセル")=0,"",INDEX(案件一覧!$J$3:$J$62,MATCH(1,INDEX((案件一覧!$N$3:$N$62=F$3)*(案件一覧!$E$3:$E$62&lt;=$A25)*(案件一覧!$F$3:$F$62&gt;$A25)*(案件一覧!$C$3:$C$62&lt;&gt;"キャンセル"),0),0))&amp;IF(COUNTIFS(案件一覧!$N$3:$N$62,F$3,案件一覧!$E$3:$E$62,"&lt;="&amp;$A25,案件一覧!$F$3:$F$62,"&gt;"&amp;$A25,案件一覧!$C$3:$C$62,"&lt;&gt;キャンセル")&gt;1," ◆重複!",""))</f>
        <v/>
      </c>
      <c r="G25" s="18" t="str">
        <f aca="false">IF(COUNTIFS(案件一覧!$N$3:$N$62,G$3,案件一覧!$E$3:$E$62,"&lt;="&amp;$A25,案件一覧!$F$3:$F$62,"&gt;"&amp;$A25,案件一覧!$C$3:$C$62,"&lt;&gt;キャンセル")=0,"",INDEX(案件一覧!$J$3:$J$62,MATCH(1,INDEX((案件一覧!$N$3:$N$62=G$3)*(案件一覧!$E$3:$E$62&lt;=$A25)*(案件一覧!$F$3:$F$62&gt;$A25)*(案件一覧!$C$3:$C$62&lt;&gt;"キャンセル"),0),0))&amp;IF(COUNTIFS(案件一覧!$N$3:$N$62,G$3,案件一覧!$E$3:$E$62,"&lt;="&amp;$A25,案件一覧!$F$3:$F$62,"&gt;"&amp;$A25,案件一覧!$C$3:$C$62,"&lt;&gt;キャンセル")&gt;1," ◆重複!",""))</f>
        <v/>
      </c>
      <c r="H25" s="18" t="str">
        <f aca="false">IF(COUNTIFS(案件一覧!$N$3:$N$62,H$3,案件一覧!$E$3:$E$62,"&lt;="&amp;$A25,案件一覧!$F$3:$F$62,"&gt;"&amp;$A25,案件一覧!$C$3:$C$62,"&lt;&gt;キャンセル")=0,"",INDEX(案件一覧!$J$3:$J$62,MATCH(1,INDEX((案件一覧!$N$3:$N$62=H$3)*(案件一覧!$E$3:$E$62&lt;=$A25)*(案件一覧!$F$3:$F$62&gt;$A25)*(案件一覧!$C$3:$C$62&lt;&gt;"キャンセル"),0),0))&amp;IF(COUNTIFS(案件一覧!$N$3:$N$62,H$3,案件一覧!$E$3:$E$62,"&lt;="&amp;$A25,案件一覧!$F$3:$F$62,"&gt;"&amp;$A25,案件一覧!$C$3:$C$62,"&lt;&gt;キャンセル")&gt;1," ◆重複!",""))</f>
        <v/>
      </c>
    </row>
    <row r="26" customFormat="false" ht="15" hidden="false" customHeight="false" outlineLevel="0" collapsed="false">
      <c r="A26" s="16" t="n">
        <v>46226</v>
      </c>
      <c r="B26" s="17" t="s">
        <v>43</v>
      </c>
      <c r="C26" s="18" t="str">
        <f aca="false">IF(COUNTIFS(案件一覧!$N$3:$N$62,C$3,案件一覧!$E$3:$E$62,"&lt;="&amp;$A26,案件一覧!$F$3:$F$62,"&gt;"&amp;$A26,案件一覧!$C$3:$C$62,"&lt;&gt;キャンセル")=0,"",INDEX(案件一覧!$J$3:$J$62,MATCH(1,INDEX((案件一覧!$N$3:$N$62=C$3)*(案件一覧!$E$3:$E$62&lt;=$A26)*(案件一覧!$F$3:$F$62&gt;$A26)*(案件一覧!$C$3:$C$62&lt;&gt;"キャンセル"),0),0))&amp;IF(COUNTIFS(案件一覧!$N$3:$N$62,C$3,案件一覧!$E$3:$E$62,"&lt;="&amp;$A26,案件一覧!$F$3:$F$62,"&gt;"&amp;$A26,案件一覧!$C$3:$C$62,"&lt;&gt;キャンセル")&gt;1," ◆重複!",""))</f>
        <v/>
      </c>
      <c r="D26" s="18" t="str">
        <f aca="false">IF(COUNTIFS(案件一覧!$N$3:$N$62,D$3,案件一覧!$E$3:$E$62,"&lt;="&amp;$A26,案件一覧!$F$3:$F$62,"&gt;"&amp;$A26,案件一覧!$C$3:$C$62,"&lt;&gt;キャンセル")=0,"",INDEX(案件一覧!$J$3:$J$62,MATCH(1,INDEX((案件一覧!$N$3:$N$62=D$3)*(案件一覧!$E$3:$E$62&lt;=$A26)*(案件一覧!$F$3:$F$62&gt;$A26)*(案件一覧!$C$3:$C$62&lt;&gt;"キャンセル"),0),0))&amp;IF(COUNTIFS(案件一覧!$N$3:$N$62,D$3,案件一覧!$E$3:$E$62,"&lt;="&amp;$A26,案件一覧!$F$3:$F$62,"&gt;"&amp;$A26,案件一覧!$C$3:$C$62,"&lt;&gt;キャンセル")&gt;1," ◆重複!",""))</f>
        <v/>
      </c>
      <c r="E26" s="18" t="str">
        <f aca="false">IF(COUNTIFS(案件一覧!$N$3:$N$62,E$3,案件一覧!$E$3:$E$62,"&lt;="&amp;$A26,案件一覧!$F$3:$F$62,"&gt;"&amp;$A26,案件一覧!$C$3:$C$62,"&lt;&gt;キャンセル")=0,"",INDEX(案件一覧!$J$3:$J$62,MATCH(1,INDEX((案件一覧!$N$3:$N$62=E$3)*(案件一覧!$E$3:$E$62&lt;=$A26)*(案件一覧!$F$3:$F$62&gt;$A26)*(案件一覧!$C$3:$C$62&lt;&gt;"キャンセル"),0),0))&amp;IF(COUNTIFS(案件一覧!$N$3:$N$62,E$3,案件一覧!$E$3:$E$62,"&lt;="&amp;$A26,案件一覧!$F$3:$F$62,"&gt;"&amp;$A26,案件一覧!$C$3:$C$62,"&lt;&gt;キャンセル")&gt;1," ◆重複!",""))</f>
        <v/>
      </c>
      <c r="F26" s="18" t="str">
        <f aca="false">IF(COUNTIFS(案件一覧!$N$3:$N$62,F$3,案件一覧!$E$3:$E$62,"&lt;="&amp;$A26,案件一覧!$F$3:$F$62,"&gt;"&amp;$A26,案件一覧!$C$3:$C$62,"&lt;&gt;キャンセル")=0,"",INDEX(案件一覧!$J$3:$J$62,MATCH(1,INDEX((案件一覧!$N$3:$N$62=F$3)*(案件一覧!$E$3:$E$62&lt;=$A26)*(案件一覧!$F$3:$F$62&gt;$A26)*(案件一覧!$C$3:$C$62&lt;&gt;"キャンセル"),0),0))&amp;IF(COUNTIFS(案件一覧!$N$3:$N$62,F$3,案件一覧!$E$3:$E$62,"&lt;="&amp;$A26,案件一覧!$F$3:$F$62,"&gt;"&amp;$A26,案件一覧!$C$3:$C$62,"&lt;&gt;キャンセル")&gt;1," ◆重複!",""))</f>
        <v/>
      </c>
      <c r="G26" s="18" t="str">
        <f aca="false">IF(COUNTIFS(案件一覧!$N$3:$N$62,G$3,案件一覧!$E$3:$E$62,"&lt;="&amp;$A26,案件一覧!$F$3:$F$62,"&gt;"&amp;$A26,案件一覧!$C$3:$C$62,"&lt;&gt;キャンセル")=0,"",INDEX(案件一覧!$J$3:$J$62,MATCH(1,INDEX((案件一覧!$N$3:$N$62=G$3)*(案件一覧!$E$3:$E$62&lt;=$A26)*(案件一覧!$F$3:$F$62&gt;$A26)*(案件一覧!$C$3:$C$62&lt;&gt;"キャンセル"),0),0))&amp;IF(COUNTIFS(案件一覧!$N$3:$N$62,G$3,案件一覧!$E$3:$E$62,"&lt;="&amp;$A26,案件一覧!$F$3:$F$62,"&gt;"&amp;$A26,案件一覧!$C$3:$C$62,"&lt;&gt;キャンセル")&gt;1," ◆重複!",""))</f>
        <v/>
      </c>
      <c r="H26" s="18" t="str">
        <f aca="false">IF(COUNTIFS(案件一覧!$N$3:$N$62,H$3,案件一覧!$E$3:$E$62,"&lt;="&amp;$A26,案件一覧!$F$3:$F$62,"&gt;"&amp;$A26,案件一覧!$C$3:$C$62,"&lt;&gt;キャンセル")=0,"",INDEX(案件一覧!$J$3:$J$62,MATCH(1,INDEX((案件一覧!$N$3:$N$62=H$3)*(案件一覧!$E$3:$E$62&lt;=$A26)*(案件一覧!$F$3:$F$62&gt;$A26)*(案件一覧!$C$3:$C$62&lt;&gt;"キャンセル"),0),0))&amp;IF(COUNTIFS(案件一覧!$N$3:$N$62,H$3,案件一覧!$E$3:$E$62,"&lt;="&amp;$A26,案件一覧!$F$3:$F$62,"&gt;"&amp;$A26,案件一覧!$C$3:$C$62,"&lt;&gt;キャンセル")&gt;1," ◆重複!",""))</f>
        <v/>
      </c>
    </row>
    <row r="27" customFormat="false" ht="15" hidden="false" customHeight="false" outlineLevel="0" collapsed="false">
      <c r="A27" s="16" t="n">
        <v>46227</v>
      </c>
      <c r="B27" s="17" t="s">
        <v>44</v>
      </c>
      <c r="C27" s="18" t="str">
        <f aca="false">IF(COUNTIFS(案件一覧!$N$3:$N$62,C$3,案件一覧!$E$3:$E$62,"&lt;="&amp;$A27,案件一覧!$F$3:$F$62,"&gt;"&amp;$A27,案件一覧!$C$3:$C$62,"&lt;&gt;キャンセル")=0,"",INDEX(案件一覧!$J$3:$J$62,MATCH(1,INDEX((案件一覧!$N$3:$N$62=C$3)*(案件一覧!$E$3:$E$62&lt;=$A27)*(案件一覧!$F$3:$F$62&gt;$A27)*(案件一覧!$C$3:$C$62&lt;&gt;"キャンセル"),0),0))&amp;IF(COUNTIFS(案件一覧!$N$3:$N$62,C$3,案件一覧!$E$3:$E$62,"&lt;="&amp;$A27,案件一覧!$F$3:$F$62,"&gt;"&amp;$A27,案件一覧!$C$3:$C$62,"&lt;&gt;キャンセル")&gt;1," ◆重複!",""))</f>
        <v/>
      </c>
      <c r="D27" s="18" t="str">
        <f aca="false">IF(COUNTIFS(案件一覧!$N$3:$N$62,D$3,案件一覧!$E$3:$E$62,"&lt;="&amp;$A27,案件一覧!$F$3:$F$62,"&gt;"&amp;$A27,案件一覧!$C$3:$C$62,"&lt;&gt;キャンセル")=0,"",INDEX(案件一覧!$J$3:$J$62,MATCH(1,INDEX((案件一覧!$N$3:$N$62=D$3)*(案件一覧!$E$3:$E$62&lt;=$A27)*(案件一覧!$F$3:$F$62&gt;$A27)*(案件一覧!$C$3:$C$62&lt;&gt;"キャンセル"),0),0))&amp;IF(COUNTIFS(案件一覧!$N$3:$N$62,D$3,案件一覧!$E$3:$E$62,"&lt;="&amp;$A27,案件一覧!$F$3:$F$62,"&gt;"&amp;$A27,案件一覧!$C$3:$C$62,"&lt;&gt;キャンセル")&gt;1," ◆重複!",""))</f>
        <v/>
      </c>
      <c r="E27" s="18" t="str">
        <f aca="false">IF(COUNTIFS(案件一覧!$N$3:$N$62,E$3,案件一覧!$E$3:$E$62,"&lt;="&amp;$A27,案件一覧!$F$3:$F$62,"&gt;"&amp;$A27,案件一覧!$C$3:$C$62,"&lt;&gt;キャンセル")=0,"",INDEX(案件一覧!$J$3:$J$62,MATCH(1,INDEX((案件一覧!$N$3:$N$62=E$3)*(案件一覧!$E$3:$E$62&lt;=$A27)*(案件一覧!$F$3:$F$62&gt;$A27)*(案件一覧!$C$3:$C$62&lt;&gt;"キャンセル"),0),0))&amp;IF(COUNTIFS(案件一覧!$N$3:$N$62,E$3,案件一覧!$E$3:$E$62,"&lt;="&amp;$A27,案件一覧!$F$3:$F$62,"&gt;"&amp;$A27,案件一覧!$C$3:$C$62,"&lt;&gt;キャンセル")&gt;1," ◆重複!",""))</f>
        <v/>
      </c>
      <c r="F27" s="18" t="str">
        <f aca="false">IF(COUNTIFS(案件一覧!$N$3:$N$62,F$3,案件一覧!$E$3:$E$62,"&lt;="&amp;$A27,案件一覧!$F$3:$F$62,"&gt;"&amp;$A27,案件一覧!$C$3:$C$62,"&lt;&gt;キャンセル")=0,"",INDEX(案件一覧!$J$3:$J$62,MATCH(1,INDEX((案件一覧!$N$3:$N$62=F$3)*(案件一覧!$E$3:$E$62&lt;=$A27)*(案件一覧!$F$3:$F$62&gt;$A27)*(案件一覧!$C$3:$C$62&lt;&gt;"キャンセル"),0),0))&amp;IF(COUNTIFS(案件一覧!$N$3:$N$62,F$3,案件一覧!$E$3:$E$62,"&lt;="&amp;$A27,案件一覧!$F$3:$F$62,"&gt;"&amp;$A27,案件一覧!$C$3:$C$62,"&lt;&gt;キャンセル")&gt;1," ◆重複!",""))</f>
        <v/>
      </c>
      <c r="G27" s="18" t="str">
        <f aca="false">IF(COUNTIFS(案件一覧!$N$3:$N$62,G$3,案件一覧!$E$3:$E$62,"&lt;="&amp;$A27,案件一覧!$F$3:$F$62,"&gt;"&amp;$A27,案件一覧!$C$3:$C$62,"&lt;&gt;キャンセル")=0,"",INDEX(案件一覧!$J$3:$J$62,MATCH(1,INDEX((案件一覧!$N$3:$N$62=G$3)*(案件一覧!$E$3:$E$62&lt;=$A27)*(案件一覧!$F$3:$F$62&gt;$A27)*(案件一覧!$C$3:$C$62&lt;&gt;"キャンセル"),0),0))&amp;IF(COUNTIFS(案件一覧!$N$3:$N$62,G$3,案件一覧!$E$3:$E$62,"&lt;="&amp;$A27,案件一覧!$F$3:$F$62,"&gt;"&amp;$A27,案件一覧!$C$3:$C$62,"&lt;&gt;キャンセル")&gt;1," ◆重複!",""))</f>
        <v/>
      </c>
      <c r="H27" s="18" t="str">
        <f aca="false">IF(COUNTIFS(案件一覧!$N$3:$N$62,H$3,案件一覧!$E$3:$E$62,"&lt;="&amp;$A27,案件一覧!$F$3:$F$62,"&gt;"&amp;$A27,案件一覧!$C$3:$C$62,"&lt;&gt;キャンセル")=0,"",INDEX(案件一覧!$J$3:$J$62,MATCH(1,INDEX((案件一覧!$N$3:$N$62=H$3)*(案件一覧!$E$3:$E$62&lt;=$A27)*(案件一覧!$F$3:$F$62&gt;$A27)*(案件一覧!$C$3:$C$62&lt;&gt;"キャンセル"),0),0))&amp;IF(COUNTIFS(案件一覧!$N$3:$N$62,H$3,案件一覧!$E$3:$E$62,"&lt;="&amp;$A27,案件一覧!$F$3:$F$62,"&gt;"&amp;$A27,案件一覧!$C$3:$C$62,"&lt;&gt;キャンセル")&gt;1," ◆重複!",""))</f>
        <v/>
      </c>
    </row>
    <row r="28" customFormat="false" ht="15" hidden="false" customHeight="false" outlineLevel="0" collapsed="false">
      <c r="A28" s="19" t="n">
        <v>46228</v>
      </c>
      <c r="B28" s="20" t="s">
        <v>45</v>
      </c>
      <c r="C28" s="21" t="str">
        <f aca="false">IF(COUNTIFS(案件一覧!$N$3:$N$62,C$3,案件一覧!$E$3:$E$62,"&lt;="&amp;$A28,案件一覧!$F$3:$F$62,"&gt;"&amp;$A28,案件一覧!$C$3:$C$62,"&lt;&gt;キャンセル")=0,"",INDEX(案件一覧!$J$3:$J$62,MATCH(1,INDEX((案件一覧!$N$3:$N$62=C$3)*(案件一覧!$E$3:$E$62&lt;=$A28)*(案件一覧!$F$3:$F$62&gt;$A28)*(案件一覧!$C$3:$C$62&lt;&gt;"キャンセル"),0),0))&amp;IF(COUNTIFS(案件一覧!$N$3:$N$62,C$3,案件一覧!$E$3:$E$62,"&lt;="&amp;$A28,案件一覧!$F$3:$F$62,"&gt;"&amp;$A28,案件一覧!$C$3:$C$62,"&lt;&gt;キャンセル")&gt;1," ◆重複!",""))</f>
        <v/>
      </c>
      <c r="D28" s="21" t="str">
        <f aca="false">IF(COUNTIFS(案件一覧!$N$3:$N$62,D$3,案件一覧!$E$3:$E$62,"&lt;="&amp;$A28,案件一覧!$F$3:$F$62,"&gt;"&amp;$A28,案件一覧!$C$3:$C$62,"&lt;&gt;キャンセル")=0,"",INDEX(案件一覧!$J$3:$J$62,MATCH(1,INDEX((案件一覧!$N$3:$N$62=D$3)*(案件一覧!$E$3:$E$62&lt;=$A28)*(案件一覧!$F$3:$F$62&gt;$A28)*(案件一覧!$C$3:$C$62&lt;&gt;"キャンセル"),0),0))&amp;IF(COUNTIFS(案件一覧!$N$3:$N$62,D$3,案件一覧!$E$3:$E$62,"&lt;="&amp;$A28,案件一覧!$F$3:$F$62,"&gt;"&amp;$A28,案件一覧!$C$3:$C$62,"&lt;&gt;キャンセル")&gt;1," ◆重複!",""))</f>
        <v/>
      </c>
      <c r="E28" s="21" t="str">
        <f aca="false">IF(COUNTIFS(案件一覧!$N$3:$N$62,E$3,案件一覧!$E$3:$E$62,"&lt;="&amp;$A28,案件一覧!$F$3:$F$62,"&gt;"&amp;$A28,案件一覧!$C$3:$C$62,"&lt;&gt;キャンセル")=0,"",INDEX(案件一覧!$J$3:$J$62,MATCH(1,INDEX((案件一覧!$N$3:$N$62=E$3)*(案件一覧!$E$3:$E$62&lt;=$A28)*(案件一覧!$F$3:$F$62&gt;$A28)*(案件一覧!$C$3:$C$62&lt;&gt;"キャンセル"),0),0))&amp;IF(COUNTIFS(案件一覧!$N$3:$N$62,E$3,案件一覧!$E$3:$E$62,"&lt;="&amp;$A28,案件一覧!$F$3:$F$62,"&gt;"&amp;$A28,案件一覧!$C$3:$C$62,"&lt;&gt;キャンセル")&gt;1," ◆重複!",""))</f>
        <v/>
      </c>
      <c r="F28" s="21" t="str">
        <f aca="false">IF(COUNTIFS(案件一覧!$N$3:$N$62,F$3,案件一覧!$E$3:$E$62,"&lt;="&amp;$A28,案件一覧!$F$3:$F$62,"&gt;"&amp;$A28,案件一覧!$C$3:$C$62,"&lt;&gt;キャンセル")=0,"",INDEX(案件一覧!$J$3:$J$62,MATCH(1,INDEX((案件一覧!$N$3:$N$62=F$3)*(案件一覧!$E$3:$E$62&lt;=$A28)*(案件一覧!$F$3:$F$62&gt;$A28)*(案件一覧!$C$3:$C$62&lt;&gt;"キャンセル"),0),0))&amp;IF(COUNTIFS(案件一覧!$N$3:$N$62,F$3,案件一覧!$E$3:$E$62,"&lt;="&amp;$A28,案件一覧!$F$3:$F$62,"&gt;"&amp;$A28,案件一覧!$C$3:$C$62,"&lt;&gt;キャンセル")&gt;1," ◆重複!",""))</f>
        <v/>
      </c>
      <c r="G28" s="21" t="str">
        <f aca="false">IF(COUNTIFS(案件一覧!$N$3:$N$62,G$3,案件一覧!$E$3:$E$62,"&lt;="&amp;$A28,案件一覧!$F$3:$F$62,"&gt;"&amp;$A28,案件一覧!$C$3:$C$62,"&lt;&gt;キャンセル")=0,"",INDEX(案件一覧!$J$3:$J$62,MATCH(1,INDEX((案件一覧!$N$3:$N$62=G$3)*(案件一覧!$E$3:$E$62&lt;=$A28)*(案件一覧!$F$3:$F$62&gt;$A28)*(案件一覧!$C$3:$C$62&lt;&gt;"キャンセル"),0),0))&amp;IF(COUNTIFS(案件一覧!$N$3:$N$62,G$3,案件一覧!$E$3:$E$62,"&lt;="&amp;$A28,案件一覧!$F$3:$F$62,"&gt;"&amp;$A28,案件一覧!$C$3:$C$62,"&lt;&gt;キャンセル")&gt;1," ◆重複!",""))</f>
        <v/>
      </c>
      <c r="H28" s="21" t="str">
        <f aca="false">IF(COUNTIFS(案件一覧!$N$3:$N$62,H$3,案件一覧!$E$3:$E$62,"&lt;="&amp;$A28,案件一覧!$F$3:$F$62,"&gt;"&amp;$A28,案件一覧!$C$3:$C$62,"&lt;&gt;キャンセル")=0,"",INDEX(案件一覧!$J$3:$J$62,MATCH(1,INDEX((案件一覧!$N$3:$N$62=H$3)*(案件一覧!$E$3:$E$62&lt;=$A28)*(案件一覧!$F$3:$F$62&gt;$A28)*(案件一覧!$C$3:$C$62&lt;&gt;"キャンセル"),0),0))&amp;IF(COUNTIFS(案件一覧!$N$3:$N$62,H$3,案件一覧!$E$3:$E$62,"&lt;="&amp;$A28,案件一覧!$F$3:$F$62,"&gt;"&amp;$A28,案件一覧!$C$3:$C$62,"&lt;&gt;キャンセル")&gt;1," ◆重複!",""))</f>
        <v/>
      </c>
    </row>
    <row r="29" customFormat="false" ht="15" hidden="false" customHeight="false" outlineLevel="0" collapsed="false">
      <c r="A29" s="22" t="n">
        <v>46229</v>
      </c>
      <c r="B29" s="23" t="s">
        <v>46</v>
      </c>
      <c r="C29" s="24" t="str">
        <f aca="false">IF(COUNTIFS(案件一覧!$N$3:$N$62,C$3,案件一覧!$E$3:$E$62,"&lt;="&amp;$A29,案件一覧!$F$3:$F$62,"&gt;"&amp;$A29,案件一覧!$C$3:$C$62,"&lt;&gt;キャンセル")=0,"",INDEX(案件一覧!$J$3:$J$62,MATCH(1,INDEX((案件一覧!$N$3:$N$62=C$3)*(案件一覧!$E$3:$E$62&lt;=$A29)*(案件一覧!$F$3:$F$62&gt;$A29)*(案件一覧!$C$3:$C$62&lt;&gt;"キャンセル"),0),0))&amp;IF(COUNTIFS(案件一覧!$N$3:$N$62,C$3,案件一覧!$E$3:$E$62,"&lt;="&amp;$A29,案件一覧!$F$3:$F$62,"&gt;"&amp;$A29,案件一覧!$C$3:$C$62,"&lt;&gt;キャンセル")&gt;1," ◆重複!",""))</f>
        <v/>
      </c>
      <c r="D29" s="24" t="str">
        <f aca="false">IF(COUNTIFS(案件一覧!$N$3:$N$62,D$3,案件一覧!$E$3:$E$62,"&lt;="&amp;$A29,案件一覧!$F$3:$F$62,"&gt;"&amp;$A29,案件一覧!$C$3:$C$62,"&lt;&gt;キャンセル")=0,"",INDEX(案件一覧!$J$3:$J$62,MATCH(1,INDEX((案件一覧!$N$3:$N$62=D$3)*(案件一覧!$E$3:$E$62&lt;=$A29)*(案件一覧!$F$3:$F$62&gt;$A29)*(案件一覧!$C$3:$C$62&lt;&gt;"キャンセル"),0),0))&amp;IF(COUNTIFS(案件一覧!$N$3:$N$62,D$3,案件一覧!$E$3:$E$62,"&lt;="&amp;$A29,案件一覧!$F$3:$F$62,"&gt;"&amp;$A29,案件一覧!$C$3:$C$62,"&lt;&gt;キャンセル")&gt;1," ◆重複!",""))</f>
        <v/>
      </c>
      <c r="E29" s="24" t="str">
        <f aca="false">IF(COUNTIFS(案件一覧!$N$3:$N$62,E$3,案件一覧!$E$3:$E$62,"&lt;="&amp;$A29,案件一覧!$F$3:$F$62,"&gt;"&amp;$A29,案件一覧!$C$3:$C$62,"&lt;&gt;キャンセル")=0,"",INDEX(案件一覧!$J$3:$J$62,MATCH(1,INDEX((案件一覧!$N$3:$N$62=E$3)*(案件一覧!$E$3:$E$62&lt;=$A29)*(案件一覧!$F$3:$F$62&gt;$A29)*(案件一覧!$C$3:$C$62&lt;&gt;"キャンセル"),0),0))&amp;IF(COUNTIFS(案件一覧!$N$3:$N$62,E$3,案件一覧!$E$3:$E$62,"&lt;="&amp;$A29,案件一覧!$F$3:$F$62,"&gt;"&amp;$A29,案件一覧!$C$3:$C$62,"&lt;&gt;キャンセル")&gt;1," ◆重複!",""))</f>
        <v/>
      </c>
      <c r="F29" s="24" t="str">
        <f aca="false">IF(COUNTIFS(案件一覧!$N$3:$N$62,F$3,案件一覧!$E$3:$E$62,"&lt;="&amp;$A29,案件一覧!$F$3:$F$62,"&gt;"&amp;$A29,案件一覧!$C$3:$C$62,"&lt;&gt;キャンセル")=0,"",INDEX(案件一覧!$J$3:$J$62,MATCH(1,INDEX((案件一覧!$N$3:$N$62=F$3)*(案件一覧!$E$3:$E$62&lt;=$A29)*(案件一覧!$F$3:$F$62&gt;$A29)*(案件一覧!$C$3:$C$62&lt;&gt;"キャンセル"),0),0))&amp;IF(COUNTIFS(案件一覧!$N$3:$N$62,F$3,案件一覧!$E$3:$E$62,"&lt;="&amp;$A29,案件一覧!$F$3:$F$62,"&gt;"&amp;$A29,案件一覧!$C$3:$C$62,"&lt;&gt;キャンセル")&gt;1," ◆重複!",""))</f>
        <v/>
      </c>
      <c r="G29" s="24" t="str">
        <f aca="false">IF(COUNTIFS(案件一覧!$N$3:$N$62,G$3,案件一覧!$E$3:$E$62,"&lt;="&amp;$A29,案件一覧!$F$3:$F$62,"&gt;"&amp;$A29,案件一覧!$C$3:$C$62,"&lt;&gt;キャンセル")=0,"",INDEX(案件一覧!$J$3:$J$62,MATCH(1,INDEX((案件一覧!$N$3:$N$62=G$3)*(案件一覧!$E$3:$E$62&lt;=$A29)*(案件一覧!$F$3:$F$62&gt;$A29)*(案件一覧!$C$3:$C$62&lt;&gt;"キャンセル"),0),0))&amp;IF(COUNTIFS(案件一覧!$N$3:$N$62,G$3,案件一覧!$E$3:$E$62,"&lt;="&amp;$A29,案件一覧!$F$3:$F$62,"&gt;"&amp;$A29,案件一覧!$C$3:$C$62,"&lt;&gt;キャンセル")&gt;1," ◆重複!",""))</f>
        <v/>
      </c>
      <c r="H29" s="24" t="str">
        <f aca="false">IF(COUNTIFS(案件一覧!$N$3:$N$62,H$3,案件一覧!$E$3:$E$62,"&lt;="&amp;$A29,案件一覧!$F$3:$F$62,"&gt;"&amp;$A29,案件一覧!$C$3:$C$62,"&lt;&gt;キャンセル")=0,"",INDEX(案件一覧!$J$3:$J$62,MATCH(1,INDEX((案件一覧!$N$3:$N$62=H$3)*(案件一覧!$E$3:$E$62&lt;=$A29)*(案件一覧!$F$3:$F$62&gt;$A29)*(案件一覧!$C$3:$C$62&lt;&gt;"キャンセル"),0),0))&amp;IF(COUNTIFS(案件一覧!$N$3:$N$62,H$3,案件一覧!$E$3:$E$62,"&lt;="&amp;$A29,案件一覧!$F$3:$F$62,"&gt;"&amp;$A29,案件一覧!$C$3:$C$62,"&lt;&gt;キャンセル")&gt;1," ◆重複!",""))</f>
        <v/>
      </c>
    </row>
    <row r="30" customFormat="false" ht="15" hidden="false" customHeight="false" outlineLevel="0" collapsed="false">
      <c r="A30" s="16" t="n">
        <v>46230</v>
      </c>
      <c r="B30" s="17" t="s">
        <v>47</v>
      </c>
      <c r="C30" s="18" t="str">
        <f aca="false">IF(COUNTIFS(案件一覧!$N$3:$N$62,C$3,案件一覧!$E$3:$E$62,"&lt;="&amp;$A30,案件一覧!$F$3:$F$62,"&gt;"&amp;$A30,案件一覧!$C$3:$C$62,"&lt;&gt;キャンセル")=0,"",INDEX(案件一覧!$J$3:$J$62,MATCH(1,INDEX((案件一覧!$N$3:$N$62=C$3)*(案件一覧!$E$3:$E$62&lt;=$A30)*(案件一覧!$F$3:$F$62&gt;$A30)*(案件一覧!$C$3:$C$62&lt;&gt;"キャンセル"),0),0))&amp;IF(COUNTIFS(案件一覧!$N$3:$N$62,C$3,案件一覧!$E$3:$E$62,"&lt;="&amp;$A30,案件一覧!$F$3:$F$62,"&gt;"&amp;$A30,案件一覧!$C$3:$C$62,"&lt;&gt;キャンセル")&gt;1," ◆重複!",""))</f>
        <v/>
      </c>
      <c r="D30" s="18" t="str">
        <f aca="false">IF(COUNTIFS(案件一覧!$N$3:$N$62,D$3,案件一覧!$E$3:$E$62,"&lt;="&amp;$A30,案件一覧!$F$3:$F$62,"&gt;"&amp;$A30,案件一覧!$C$3:$C$62,"&lt;&gt;キャンセル")=0,"",INDEX(案件一覧!$J$3:$J$62,MATCH(1,INDEX((案件一覧!$N$3:$N$62=D$3)*(案件一覧!$E$3:$E$62&lt;=$A30)*(案件一覧!$F$3:$F$62&gt;$A30)*(案件一覧!$C$3:$C$62&lt;&gt;"キャンセル"),0),0))&amp;IF(COUNTIFS(案件一覧!$N$3:$N$62,D$3,案件一覧!$E$3:$E$62,"&lt;="&amp;$A30,案件一覧!$F$3:$F$62,"&gt;"&amp;$A30,案件一覧!$C$3:$C$62,"&lt;&gt;キャンセル")&gt;1," ◆重複!",""))</f>
        <v/>
      </c>
      <c r="E30" s="18" t="str">
        <f aca="false">IF(COUNTIFS(案件一覧!$N$3:$N$62,E$3,案件一覧!$E$3:$E$62,"&lt;="&amp;$A30,案件一覧!$F$3:$F$62,"&gt;"&amp;$A30,案件一覧!$C$3:$C$62,"&lt;&gt;キャンセル")=0,"",INDEX(案件一覧!$J$3:$J$62,MATCH(1,INDEX((案件一覧!$N$3:$N$62=E$3)*(案件一覧!$E$3:$E$62&lt;=$A30)*(案件一覧!$F$3:$F$62&gt;$A30)*(案件一覧!$C$3:$C$62&lt;&gt;"キャンセル"),0),0))&amp;IF(COUNTIFS(案件一覧!$N$3:$N$62,E$3,案件一覧!$E$3:$E$62,"&lt;="&amp;$A30,案件一覧!$F$3:$F$62,"&gt;"&amp;$A30,案件一覧!$C$3:$C$62,"&lt;&gt;キャンセル")&gt;1," ◆重複!",""))</f>
        <v/>
      </c>
      <c r="F30" s="18" t="str">
        <f aca="false">IF(COUNTIFS(案件一覧!$N$3:$N$62,F$3,案件一覧!$E$3:$E$62,"&lt;="&amp;$A30,案件一覧!$F$3:$F$62,"&gt;"&amp;$A30,案件一覧!$C$3:$C$62,"&lt;&gt;キャンセル")=0,"",INDEX(案件一覧!$J$3:$J$62,MATCH(1,INDEX((案件一覧!$N$3:$N$62=F$3)*(案件一覧!$E$3:$E$62&lt;=$A30)*(案件一覧!$F$3:$F$62&gt;$A30)*(案件一覧!$C$3:$C$62&lt;&gt;"キャンセル"),0),0))&amp;IF(COUNTIFS(案件一覧!$N$3:$N$62,F$3,案件一覧!$E$3:$E$62,"&lt;="&amp;$A30,案件一覧!$F$3:$F$62,"&gt;"&amp;$A30,案件一覧!$C$3:$C$62,"&lt;&gt;キャンセル")&gt;1," ◆重複!",""))</f>
        <v/>
      </c>
      <c r="G30" s="18" t="str">
        <f aca="false">IF(COUNTIFS(案件一覧!$N$3:$N$62,G$3,案件一覧!$E$3:$E$62,"&lt;="&amp;$A30,案件一覧!$F$3:$F$62,"&gt;"&amp;$A30,案件一覧!$C$3:$C$62,"&lt;&gt;キャンセル")=0,"",INDEX(案件一覧!$J$3:$J$62,MATCH(1,INDEX((案件一覧!$N$3:$N$62=G$3)*(案件一覧!$E$3:$E$62&lt;=$A30)*(案件一覧!$F$3:$F$62&gt;$A30)*(案件一覧!$C$3:$C$62&lt;&gt;"キャンセル"),0),0))&amp;IF(COUNTIFS(案件一覧!$N$3:$N$62,G$3,案件一覧!$E$3:$E$62,"&lt;="&amp;$A30,案件一覧!$F$3:$F$62,"&gt;"&amp;$A30,案件一覧!$C$3:$C$62,"&lt;&gt;キャンセル")&gt;1," ◆重複!",""))</f>
        <v/>
      </c>
      <c r="H30" s="18" t="str">
        <f aca="false">IF(COUNTIFS(案件一覧!$N$3:$N$62,H$3,案件一覧!$E$3:$E$62,"&lt;="&amp;$A30,案件一覧!$F$3:$F$62,"&gt;"&amp;$A30,案件一覧!$C$3:$C$62,"&lt;&gt;キャンセル")=0,"",INDEX(案件一覧!$J$3:$J$62,MATCH(1,INDEX((案件一覧!$N$3:$N$62=H$3)*(案件一覧!$E$3:$E$62&lt;=$A30)*(案件一覧!$F$3:$F$62&gt;$A30)*(案件一覧!$C$3:$C$62&lt;&gt;"キャンセル"),0),0))&amp;IF(COUNTIFS(案件一覧!$N$3:$N$62,H$3,案件一覧!$E$3:$E$62,"&lt;="&amp;$A30,案件一覧!$F$3:$F$62,"&gt;"&amp;$A30,案件一覧!$C$3:$C$62,"&lt;&gt;キャンセル")&gt;1," ◆重複!",""))</f>
        <v/>
      </c>
    </row>
    <row r="31" customFormat="false" ht="15" hidden="false" customHeight="false" outlineLevel="0" collapsed="false">
      <c r="A31" s="16" t="n">
        <v>46231</v>
      </c>
      <c r="B31" s="17" t="s">
        <v>48</v>
      </c>
      <c r="C31" s="18" t="str">
        <f aca="false">IF(COUNTIFS(案件一覧!$N$3:$N$62,C$3,案件一覧!$E$3:$E$62,"&lt;="&amp;$A31,案件一覧!$F$3:$F$62,"&gt;"&amp;$A31,案件一覧!$C$3:$C$62,"&lt;&gt;キャンセル")=0,"",INDEX(案件一覧!$J$3:$J$62,MATCH(1,INDEX((案件一覧!$N$3:$N$62=C$3)*(案件一覧!$E$3:$E$62&lt;=$A31)*(案件一覧!$F$3:$F$62&gt;$A31)*(案件一覧!$C$3:$C$62&lt;&gt;"キャンセル"),0),0))&amp;IF(COUNTIFS(案件一覧!$N$3:$N$62,C$3,案件一覧!$E$3:$E$62,"&lt;="&amp;$A31,案件一覧!$F$3:$F$62,"&gt;"&amp;$A31,案件一覧!$C$3:$C$62,"&lt;&gt;キャンセル")&gt;1," ◆重複!",""))</f>
        <v/>
      </c>
      <c r="D31" s="18" t="str">
        <f aca="false">IF(COUNTIFS(案件一覧!$N$3:$N$62,D$3,案件一覧!$E$3:$E$62,"&lt;="&amp;$A31,案件一覧!$F$3:$F$62,"&gt;"&amp;$A31,案件一覧!$C$3:$C$62,"&lt;&gt;キャンセル")=0,"",INDEX(案件一覧!$J$3:$J$62,MATCH(1,INDEX((案件一覧!$N$3:$N$62=D$3)*(案件一覧!$E$3:$E$62&lt;=$A31)*(案件一覧!$F$3:$F$62&gt;$A31)*(案件一覧!$C$3:$C$62&lt;&gt;"キャンセル"),0),0))&amp;IF(COUNTIFS(案件一覧!$N$3:$N$62,D$3,案件一覧!$E$3:$E$62,"&lt;="&amp;$A31,案件一覧!$F$3:$F$62,"&gt;"&amp;$A31,案件一覧!$C$3:$C$62,"&lt;&gt;キャンセル")&gt;1," ◆重複!",""))</f>
        <v/>
      </c>
      <c r="E31" s="18" t="str">
        <f aca="false">IF(COUNTIFS(案件一覧!$N$3:$N$62,E$3,案件一覧!$E$3:$E$62,"&lt;="&amp;$A31,案件一覧!$F$3:$F$62,"&gt;"&amp;$A31,案件一覧!$C$3:$C$62,"&lt;&gt;キャンセル")=0,"",INDEX(案件一覧!$J$3:$J$62,MATCH(1,INDEX((案件一覧!$N$3:$N$62=E$3)*(案件一覧!$E$3:$E$62&lt;=$A31)*(案件一覧!$F$3:$F$62&gt;$A31)*(案件一覧!$C$3:$C$62&lt;&gt;"キャンセル"),0),0))&amp;IF(COUNTIFS(案件一覧!$N$3:$N$62,E$3,案件一覧!$E$3:$E$62,"&lt;="&amp;$A31,案件一覧!$F$3:$F$62,"&gt;"&amp;$A31,案件一覧!$C$3:$C$62,"&lt;&gt;キャンセル")&gt;1," ◆重複!",""))</f>
        <v/>
      </c>
      <c r="F31" s="18" t="str">
        <f aca="false">IF(COUNTIFS(案件一覧!$N$3:$N$62,F$3,案件一覧!$E$3:$E$62,"&lt;="&amp;$A31,案件一覧!$F$3:$F$62,"&gt;"&amp;$A31,案件一覧!$C$3:$C$62,"&lt;&gt;キャンセル")=0,"",INDEX(案件一覧!$J$3:$J$62,MATCH(1,INDEX((案件一覧!$N$3:$N$62=F$3)*(案件一覧!$E$3:$E$62&lt;=$A31)*(案件一覧!$F$3:$F$62&gt;$A31)*(案件一覧!$C$3:$C$62&lt;&gt;"キャンセル"),0),0))&amp;IF(COUNTIFS(案件一覧!$N$3:$N$62,F$3,案件一覧!$E$3:$E$62,"&lt;="&amp;$A31,案件一覧!$F$3:$F$62,"&gt;"&amp;$A31,案件一覧!$C$3:$C$62,"&lt;&gt;キャンセル")&gt;1," ◆重複!",""))</f>
        <v/>
      </c>
      <c r="G31" s="18" t="str">
        <f aca="false">IF(COUNTIFS(案件一覧!$N$3:$N$62,G$3,案件一覧!$E$3:$E$62,"&lt;="&amp;$A31,案件一覧!$F$3:$F$62,"&gt;"&amp;$A31,案件一覧!$C$3:$C$62,"&lt;&gt;キャンセル")=0,"",INDEX(案件一覧!$J$3:$J$62,MATCH(1,INDEX((案件一覧!$N$3:$N$62=G$3)*(案件一覧!$E$3:$E$62&lt;=$A31)*(案件一覧!$F$3:$F$62&gt;$A31)*(案件一覧!$C$3:$C$62&lt;&gt;"キャンセル"),0),0))&amp;IF(COUNTIFS(案件一覧!$N$3:$N$62,G$3,案件一覧!$E$3:$E$62,"&lt;="&amp;$A31,案件一覧!$F$3:$F$62,"&gt;"&amp;$A31,案件一覧!$C$3:$C$62,"&lt;&gt;キャンセル")&gt;1," ◆重複!",""))</f>
        <v/>
      </c>
      <c r="H31" s="18" t="str">
        <f aca="false">IF(COUNTIFS(案件一覧!$N$3:$N$62,H$3,案件一覧!$E$3:$E$62,"&lt;="&amp;$A31,案件一覧!$F$3:$F$62,"&gt;"&amp;$A31,案件一覧!$C$3:$C$62,"&lt;&gt;キャンセル")=0,"",INDEX(案件一覧!$J$3:$J$62,MATCH(1,INDEX((案件一覧!$N$3:$N$62=H$3)*(案件一覧!$E$3:$E$62&lt;=$A31)*(案件一覧!$F$3:$F$62&gt;$A31)*(案件一覧!$C$3:$C$62&lt;&gt;"キャンセル"),0),0))&amp;IF(COUNTIFS(案件一覧!$N$3:$N$62,H$3,案件一覧!$E$3:$E$62,"&lt;="&amp;$A31,案件一覧!$F$3:$F$62,"&gt;"&amp;$A31,案件一覧!$C$3:$C$62,"&lt;&gt;キャンセル")&gt;1," ◆重複!",""))</f>
        <v/>
      </c>
    </row>
    <row r="32" customFormat="false" ht="15" hidden="false" customHeight="false" outlineLevel="0" collapsed="false">
      <c r="A32" s="16" t="n">
        <v>46232</v>
      </c>
      <c r="B32" s="17" t="s">
        <v>42</v>
      </c>
      <c r="C32" s="18" t="str">
        <f aca="false">IF(COUNTIFS(案件一覧!$N$3:$N$62,C$3,案件一覧!$E$3:$E$62,"&lt;="&amp;$A32,案件一覧!$F$3:$F$62,"&gt;"&amp;$A32,案件一覧!$C$3:$C$62,"&lt;&gt;キャンセル")=0,"",INDEX(案件一覧!$J$3:$J$62,MATCH(1,INDEX((案件一覧!$N$3:$N$62=C$3)*(案件一覧!$E$3:$E$62&lt;=$A32)*(案件一覧!$F$3:$F$62&gt;$A32)*(案件一覧!$C$3:$C$62&lt;&gt;"キャンセル"),0),0))&amp;IF(COUNTIFS(案件一覧!$N$3:$N$62,C$3,案件一覧!$E$3:$E$62,"&lt;="&amp;$A32,案件一覧!$F$3:$F$62,"&gt;"&amp;$A32,案件一覧!$C$3:$C$62,"&lt;&gt;キャンセル")&gt;1," ◆重複!",""))</f>
        <v/>
      </c>
      <c r="D32" s="18" t="str">
        <f aca="false">IF(COUNTIFS(案件一覧!$N$3:$N$62,D$3,案件一覧!$E$3:$E$62,"&lt;="&amp;$A32,案件一覧!$F$3:$F$62,"&gt;"&amp;$A32,案件一覧!$C$3:$C$62,"&lt;&gt;キャンセル")=0,"",INDEX(案件一覧!$J$3:$J$62,MATCH(1,INDEX((案件一覧!$N$3:$N$62=D$3)*(案件一覧!$E$3:$E$62&lt;=$A32)*(案件一覧!$F$3:$F$62&gt;$A32)*(案件一覧!$C$3:$C$62&lt;&gt;"キャンセル"),0),0))&amp;IF(COUNTIFS(案件一覧!$N$3:$N$62,D$3,案件一覧!$E$3:$E$62,"&lt;="&amp;$A32,案件一覧!$F$3:$F$62,"&gt;"&amp;$A32,案件一覧!$C$3:$C$62,"&lt;&gt;キャンセル")&gt;1," ◆重複!",""))</f>
        <v/>
      </c>
      <c r="E32" s="18" t="str">
        <f aca="false">IF(COUNTIFS(案件一覧!$N$3:$N$62,E$3,案件一覧!$E$3:$E$62,"&lt;="&amp;$A32,案件一覧!$F$3:$F$62,"&gt;"&amp;$A32,案件一覧!$C$3:$C$62,"&lt;&gt;キャンセル")=0,"",INDEX(案件一覧!$J$3:$J$62,MATCH(1,INDEX((案件一覧!$N$3:$N$62=E$3)*(案件一覧!$E$3:$E$62&lt;=$A32)*(案件一覧!$F$3:$F$62&gt;$A32)*(案件一覧!$C$3:$C$62&lt;&gt;"キャンセル"),0),0))&amp;IF(COUNTIFS(案件一覧!$N$3:$N$62,E$3,案件一覧!$E$3:$E$62,"&lt;="&amp;$A32,案件一覧!$F$3:$F$62,"&gt;"&amp;$A32,案件一覧!$C$3:$C$62,"&lt;&gt;キャンセル")&gt;1," ◆重複!",""))</f>
        <v/>
      </c>
      <c r="F32" s="18" t="str">
        <f aca="false">IF(COUNTIFS(案件一覧!$N$3:$N$62,F$3,案件一覧!$E$3:$E$62,"&lt;="&amp;$A32,案件一覧!$F$3:$F$62,"&gt;"&amp;$A32,案件一覧!$C$3:$C$62,"&lt;&gt;キャンセル")=0,"",INDEX(案件一覧!$J$3:$J$62,MATCH(1,INDEX((案件一覧!$N$3:$N$62=F$3)*(案件一覧!$E$3:$E$62&lt;=$A32)*(案件一覧!$F$3:$F$62&gt;$A32)*(案件一覧!$C$3:$C$62&lt;&gt;"キャンセル"),0),0))&amp;IF(COUNTIFS(案件一覧!$N$3:$N$62,F$3,案件一覧!$E$3:$E$62,"&lt;="&amp;$A32,案件一覧!$F$3:$F$62,"&gt;"&amp;$A32,案件一覧!$C$3:$C$62,"&lt;&gt;キャンセル")&gt;1," ◆重複!",""))</f>
        <v/>
      </c>
      <c r="G32" s="18" t="str">
        <f aca="false">IF(COUNTIFS(案件一覧!$N$3:$N$62,G$3,案件一覧!$E$3:$E$62,"&lt;="&amp;$A32,案件一覧!$F$3:$F$62,"&gt;"&amp;$A32,案件一覧!$C$3:$C$62,"&lt;&gt;キャンセル")=0,"",INDEX(案件一覧!$J$3:$J$62,MATCH(1,INDEX((案件一覧!$N$3:$N$62=G$3)*(案件一覧!$E$3:$E$62&lt;=$A32)*(案件一覧!$F$3:$F$62&gt;$A32)*(案件一覧!$C$3:$C$62&lt;&gt;"キャンセル"),0),0))&amp;IF(COUNTIFS(案件一覧!$N$3:$N$62,G$3,案件一覧!$E$3:$E$62,"&lt;="&amp;$A32,案件一覧!$F$3:$F$62,"&gt;"&amp;$A32,案件一覧!$C$3:$C$62,"&lt;&gt;キャンセル")&gt;1," ◆重複!",""))</f>
        <v/>
      </c>
      <c r="H32" s="18" t="str">
        <f aca="false">IF(COUNTIFS(案件一覧!$N$3:$N$62,H$3,案件一覧!$E$3:$E$62,"&lt;="&amp;$A32,案件一覧!$F$3:$F$62,"&gt;"&amp;$A32,案件一覧!$C$3:$C$62,"&lt;&gt;キャンセル")=0,"",INDEX(案件一覧!$J$3:$J$62,MATCH(1,INDEX((案件一覧!$N$3:$N$62=H$3)*(案件一覧!$E$3:$E$62&lt;=$A32)*(案件一覧!$F$3:$F$62&gt;$A32)*(案件一覧!$C$3:$C$62&lt;&gt;"キャンセル"),0),0))&amp;IF(COUNTIFS(案件一覧!$N$3:$N$62,H$3,案件一覧!$E$3:$E$62,"&lt;="&amp;$A32,案件一覧!$F$3:$F$62,"&gt;"&amp;$A32,案件一覧!$C$3:$C$62,"&lt;&gt;キャンセル")&gt;1," ◆重複!",""))</f>
        <v/>
      </c>
    </row>
    <row r="33" customFormat="false" ht="15" hidden="false" customHeight="false" outlineLevel="0" collapsed="false">
      <c r="A33" s="16" t="n">
        <v>46233</v>
      </c>
      <c r="B33" s="17" t="s">
        <v>43</v>
      </c>
      <c r="C33" s="18" t="str">
        <f aca="false">IF(COUNTIFS(案件一覧!$N$3:$N$62,C$3,案件一覧!$E$3:$E$62,"&lt;="&amp;$A33,案件一覧!$F$3:$F$62,"&gt;"&amp;$A33,案件一覧!$C$3:$C$62,"&lt;&gt;キャンセル")=0,"",INDEX(案件一覧!$J$3:$J$62,MATCH(1,INDEX((案件一覧!$N$3:$N$62=C$3)*(案件一覧!$E$3:$E$62&lt;=$A33)*(案件一覧!$F$3:$F$62&gt;$A33)*(案件一覧!$C$3:$C$62&lt;&gt;"キャンセル"),0),0))&amp;IF(COUNTIFS(案件一覧!$N$3:$N$62,C$3,案件一覧!$E$3:$E$62,"&lt;="&amp;$A33,案件一覧!$F$3:$F$62,"&gt;"&amp;$A33,案件一覧!$C$3:$C$62,"&lt;&gt;キャンセル")&gt;1," ◆重複!",""))</f>
        <v/>
      </c>
      <c r="D33" s="18" t="str">
        <f aca="false">IF(COUNTIFS(案件一覧!$N$3:$N$62,D$3,案件一覧!$E$3:$E$62,"&lt;="&amp;$A33,案件一覧!$F$3:$F$62,"&gt;"&amp;$A33,案件一覧!$C$3:$C$62,"&lt;&gt;キャンセル")=0,"",INDEX(案件一覧!$J$3:$J$62,MATCH(1,INDEX((案件一覧!$N$3:$N$62=D$3)*(案件一覧!$E$3:$E$62&lt;=$A33)*(案件一覧!$F$3:$F$62&gt;$A33)*(案件一覧!$C$3:$C$62&lt;&gt;"キャンセル"),0),0))&amp;IF(COUNTIFS(案件一覧!$N$3:$N$62,D$3,案件一覧!$E$3:$E$62,"&lt;="&amp;$A33,案件一覧!$F$3:$F$62,"&gt;"&amp;$A33,案件一覧!$C$3:$C$62,"&lt;&gt;キャンセル")&gt;1," ◆重複!",""))</f>
        <v/>
      </c>
      <c r="E33" s="18" t="str">
        <f aca="false">IF(COUNTIFS(案件一覧!$N$3:$N$62,E$3,案件一覧!$E$3:$E$62,"&lt;="&amp;$A33,案件一覧!$F$3:$F$62,"&gt;"&amp;$A33,案件一覧!$C$3:$C$62,"&lt;&gt;キャンセル")=0,"",INDEX(案件一覧!$J$3:$J$62,MATCH(1,INDEX((案件一覧!$N$3:$N$62=E$3)*(案件一覧!$E$3:$E$62&lt;=$A33)*(案件一覧!$F$3:$F$62&gt;$A33)*(案件一覧!$C$3:$C$62&lt;&gt;"キャンセル"),0),0))&amp;IF(COUNTIFS(案件一覧!$N$3:$N$62,E$3,案件一覧!$E$3:$E$62,"&lt;="&amp;$A33,案件一覧!$F$3:$F$62,"&gt;"&amp;$A33,案件一覧!$C$3:$C$62,"&lt;&gt;キャンセル")&gt;1," ◆重複!",""))</f>
        <v/>
      </c>
      <c r="F33" s="18" t="str">
        <f aca="false">IF(COUNTIFS(案件一覧!$N$3:$N$62,F$3,案件一覧!$E$3:$E$62,"&lt;="&amp;$A33,案件一覧!$F$3:$F$62,"&gt;"&amp;$A33,案件一覧!$C$3:$C$62,"&lt;&gt;キャンセル")=0,"",INDEX(案件一覧!$J$3:$J$62,MATCH(1,INDEX((案件一覧!$N$3:$N$62=F$3)*(案件一覧!$E$3:$E$62&lt;=$A33)*(案件一覧!$F$3:$F$62&gt;$A33)*(案件一覧!$C$3:$C$62&lt;&gt;"キャンセル"),0),0))&amp;IF(COUNTIFS(案件一覧!$N$3:$N$62,F$3,案件一覧!$E$3:$E$62,"&lt;="&amp;$A33,案件一覧!$F$3:$F$62,"&gt;"&amp;$A33,案件一覧!$C$3:$C$62,"&lt;&gt;キャンセル")&gt;1," ◆重複!",""))</f>
        <v/>
      </c>
      <c r="G33" s="18" t="str">
        <f aca="false">IF(COUNTIFS(案件一覧!$N$3:$N$62,G$3,案件一覧!$E$3:$E$62,"&lt;="&amp;$A33,案件一覧!$F$3:$F$62,"&gt;"&amp;$A33,案件一覧!$C$3:$C$62,"&lt;&gt;キャンセル")=0,"",INDEX(案件一覧!$J$3:$J$62,MATCH(1,INDEX((案件一覧!$N$3:$N$62=G$3)*(案件一覧!$E$3:$E$62&lt;=$A33)*(案件一覧!$F$3:$F$62&gt;$A33)*(案件一覧!$C$3:$C$62&lt;&gt;"キャンセル"),0),0))&amp;IF(COUNTIFS(案件一覧!$N$3:$N$62,G$3,案件一覧!$E$3:$E$62,"&lt;="&amp;$A33,案件一覧!$F$3:$F$62,"&gt;"&amp;$A33,案件一覧!$C$3:$C$62,"&lt;&gt;キャンセル")&gt;1," ◆重複!",""))</f>
        <v/>
      </c>
      <c r="H33" s="18" t="str">
        <f aca="false">IF(COUNTIFS(案件一覧!$N$3:$N$62,H$3,案件一覧!$E$3:$E$62,"&lt;="&amp;$A33,案件一覧!$F$3:$F$62,"&gt;"&amp;$A33,案件一覧!$C$3:$C$62,"&lt;&gt;キャンセル")=0,"",INDEX(案件一覧!$J$3:$J$62,MATCH(1,INDEX((案件一覧!$N$3:$N$62=H$3)*(案件一覧!$E$3:$E$62&lt;=$A33)*(案件一覧!$F$3:$F$62&gt;$A33)*(案件一覧!$C$3:$C$62&lt;&gt;"キャンセル"),0),0))&amp;IF(COUNTIFS(案件一覧!$N$3:$N$62,H$3,案件一覧!$E$3:$E$62,"&lt;="&amp;$A33,案件一覧!$F$3:$F$62,"&gt;"&amp;$A33,案件一覧!$C$3:$C$62,"&lt;&gt;キャンセル")&gt;1," ◆重複!",""))</f>
        <v/>
      </c>
    </row>
    <row r="34" customFormat="false" ht="15" hidden="false" customHeight="false" outlineLevel="0" collapsed="false">
      <c r="A34" s="16" t="n">
        <v>46234</v>
      </c>
      <c r="B34" s="17" t="s">
        <v>44</v>
      </c>
      <c r="C34" s="18" t="str">
        <f aca="false">IF(COUNTIFS(案件一覧!$N$3:$N$62,C$3,案件一覧!$E$3:$E$62,"&lt;="&amp;$A34,案件一覧!$F$3:$F$62,"&gt;"&amp;$A34,案件一覧!$C$3:$C$62,"&lt;&gt;キャンセル")=0,"",INDEX(案件一覧!$J$3:$J$62,MATCH(1,INDEX((案件一覧!$N$3:$N$62=C$3)*(案件一覧!$E$3:$E$62&lt;=$A34)*(案件一覧!$F$3:$F$62&gt;$A34)*(案件一覧!$C$3:$C$62&lt;&gt;"キャンセル"),0),0))&amp;IF(COUNTIFS(案件一覧!$N$3:$N$62,C$3,案件一覧!$E$3:$E$62,"&lt;="&amp;$A34,案件一覧!$F$3:$F$62,"&gt;"&amp;$A34,案件一覧!$C$3:$C$62,"&lt;&gt;キャンセル")&gt;1," ◆重複!",""))</f>
        <v/>
      </c>
      <c r="D34" s="18" t="str">
        <f aca="false">IF(COUNTIFS(案件一覧!$N$3:$N$62,D$3,案件一覧!$E$3:$E$62,"&lt;="&amp;$A34,案件一覧!$F$3:$F$62,"&gt;"&amp;$A34,案件一覧!$C$3:$C$62,"&lt;&gt;キャンセル")=0,"",INDEX(案件一覧!$J$3:$J$62,MATCH(1,INDEX((案件一覧!$N$3:$N$62=D$3)*(案件一覧!$E$3:$E$62&lt;=$A34)*(案件一覧!$F$3:$F$62&gt;$A34)*(案件一覧!$C$3:$C$62&lt;&gt;"キャンセル"),0),0))&amp;IF(COUNTIFS(案件一覧!$N$3:$N$62,D$3,案件一覧!$E$3:$E$62,"&lt;="&amp;$A34,案件一覧!$F$3:$F$62,"&gt;"&amp;$A34,案件一覧!$C$3:$C$62,"&lt;&gt;キャンセル")&gt;1," ◆重複!",""))</f>
        <v/>
      </c>
      <c r="E34" s="18" t="str">
        <f aca="false">IF(COUNTIFS(案件一覧!$N$3:$N$62,E$3,案件一覧!$E$3:$E$62,"&lt;="&amp;$A34,案件一覧!$F$3:$F$62,"&gt;"&amp;$A34,案件一覧!$C$3:$C$62,"&lt;&gt;キャンセル")=0,"",INDEX(案件一覧!$J$3:$J$62,MATCH(1,INDEX((案件一覧!$N$3:$N$62=E$3)*(案件一覧!$E$3:$E$62&lt;=$A34)*(案件一覧!$F$3:$F$62&gt;$A34)*(案件一覧!$C$3:$C$62&lt;&gt;"キャンセル"),0),0))&amp;IF(COUNTIFS(案件一覧!$N$3:$N$62,E$3,案件一覧!$E$3:$E$62,"&lt;="&amp;$A34,案件一覧!$F$3:$F$62,"&gt;"&amp;$A34,案件一覧!$C$3:$C$62,"&lt;&gt;キャンセル")&gt;1," ◆重複!",""))</f>
        <v/>
      </c>
      <c r="F34" s="18" t="str">
        <f aca="false">IF(COUNTIFS(案件一覧!$N$3:$N$62,F$3,案件一覧!$E$3:$E$62,"&lt;="&amp;$A34,案件一覧!$F$3:$F$62,"&gt;"&amp;$A34,案件一覧!$C$3:$C$62,"&lt;&gt;キャンセル")=0,"",INDEX(案件一覧!$J$3:$J$62,MATCH(1,INDEX((案件一覧!$N$3:$N$62=F$3)*(案件一覧!$E$3:$E$62&lt;=$A34)*(案件一覧!$F$3:$F$62&gt;$A34)*(案件一覧!$C$3:$C$62&lt;&gt;"キャンセル"),0),0))&amp;IF(COUNTIFS(案件一覧!$N$3:$N$62,F$3,案件一覧!$E$3:$E$62,"&lt;="&amp;$A34,案件一覧!$F$3:$F$62,"&gt;"&amp;$A34,案件一覧!$C$3:$C$62,"&lt;&gt;キャンセル")&gt;1," ◆重複!",""))</f>
        <v/>
      </c>
      <c r="G34" s="18" t="str">
        <f aca="false">IF(COUNTIFS(案件一覧!$N$3:$N$62,G$3,案件一覧!$E$3:$E$62,"&lt;="&amp;$A34,案件一覧!$F$3:$F$62,"&gt;"&amp;$A34,案件一覧!$C$3:$C$62,"&lt;&gt;キャンセル")=0,"",INDEX(案件一覧!$J$3:$J$62,MATCH(1,INDEX((案件一覧!$N$3:$N$62=G$3)*(案件一覧!$E$3:$E$62&lt;=$A34)*(案件一覧!$F$3:$F$62&gt;$A34)*(案件一覧!$C$3:$C$62&lt;&gt;"キャンセル"),0),0))&amp;IF(COUNTIFS(案件一覧!$N$3:$N$62,G$3,案件一覧!$E$3:$E$62,"&lt;="&amp;$A34,案件一覧!$F$3:$F$62,"&gt;"&amp;$A34,案件一覧!$C$3:$C$62,"&lt;&gt;キャンセル")&gt;1," ◆重複!",""))</f>
        <v/>
      </c>
      <c r="H34" s="18" t="str">
        <f aca="false">IF(COUNTIFS(案件一覧!$N$3:$N$62,H$3,案件一覧!$E$3:$E$62,"&lt;="&amp;$A34,案件一覧!$F$3:$F$62,"&gt;"&amp;$A34,案件一覧!$C$3:$C$62,"&lt;&gt;キャンセル")=0,"",INDEX(案件一覧!$J$3:$J$62,MATCH(1,INDEX((案件一覧!$N$3:$N$62=H$3)*(案件一覧!$E$3:$E$62&lt;=$A34)*(案件一覧!$F$3:$F$62&gt;$A34)*(案件一覧!$C$3:$C$62&lt;&gt;"キャンセル"),0),0))&amp;IF(COUNTIFS(案件一覧!$N$3:$N$62,H$3,案件一覧!$E$3:$E$62,"&lt;="&amp;$A34,案件一覧!$F$3:$F$62,"&gt;"&amp;$A34,案件一覧!$C$3:$C$62,"&lt;&gt;キャンセル")&gt;1," ◆重複!",""))</f>
        <v/>
      </c>
    </row>
    <row r="35" customFormat="false" ht="15" hidden="false" customHeight="false" outlineLevel="0" collapsed="false">
      <c r="A35" s="19" t="n">
        <v>46235</v>
      </c>
      <c r="B35" s="20" t="s">
        <v>45</v>
      </c>
      <c r="C35" s="21" t="str">
        <f aca="false">IF(COUNTIFS(案件一覧!$N$3:$N$62,C$3,案件一覧!$E$3:$E$62,"&lt;="&amp;$A35,案件一覧!$F$3:$F$62,"&gt;"&amp;$A35,案件一覧!$C$3:$C$62,"&lt;&gt;キャンセル")=0,"",INDEX(案件一覧!$J$3:$J$62,MATCH(1,INDEX((案件一覧!$N$3:$N$62=C$3)*(案件一覧!$E$3:$E$62&lt;=$A35)*(案件一覧!$F$3:$F$62&gt;$A35)*(案件一覧!$C$3:$C$62&lt;&gt;"キャンセル"),0),0))&amp;IF(COUNTIFS(案件一覧!$N$3:$N$62,C$3,案件一覧!$E$3:$E$62,"&lt;="&amp;$A35,案件一覧!$F$3:$F$62,"&gt;"&amp;$A35,案件一覧!$C$3:$C$62,"&lt;&gt;キャンセル")&gt;1," ◆重複!",""))</f>
        <v/>
      </c>
      <c r="D35" s="21" t="str">
        <f aca="false">IF(COUNTIFS(案件一覧!$N$3:$N$62,D$3,案件一覧!$E$3:$E$62,"&lt;="&amp;$A35,案件一覧!$F$3:$F$62,"&gt;"&amp;$A35,案件一覧!$C$3:$C$62,"&lt;&gt;キャンセル")=0,"",INDEX(案件一覧!$J$3:$J$62,MATCH(1,INDEX((案件一覧!$N$3:$N$62=D$3)*(案件一覧!$E$3:$E$62&lt;=$A35)*(案件一覧!$F$3:$F$62&gt;$A35)*(案件一覧!$C$3:$C$62&lt;&gt;"キャンセル"),0),0))&amp;IF(COUNTIFS(案件一覧!$N$3:$N$62,D$3,案件一覧!$E$3:$E$62,"&lt;="&amp;$A35,案件一覧!$F$3:$F$62,"&gt;"&amp;$A35,案件一覧!$C$3:$C$62,"&lt;&gt;キャンセル")&gt;1," ◆重複!",""))</f>
        <v/>
      </c>
      <c r="E35" s="21" t="str">
        <f aca="false">IF(COUNTIFS(案件一覧!$N$3:$N$62,E$3,案件一覧!$E$3:$E$62,"&lt;="&amp;$A35,案件一覧!$F$3:$F$62,"&gt;"&amp;$A35,案件一覧!$C$3:$C$62,"&lt;&gt;キャンセル")=0,"",INDEX(案件一覧!$J$3:$J$62,MATCH(1,INDEX((案件一覧!$N$3:$N$62=E$3)*(案件一覧!$E$3:$E$62&lt;=$A35)*(案件一覧!$F$3:$F$62&gt;$A35)*(案件一覧!$C$3:$C$62&lt;&gt;"キャンセル"),0),0))&amp;IF(COUNTIFS(案件一覧!$N$3:$N$62,E$3,案件一覧!$E$3:$E$62,"&lt;="&amp;$A35,案件一覧!$F$3:$F$62,"&gt;"&amp;$A35,案件一覧!$C$3:$C$62,"&lt;&gt;キャンセル")&gt;1," ◆重複!",""))</f>
        <v/>
      </c>
      <c r="F35" s="21" t="str">
        <f aca="false">IF(COUNTIFS(案件一覧!$N$3:$N$62,F$3,案件一覧!$E$3:$E$62,"&lt;="&amp;$A35,案件一覧!$F$3:$F$62,"&gt;"&amp;$A35,案件一覧!$C$3:$C$62,"&lt;&gt;キャンセル")=0,"",INDEX(案件一覧!$J$3:$J$62,MATCH(1,INDEX((案件一覧!$N$3:$N$62=F$3)*(案件一覧!$E$3:$E$62&lt;=$A35)*(案件一覧!$F$3:$F$62&gt;$A35)*(案件一覧!$C$3:$C$62&lt;&gt;"キャンセル"),0),0))&amp;IF(COUNTIFS(案件一覧!$N$3:$N$62,F$3,案件一覧!$E$3:$E$62,"&lt;="&amp;$A35,案件一覧!$F$3:$F$62,"&gt;"&amp;$A35,案件一覧!$C$3:$C$62,"&lt;&gt;キャンセル")&gt;1," ◆重複!",""))</f>
        <v/>
      </c>
      <c r="G35" s="21" t="str">
        <f aca="false">IF(COUNTIFS(案件一覧!$N$3:$N$62,G$3,案件一覧!$E$3:$E$62,"&lt;="&amp;$A35,案件一覧!$F$3:$F$62,"&gt;"&amp;$A35,案件一覧!$C$3:$C$62,"&lt;&gt;キャンセル")=0,"",INDEX(案件一覧!$J$3:$J$62,MATCH(1,INDEX((案件一覧!$N$3:$N$62=G$3)*(案件一覧!$E$3:$E$62&lt;=$A35)*(案件一覧!$F$3:$F$62&gt;$A35)*(案件一覧!$C$3:$C$62&lt;&gt;"キャンセル"),0),0))&amp;IF(COUNTIFS(案件一覧!$N$3:$N$62,G$3,案件一覧!$E$3:$E$62,"&lt;="&amp;$A35,案件一覧!$F$3:$F$62,"&gt;"&amp;$A35,案件一覧!$C$3:$C$62,"&lt;&gt;キャンセル")&gt;1," ◆重複!",""))</f>
        <v/>
      </c>
      <c r="H35" s="21" t="str">
        <f aca="false">IF(COUNTIFS(案件一覧!$N$3:$N$62,H$3,案件一覧!$E$3:$E$62,"&lt;="&amp;$A35,案件一覧!$F$3:$F$62,"&gt;"&amp;$A35,案件一覧!$C$3:$C$62,"&lt;&gt;キャンセル")=0,"",INDEX(案件一覧!$J$3:$J$62,MATCH(1,INDEX((案件一覧!$N$3:$N$62=H$3)*(案件一覧!$E$3:$E$62&lt;=$A35)*(案件一覧!$F$3:$F$62&gt;$A35)*(案件一覧!$C$3:$C$62&lt;&gt;"キャンセル"),0),0))&amp;IF(COUNTIFS(案件一覧!$N$3:$N$62,H$3,案件一覧!$E$3:$E$62,"&lt;="&amp;$A35,案件一覧!$F$3:$F$62,"&gt;"&amp;$A35,案件一覧!$C$3:$C$62,"&lt;&gt;キャンセル")&gt;1," ◆重複!",""))</f>
        <v/>
      </c>
    </row>
    <row r="36" customFormat="false" ht="15" hidden="false" customHeight="false" outlineLevel="0" collapsed="false">
      <c r="A36" s="22" t="n">
        <v>46236</v>
      </c>
      <c r="B36" s="23" t="s">
        <v>46</v>
      </c>
      <c r="C36" s="24" t="str">
        <f aca="false">IF(COUNTIFS(案件一覧!$N$3:$N$62,C$3,案件一覧!$E$3:$E$62,"&lt;="&amp;$A36,案件一覧!$F$3:$F$62,"&gt;"&amp;$A36,案件一覧!$C$3:$C$62,"&lt;&gt;キャンセル")=0,"",INDEX(案件一覧!$J$3:$J$62,MATCH(1,INDEX((案件一覧!$N$3:$N$62=C$3)*(案件一覧!$E$3:$E$62&lt;=$A36)*(案件一覧!$F$3:$F$62&gt;$A36)*(案件一覧!$C$3:$C$62&lt;&gt;"キャンセル"),0),0))&amp;IF(COUNTIFS(案件一覧!$N$3:$N$62,C$3,案件一覧!$E$3:$E$62,"&lt;="&amp;$A36,案件一覧!$F$3:$F$62,"&gt;"&amp;$A36,案件一覧!$C$3:$C$62,"&lt;&gt;キャンセル")&gt;1," ◆重複!",""))</f>
        <v/>
      </c>
      <c r="D36" s="24" t="str">
        <f aca="false">IF(COUNTIFS(案件一覧!$N$3:$N$62,D$3,案件一覧!$E$3:$E$62,"&lt;="&amp;$A36,案件一覧!$F$3:$F$62,"&gt;"&amp;$A36,案件一覧!$C$3:$C$62,"&lt;&gt;キャンセル")=0,"",INDEX(案件一覧!$J$3:$J$62,MATCH(1,INDEX((案件一覧!$N$3:$N$62=D$3)*(案件一覧!$E$3:$E$62&lt;=$A36)*(案件一覧!$F$3:$F$62&gt;$A36)*(案件一覧!$C$3:$C$62&lt;&gt;"キャンセル"),0),0))&amp;IF(COUNTIFS(案件一覧!$N$3:$N$62,D$3,案件一覧!$E$3:$E$62,"&lt;="&amp;$A36,案件一覧!$F$3:$F$62,"&gt;"&amp;$A36,案件一覧!$C$3:$C$62,"&lt;&gt;キャンセル")&gt;1," ◆重複!",""))</f>
        <v/>
      </c>
      <c r="E36" s="24" t="str">
        <f aca="false">IF(COUNTIFS(案件一覧!$N$3:$N$62,E$3,案件一覧!$E$3:$E$62,"&lt;="&amp;$A36,案件一覧!$F$3:$F$62,"&gt;"&amp;$A36,案件一覧!$C$3:$C$62,"&lt;&gt;キャンセル")=0,"",INDEX(案件一覧!$J$3:$J$62,MATCH(1,INDEX((案件一覧!$N$3:$N$62=E$3)*(案件一覧!$E$3:$E$62&lt;=$A36)*(案件一覧!$F$3:$F$62&gt;$A36)*(案件一覧!$C$3:$C$62&lt;&gt;"キャンセル"),0),0))&amp;IF(COUNTIFS(案件一覧!$N$3:$N$62,E$3,案件一覧!$E$3:$E$62,"&lt;="&amp;$A36,案件一覧!$F$3:$F$62,"&gt;"&amp;$A36,案件一覧!$C$3:$C$62,"&lt;&gt;キャンセル")&gt;1," ◆重複!",""))</f>
        <v/>
      </c>
      <c r="F36" s="24" t="str">
        <f aca="false">IF(COUNTIFS(案件一覧!$N$3:$N$62,F$3,案件一覧!$E$3:$E$62,"&lt;="&amp;$A36,案件一覧!$F$3:$F$62,"&gt;"&amp;$A36,案件一覧!$C$3:$C$62,"&lt;&gt;キャンセル")=0,"",INDEX(案件一覧!$J$3:$J$62,MATCH(1,INDEX((案件一覧!$N$3:$N$62=F$3)*(案件一覧!$E$3:$E$62&lt;=$A36)*(案件一覧!$F$3:$F$62&gt;$A36)*(案件一覧!$C$3:$C$62&lt;&gt;"キャンセル"),0),0))&amp;IF(COUNTIFS(案件一覧!$N$3:$N$62,F$3,案件一覧!$E$3:$E$62,"&lt;="&amp;$A36,案件一覧!$F$3:$F$62,"&gt;"&amp;$A36,案件一覧!$C$3:$C$62,"&lt;&gt;キャンセル")&gt;1," ◆重複!",""))</f>
        <v/>
      </c>
      <c r="G36" s="24" t="str">
        <f aca="false">IF(COUNTIFS(案件一覧!$N$3:$N$62,G$3,案件一覧!$E$3:$E$62,"&lt;="&amp;$A36,案件一覧!$F$3:$F$62,"&gt;"&amp;$A36,案件一覧!$C$3:$C$62,"&lt;&gt;キャンセル")=0,"",INDEX(案件一覧!$J$3:$J$62,MATCH(1,INDEX((案件一覧!$N$3:$N$62=G$3)*(案件一覧!$E$3:$E$62&lt;=$A36)*(案件一覧!$F$3:$F$62&gt;$A36)*(案件一覧!$C$3:$C$62&lt;&gt;"キャンセル"),0),0))&amp;IF(COUNTIFS(案件一覧!$N$3:$N$62,G$3,案件一覧!$E$3:$E$62,"&lt;="&amp;$A36,案件一覧!$F$3:$F$62,"&gt;"&amp;$A36,案件一覧!$C$3:$C$62,"&lt;&gt;キャンセル")&gt;1," ◆重複!",""))</f>
        <v/>
      </c>
      <c r="H36" s="24" t="str">
        <f aca="false">IF(COUNTIFS(案件一覧!$N$3:$N$62,H$3,案件一覧!$E$3:$E$62,"&lt;="&amp;$A36,案件一覧!$F$3:$F$62,"&gt;"&amp;$A36,案件一覧!$C$3:$C$62,"&lt;&gt;キャンセル")=0,"",INDEX(案件一覧!$J$3:$J$62,MATCH(1,INDEX((案件一覧!$N$3:$N$62=H$3)*(案件一覧!$E$3:$E$62&lt;=$A36)*(案件一覧!$F$3:$F$62&gt;$A36)*(案件一覧!$C$3:$C$62&lt;&gt;"キャンセル"),0),0))&amp;IF(COUNTIFS(案件一覧!$N$3:$N$62,H$3,案件一覧!$E$3:$E$62,"&lt;="&amp;$A36,案件一覧!$F$3:$F$62,"&gt;"&amp;$A36,案件一覧!$C$3:$C$62,"&lt;&gt;キャンセル")&gt;1," ◆重複!",""))</f>
        <v/>
      </c>
    </row>
    <row r="37" customFormat="false" ht="15" hidden="false" customHeight="false" outlineLevel="0" collapsed="false">
      <c r="A37" s="16" t="n">
        <v>46237</v>
      </c>
      <c r="B37" s="17" t="s">
        <v>47</v>
      </c>
      <c r="C37" s="18" t="str">
        <f aca="false">IF(COUNTIFS(案件一覧!$N$3:$N$62,C$3,案件一覧!$E$3:$E$62,"&lt;="&amp;$A37,案件一覧!$F$3:$F$62,"&gt;"&amp;$A37,案件一覧!$C$3:$C$62,"&lt;&gt;キャンセル")=0,"",INDEX(案件一覧!$J$3:$J$62,MATCH(1,INDEX((案件一覧!$N$3:$N$62=C$3)*(案件一覧!$E$3:$E$62&lt;=$A37)*(案件一覧!$F$3:$F$62&gt;$A37)*(案件一覧!$C$3:$C$62&lt;&gt;"キャンセル"),0),0))&amp;IF(COUNTIFS(案件一覧!$N$3:$N$62,C$3,案件一覧!$E$3:$E$62,"&lt;="&amp;$A37,案件一覧!$F$3:$F$62,"&gt;"&amp;$A37,案件一覧!$C$3:$C$62,"&lt;&gt;キャンセル")&gt;1," ◆重複!",""))</f>
        <v/>
      </c>
      <c r="D37" s="18" t="str">
        <f aca="false">IF(COUNTIFS(案件一覧!$N$3:$N$62,D$3,案件一覧!$E$3:$E$62,"&lt;="&amp;$A37,案件一覧!$F$3:$F$62,"&gt;"&amp;$A37,案件一覧!$C$3:$C$62,"&lt;&gt;キャンセル")=0,"",INDEX(案件一覧!$J$3:$J$62,MATCH(1,INDEX((案件一覧!$N$3:$N$62=D$3)*(案件一覧!$E$3:$E$62&lt;=$A37)*(案件一覧!$F$3:$F$62&gt;$A37)*(案件一覧!$C$3:$C$62&lt;&gt;"キャンセル"),0),0))&amp;IF(COUNTIFS(案件一覧!$N$3:$N$62,D$3,案件一覧!$E$3:$E$62,"&lt;="&amp;$A37,案件一覧!$F$3:$F$62,"&gt;"&amp;$A37,案件一覧!$C$3:$C$62,"&lt;&gt;キャンセル")&gt;1," ◆重複!",""))</f>
        <v/>
      </c>
      <c r="E37" s="18" t="str">
        <f aca="false">IF(COUNTIFS(案件一覧!$N$3:$N$62,E$3,案件一覧!$E$3:$E$62,"&lt;="&amp;$A37,案件一覧!$F$3:$F$62,"&gt;"&amp;$A37,案件一覧!$C$3:$C$62,"&lt;&gt;キャンセル")=0,"",INDEX(案件一覧!$J$3:$J$62,MATCH(1,INDEX((案件一覧!$N$3:$N$62=E$3)*(案件一覧!$E$3:$E$62&lt;=$A37)*(案件一覧!$F$3:$F$62&gt;$A37)*(案件一覧!$C$3:$C$62&lt;&gt;"キャンセル"),0),0))&amp;IF(COUNTIFS(案件一覧!$N$3:$N$62,E$3,案件一覧!$E$3:$E$62,"&lt;="&amp;$A37,案件一覧!$F$3:$F$62,"&gt;"&amp;$A37,案件一覧!$C$3:$C$62,"&lt;&gt;キャンセル")&gt;1," ◆重複!",""))</f>
        <v/>
      </c>
      <c r="F37" s="18" t="str">
        <f aca="false">IF(COUNTIFS(案件一覧!$N$3:$N$62,F$3,案件一覧!$E$3:$E$62,"&lt;="&amp;$A37,案件一覧!$F$3:$F$62,"&gt;"&amp;$A37,案件一覧!$C$3:$C$62,"&lt;&gt;キャンセル")=0,"",INDEX(案件一覧!$J$3:$J$62,MATCH(1,INDEX((案件一覧!$N$3:$N$62=F$3)*(案件一覧!$E$3:$E$62&lt;=$A37)*(案件一覧!$F$3:$F$62&gt;$A37)*(案件一覧!$C$3:$C$62&lt;&gt;"キャンセル"),0),0))&amp;IF(COUNTIFS(案件一覧!$N$3:$N$62,F$3,案件一覧!$E$3:$E$62,"&lt;="&amp;$A37,案件一覧!$F$3:$F$62,"&gt;"&amp;$A37,案件一覧!$C$3:$C$62,"&lt;&gt;キャンセル")&gt;1," ◆重複!",""))</f>
        <v/>
      </c>
      <c r="G37" s="18" t="str">
        <f aca="false">IF(COUNTIFS(案件一覧!$N$3:$N$62,G$3,案件一覧!$E$3:$E$62,"&lt;="&amp;$A37,案件一覧!$F$3:$F$62,"&gt;"&amp;$A37,案件一覧!$C$3:$C$62,"&lt;&gt;キャンセル")=0,"",INDEX(案件一覧!$J$3:$J$62,MATCH(1,INDEX((案件一覧!$N$3:$N$62=G$3)*(案件一覧!$E$3:$E$62&lt;=$A37)*(案件一覧!$F$3:$F$62&gt;$A37)*(案件一覧!$C$3:$C$62&lt;&gt;"キャンセル"),0),0))&amp;IF(COUNTIFS(案件一覧!$N$3:$N$62,G$3,案件一覧!$E$3:$E$62,"&lt;="&amp;$A37,案件一覧!$F$3:$F$62,"&gt;"&amp;$A37,案件一覧!$C$3:$C$62,"&lt;&gt;キャンセル")&gt;1," ◆重複!",""))</f>
        <v/>
      </c>
      <c r="H37" s="18" t="str">
        <f aca="false">IF(COUNTIFS(案件一覧!$N$3:$N$62,H$3,案件一覧!$E$3:$E$62,"&lt;="&amp;$A37,案件一覧!$F$3:$F$62,"&gt;"&amp;$A37,案件一覧!$C$3:$C$62,"&lt;&gt;キャンセル")=0,"",INDEX(案件一覧!$J$3:$J$62,MATCH(1,INDEX((案件一覧!$N$3:$N$62=H$3)*(案件一覧!$E$3:$E$62&lt;=$A37)*(案件一覧!$F$3:$F$62&gt;$A37)*(案件一覧!$C$3:$C$62&lt;&gt;"キャンセル"),0),0))&amp;IF(COUNTIFS(案件一覧!$N$3:$N$62,H$3,案件一覧!$E$3:$E$62,"&lt;="&amp;$A37,案件一覧!$F$3:$F$62,"&gt;"&amp;$A37,案件一覧!$C$3:$C$62,"&lt;&gt;キャンセル")&gt;1," ◆重複!",""))</f>
        <v/>
      </c>
    </row>
    <row r="38" customFormat="false" ht="15" hidden="false" customHeight="false" outlineLevel="0" collapsed="false">
      <c r="A38" s="16" t="n">
        <v>46238</v>
      </c>
      <c r="B38" s="17" t="s">
        <v>48</v>
      </c>
      <c r="C38" s="18" t="str">
        <f aca="false">IF(COUNTIFS(案件一覧!$N$3:$N$62,C$3,案件一覧!$E$3:$E$62,"&lt;="&amp;$A38,案件一覧!$F$3:$F$62,"&gt;"&amp;$A38,案件一覧!$C$3:$C$62,"&lt;&gt;キャンセル")=0,"",INDEX(案件一覧!$J$3:$J$62,MATCH(1,INDEX((案件一覧!$N$3:$N$62=C$3)*(案件一覧!$E$3:$E$62&lt;=$A38)*(案件一覧!$F$3:$F$62&gt;$A38)*(案件一覧!$C$3:$C$62&lt;&gt;"キャンセル"),0),0))&amp;IF(COUNTIFS(案件一覧!$N$3:$N$62,C$3,案件一覧!$E$3:$E$62,"&lt;="&amp;$A38,案件一覧!$F$3:$F$62,"&gt;"&amp;$A38,案件一覧!$C$3:$C$62,"&lt;&gt;キャンセル")&gt;1," ◆重複!",""))</f>
        <v/>
      </c>
      <c r="D38" s="18" t="str">
        <f aca="false">IF(COUNTIFS(案件一覧!$N$3:$N$62,D$3,案件一覧!$E$3:$E$62,"&lt;="&amp;$A38,案件一覧!$F$3:$F$62,"&gt;"&amp;$A38,案件一覧!$C$3:$C$62,"&lt;&gt;キャンセル")=0,"",INDEX(案件一覧!$J$3:$J$62,MATCH(1,INDEX((案件一覧!$N$3:$N$62=D$3)*(案件一覧!$E$3:$E$62&lt;=$A38)*(案件一覧!$F$3:$F$62&gt;$A38)*(案件一覧!$C$3:$C$62&lt;&gt;"キャンセル"),0),0))&amp;IF(COUNTIFS(案件一覧!$N$3:$N$62,D$3,案件一覧!$E$3:$E$62,"&lt;="&amp;$A38,案件一覧!$F$3:$F$62,"&gt;"&amp;$A38,案件一覧!$C$3:$C$62,"&lt;&gt;キャンセル")&gt;1," ◆重複!",""))</f>
        <v/>
      </c>
      <c r="E38" s="18" t="str">
        <f aca="false">IF(COUNTIFS(案件一覧!$N$3:$N$62,E$3,案件一覧!$E$3:$E$62,"&lt;="&amp;$A38,案件一覧!$F$3:$F$62,"&gt;"&amp;$A38,案件一覧!$C$3:$C$62,"&lt;&gt;キャンセル")=0,"",INDEX(案件一覧!$J$3:$J$62,MATCH(1,INDEX((案件一覧!$N$3:$N$62=E$3)*(案件一覧!$E$3:$E$62&lt;=$A38)*(案件一覧!$F$3:$F$62&gt;$A38)*(案件一覧!$C$3:$C$62&lt;&gt;"キャンセル"),0),0))&amp;IF(COUNTIFS(案件一覧!$N$3:$N$62,E$3,案件一覧!$E$3:$E$62,"&lt;="&amp;$A38,案件一覧!$F$3:$F$62,"&gt;"&amp;$A38,案件一覧!$C$3:$C$62,"&lt;&gt;キャンセル")&gt;1," ◆重複!",""))</f>
        <v/>
      </c>
      <c r="F38" s="18" t="str">
        <f aca="false">IF(COUNTIFS(案件一覧!$N$3:$N$62,F$3,案件一覧!$E$3:$E$62,"&lt;="&amp;$A38,案件一覧!$F$3:$F$62,"&gt;"&amp;$A38,案件一覧!$C$3:$C$62,"&lt;&gt;キャンセル")=0,"",INDEX(案件一覧!$J$3:$J$62,MATCH(1,INDEX((案件一覧!$N$3:$N$62=F$3)*(案件一覧!$E$3:$E$62&lt;=$A38)*(案件一覧!$F$3:$F$62&gt;$A38)*(案件一覧!$C$3:$C$62&lt;&gt;"キャンセル"),0),0))&amp;IF(COUNTIFS(案件一覧!$N$3:$N$62,F$3,案件一覧!$E$3:$E$62,"&lt;="&amp;$A38,案件一覧!$F$3:$F$62,"&gt;"&amp;$A38,案件一覧!$C$3:$C$62,"&lt;&gt;キャンセル")&gt;1," ◆重複!",""))</f>
        <v/>
      </c>
      <c r="G38" s="18" t="str">
        <f aca="false">IF(COUNTIFS(案件一覧!$N$3:$N$62,G$3,案件一覧!$E$3:$E$62,"&lt;="&amp;$A38,案件一覧!$F$3:$F$62,"&gt;"&amp;$A38,案件一覧!$C$3:$C$62,"&lt;&gt;キャンセル")=0,"",INDEX(案件一覧!$J$3:$J$62,MATCH(1,INDEX((案件一覧!$N$3:$N$62=G$3)*(案件一覧!$E$3:$E$62&lt;=$A38)*(案件一覧!$F$3:$F$62&gt;$A38)*(案件一覧!$C$3:$C$62&lt;&gt;"キャンセル"),0),0))&amp;IF(COUNTIFS(案件一覧!$N$3:$N$62,G$3,案件一覧!$E$3:$E$62,"&lt;="&amp;$A38,案件一覧!$F$3:$F$62,"&gt;"&amp;$A38,案件一覧!$C$3:$C$62,"&lt;&gt;キャンセル")&gt;1," ◆重複!",""))</f>
        <v/>
      </c>
      <c r="H38" s="18" t="str">
        <f aca="false">IF(COUNTIFS(案件一覧!$N$3:$N$62,H$3,案件一覧!$E$3:$E$62,"&lt;="&amp;$A38,案件一覧!$F$3:$F$62,"&gt;"&amp;$A38,案件一覧!$C$3:$C$62,"&lt;&gt;キャンセル")=0,"",INDEX(案件一覧!$J$3:$J$62,MATCH(1,INDEX((案件一覧!$N$3:$N$62=H$3)*(案件一覧!$E$3:$E$62&lt;=$A38)*(案件一覧!$F$3:$F$62&gt;$A38)*(案件一覧!$C$3:$C$62&lt;&gt;"キャンセル"),0),0))&amp;IF(COUNTIFS(案件一覧!$N$3:$N$62,H$3,案件一覧!$E$3:$E$62,"&lt;="&amp;$A38,案件一覧!$F$3:$F$62,"&gt;"&amp;$A38,案件一覧!$C$3:$C$62,"&lt;&gt;キャンセル")&gt;1," ◆重複!",""))</f>
        <v/>
      </c>
    </row>
    <row r="39" customFormat="false" ht="15" hidden="false" customHeight="false" outlineLevel="0" collapsed="false">
      <c r="A39" s="16" t="n">
        <v>46239</v>
      </c>
      <c r="B39" s="17" t="s">
        <v>42</v>
      </c>
      <c r="C39" s="18" t="str">
        <f aca="false">IF(COUNTIFS(案件一覧!$N$3:$N$62,C$3,案件一覧!$E$3:$E$62,"&lt;="&amp;$A39,案件一覧!$F$3:$F$62,"&gt;"&amp;$A39,案件一覧!$C$3:$C$62,"&lt;&gt;キャンセル")=0,"",INDEX(案件一覧!$J$3:$J$62,MATCH(1,INDEX((案件一覧!$N$3:$N$62=C$3)*(案件一覧!$E$3:$E$62&lt;=$A39)*(案件一覧!$F$3:$F$62&gt;$A39)*(案件一覧!$C$3:$C$62&lt;&gt;"キャンセル"),0),0))&amp;IF(COUNTIFS(案件一覧!$N$3:$N$62,C$3,案件一覧!$E$3:$E$62,"&lt;="&amp;$A39,案件一覧!$F$3:$F$62,"&gt;"&amp;$A39,案件一覧!$C$3:$C$62,"&lt;&gt;キャンセル")&gt;1," ◆重複!",""))</f>
        <v/>
      </c>
      <c r="D39" s="18" t="str">
        <f aca="false">IF(COUNTIFS(案件一覧!$N$3:$N$62,D$3,案件一覧!$E$3:$E$62,"&lt;="&amp;$A39,案件一覧!$F$3:$F$62,"&gt;"&amp;$A39,案件一覧!$C$3:$C$62,"&lt;&gt;キャンセル")=0,"",INDEX(案件一覧!$J$3:$J$62,MATCH(1,INDEX((案件一覧!$N$3:$N$62=D$3)*(案件一覧!$E$3:$E$62&lt;=$A39)*(案件一覧!$F$3:$F$62&gt;$A39)*(案件一覧!$C$3:$C$62&lt;&gt;"キャンセル"),0),0))&amp;IF(COUNTIFS(案件一覧!$N$3:$N$62,D$3,案件一覧!$E$3:$E$62,"&lt;="&amp;$A39,案件一覧!$F$3:$F$62,"&gt;"&amp;$A39,案件一覧!$C$3:$C$62,"&lt;&gt;キャンセル")&gt;1," ◆重複!",""))</f>
        <v/>
      </c>
      <c r="E39" s="18" t="str">
        <f aca="false">IF(COUNTIFS(案件一覧!$N$3:$N$62,E$3,案件一覧!$E$3:$E$62,"&lt;="&amp;$A39,案件一覧!$F$3:$F$62,"&gt;"&amp;$A39,案件一覧!$C$3:$C$62,"&lt;&gt;キャンセル")=0,"",INDEX(案件一覧!$J$3:$J$62,MATCH(1,INDEX((案件一覧!$N$3:$N$62=E$3)*(案件一覧!$E$3:$E$62&lt;=$A39)*(案件一覧!$F$3:$F$62&gt;$A39)*(案件一覧!$C$3:$C$62&lt;&gt;"キャンセル"),0),0))&amp;IF(COUNTIFS(案件一覧!$N$3:$N$62,E$3,案件一覧!$E$3:$E$62,"&lt;="&amp;$A39,案件一覧!$F$3:$F$62,"&gt;"&amp;$A39,案件一覧!$C$3:$C$62,"&lt;&gt;キャンセル")&gt;1," ◆重複!",""))</f>
        <v/>
      </c>
      <c r="F39" s="18" t="str">
        <f aca="false">IF(COUNTIFS(案件一覧!$N$3:$N$62,F$3,案件一覧!$E$3:$E$62,"&lt;="&amp;$A39,案件一覧!$F$3:$F$62,"&gt;"&amp;$A39,案件一覧!$C$3:$C$62,"&lt;&gt;キャンセル")=0,"",INDEX(案件一覧!$J$3:$J$62,MATCH(1,INDEX((案件一覧!$N$3:$N$62=F$3)*(案件一覧!$E$3:$E$62&lt;=$A39)*(案件一覧!$F$3:$F$62&gt;$A39)*(案件一覧!$C$3:$C$62&lt;&gt;"キャンセル"),0),0))&amp;IF(COUNTIFS(案件一覧!$N$3:$N$62,F$3,案件一覧!$E$3:$E$62,"&lt;="&amp;$A39,案件一覧!$F$3:$F$62,"&gt;"&amp;$A39,案件一覧!$C$3:$C$62,"&lt;&gt;キャンセル")&gt;1," ◆重複!",""))</f>
        <v/>
      </c>
      <c r="G39" s="18" t="str">
        <f aca="false">IF(COUNTIFS(案件一覧!$N$3:$N$62,G$3,案件一覧!$E$3:$E$62,"&lt;="&amp;$A39,案件一覧!$F$3:$F$62,"&gt;"&amp;$A39,案件一覧!$C$3:$C$62,"&lt;&gt;キャンセル")=0,"",INDEX(案件一覧!$J$3:$J$62,MATCH(1,INDEX((案件一覧!$N$3:$N$62=G$3)*(案件一覧!$E$3:$E$62&lt;=$A39)*(案件一覧!$F$3:$F$62&gt;$A39)*(案件一覧!$C$3:$C$62&lt;&gt;"キャンセル"),0),0))&amp;IF(COUNTIFS(案件一覧!$N$3:$N$62,G$3,案件一覧!$E$3:$E$62,"&lt;="&amp;$A39,案件一覧!$F$3:$F$62,"&gt;"&amp;$A39,案件一覧!$C$3:$C$62,"&lt;&gt;キャンセル")&gt;1," ◆重複!",""))</f>
        <v/>
      </c>
      <c r="H39" s="18" t="str">
        <f aca="false">IF(COUNTIFS(案件一覧!$N$3:$N$62,H$3,案件一覧!$E$3:$E$62,"&lt;="&amp;$A39,案件一覧!$F$3:$F$62,"&gt;"&amp;$A39,案件一覧!$C$3:$C$62,"&lt;&gt;キャンセル")=0,"",INDEX(案件一覧!$J$3:$J$62,MATCH(1,INDEX((案件一覧!$N$3:$N$62=H$3)*(案件一覧!$E$3:$E$62&lt;=$A39)*(案件一覧!$F$3:$F$62&gt;$A39)*(案件一覧!$C$3:$C$62&lt;&gt;"キャンセル"),0),0))&amp;IF(COUNTIFS(案件一覧!$N$3:$N$62,H$3,案件一覧!$E$3:$E$62,"&lt;="&amp;$A39,案件一覧!$F$3:$F$62,"&gt;"&amp;$A39,案件一覧!$C$3:$C$62,"&lt;&gt;キャンセル")&gt;1," ◆重複!",""))</f>
        <v/>
      </c>
    </row>
    <row r="40" customFormat="false" ht="15" hidden="false" customHeight="false" outlineLevel="0" collapsed="false">
      <c r="A40" s="16" t="n">
        <v>46240</v>
      </c>
      <c r="B40" s="17" t="s">
        <v>43</v>
      </c>
      <c r="C40" s="18" t="str">
        <f aca="false">IF(COUNTIFS(案件一覧!$N$3:$N$62,C$3,案件一覧!$E$3:$E$62,"&lt;="&amp;$A40,案件一覧!$F$3:$F$62,"&gt;"&amp;$A40,案件一覧!$C$3:$C$62,"&lt;&gt;キャンセル")=0,"",INDEX(案件一覧!$J$3:$J$62,MATCH(1,INDEX((案件一覧!$N$3:$N$62=C$3)*(案件一覧!$E$3:$E$62&lt;=$A40)*(案件一覧!$F$3:$F$62&gt;$A40)*(案件一覧!$C$3:$C$62&lt;&gt;"キャンセル"),0),0))&amp;IF(COUNTIFS(案件一覧!$N$3:$N$62,C$3,案件一覧!$E$3:$E$62,"&lt;="&amp;$A40,案件一覧!$F$3:$F$62,"&gt;"&amp;$A40,案件一覧!$C$3:$C$62,"&lt;&gt;キャンセル")&gt;1," ◆重複!",""))</f>
        <v/>
      </c>
      <c r="D40" s="18" t="str">
        <f aca="false">IF(COUNTIFS(案件一覧!$N$3:$N$62,D$3,案件一覧!$E$3:$E$62,"&lt;="&amp;$A40,案件一覧!$F$3:$F$62,"&gt;"&amp;$A40,案件一覧!$C$3:$C$62,"&lt;&gt;キャンセル")=0,"",INDEX(案件一覧!$J$3:$J$62,MATCH(1,INDEX((案件一覧!$N$3:$N$62=D$3)*(案件一覧!$E$3:$E$62&lt;=$A40)*(案件一覧!$F$3:$F$62&gt;$A40)*(案件一覧!$C$3:$C$62&lt;&gt;"キャンセル"),0),0))&amp;IF(COUNTIFS(案件一覧!$N$3:$N$62,D$3,案件一覧!$E$3:$E$62,"&lt;="&amp;$A40,案件一覧!$F$3:$F$62,"&gt;"&amp;$A40,案件一覧!$C$3:$C$62,"&lt;&gt;キャンセル")&gt;1," ◆重複!",""))</f>
        <v/>
      </c>
      <c r="E40" s="18" t="str">
        <f aca="false">IF(COUNTIFS(案件一覧!$N$3:$N$62,E$3,案件一覧!$E$3:$E$62,"&lt;="&amp;$A40,案件一覧!$F$3:$F$62,"&gt;"&amp;$A40,案件一覧!$C$3:$C$62,"&lt;&gt;キャンセル")=0,"",INDEX(案件一覧!$J$3:$J$62,MATCH(1,INDEX((案件一覧!$N$3:$N$62=E$3)*(案件一覧!$E$3:$E$62&lt;=$A40)*(案件一覧!$F$3:$F$62&gt;$A40)*(案件一覧!$C$3:$C$62&lt;&gt;"キャンセル"),0),0))&amp;IF(COUNTIFS(案件一覧!$N$3:$N$62,E$3,案件一覧!$E$3:$E$62,"&lt;="&amp;$A40,案件一覧!$F$3:$F$62,"&gt;"&amp;$A40,案件一覧!$C$3:$C$62,"&lt;&gt;キャンセル")&gt;1," ◆重複!",""))</f>
        <v/>
      </c>
      <c r="F40" s="18" t="str">
        <f aca="false">IF(COUNTIFS(案件一覧!$N$3:$N$62,F$3,案件一覧!$E$3:$E$62,"&lt;="&amp;$A40,案件一覧!$F$3:$F$62,"&gt;"&amp;$A40,案件一覧!$C$3:$C$62,"&lt;&gt;キャンセル")=0,"",INDEX(案件一覧!$J$3:$J$62,MATCH(1,INDEX((案件一覧!$N$3:$N$62=F$3)*(案件一覧!$E$3:$E$62&lt;=$A40)*(案件一覧!$F$3:$F$62&gt;$A40)*(案件一覧!$C$3:$C$62&lt;&gt;"キャンセル"),0),0))&amp;IF(COUNTIFS(案件一覧!$N$3:$N$62,F$3,案件一覧!$E$3:$E$62,"&lt;="&amp;$A40,案件一覧!$F$3:$F$62,"&gt;"&amp;$A40,案件一覧!$C$3:$C$62,"&lt;&gt;キャンセル")&gt;1," ◆重複!",""))</f>
        <v/>
      </c>
      <c r="G40" s="18" t="str">
        <f aca="false">IF(COUNTIFS(案件一覧!$N$3:$N$62,G$3,案件一覧!$E$3:$E$62,"&lt;="&amp;$A40,案件一覧!$F$3:$F$62,"&gt;"&amp;$A40,案件一覧!$C$3:$C$62,"&lt;&gt;キャンセル")=0,"",INDEX(案件一覧!$J$3:$J$62,MATCH(1,INDEX((案件一覧!$N$3:$N$62=G$3)*(案件一覧!$E$3:$E$62&lt;=$A40)*(案件一覧!$F$3:$F$62&gt;$A40)*(案件一覧!$C$3:$C$62&lt;&gt;"キャンセル"),0),0))&amp;IF(COUNTIFS(案件一覧!$N$3:$N$62,G$3,案件一覧!$E$3:$E$62,"&lt;="&amp;$A40,案件一覧!$F$3:$F$62,"&gt;"&amp;$A40,案件一覧!$C$3:$C$62,"&lt;&gt;キャンセル")&gt;1," ◆重複!",""))</f>
        <v/>
      </c>
      <c r="H40" s="18" t="str">
        <f aca="false">IF(COUNTIFS(案件一覧!$N$3:$N$62,H$3,案件一覧!$E$3:$E$62,"&lt;="&amp;$A40,案件一覧!$F$3:$F$62,"&gt;"&amp;$A40,案件一覧!$C$3:$C$62,"&lt;&gt;キャンセル")=0,"",INDEX(案件一覧!$J$3:$J$62,MATCH(1,INDEX((案件一覧!$N$3:$N$62=H$3)*(案件一覧!$E$3:$E$62&lt;=$A40)*(案件一覧!$F$3:$F$62&gt;$A40)*(案件一覧!$C$3:$C$62&lt;&gt;"キャンセル"),0),0))&amp;IF(COUNTIFS(案件一覧!$N$3:$N$62,H$3,案件一覧!$E$3:$E$62,"&lt;="&amp;$A40,案件一覧!$F$3:$F$62,"&gt;"&amp;$A40,案件一覧!$C$3:$C$62,"&lt;&gt;キャンセル")&gt;1," ◆重複!",""))</f>
        <v/>
      </c>
    </row>
    <row r="41" customFormat="false" ht="15" hidden="false" customHeight="false" outlineLevel="0" collapsed="false">
      <c r="A41" s="16" t="n">
        <v>46241</v>
      </c>
      <c r="B41" s="17" t="s">
        <v>44</v>
      </c>
      <c r="C41" s="18" t="str">
        <f aca="false">IF(COUNTIFS(案件一覧!$N$3:$N$62,C$3,案件一覧!$E$3:$E$62,"&lt;="&amp;$A41,案件一覧!$F$3:$F$62,"&gt;"&amp;$A41,案件一覧!$C$3:$C$62,"&lt;&gt;キャンセル")=0,"",INDEX(案件一覧!$J$3:$J$62,MATCH(1,INDEX((案件一覧!$N$3:$N$62=C$3)*(案件一覧!$E$3:$E$62&lt;=$A41)*(案件一覧!$F$3:$F$62&gt;$A41)*(案件一覧!$C$3:$C$62&lt;&gt;"キャンセル"),0),0))&amp;IF(COUNTIFS(案件一覧!$N$3:$N$62,C$3,案件一覧!$E$3:$E$62,"&lt;="&amp;$A41,案件一覧!$F$3:$F$62,"&gt;"&amp;$A41,案件一覧!$C$3:$C$62,"&lt;&gt;キャンセル")&gt;1," ◆重複!",""))</f>
        <v/>
      </c>
      <c r="D41" s="18" t="str">
        <f aca="false">IF(COUNTIFS(案件一覧!$N$3:$N$62,D$3,案件一覧!$E$3:$E$62,"&lt;="&amp;$A41,案件一覧!$F$3:$F$62,"&gt;"&amp;$A41,案件一覧!$C$3:$C$62,"&lt;&gt;キャンセル")=0,"",INDEX(案件一覧!$J$3:$J$62,MATCH(1,INDEX((案件一覧!$N$3:$N$62=D$3)*(案件一覧!$E$3:$E$62&lt;=$A41)*(案件一覧!$F$3:$F$62&gt;$A41)*(案件一覧!$C$3:$C$62&lt;&gt;"キャンセル"),0),0))&amp;IF(COUNTIFS(案件一覧!$N$3:$N$62,D$3,案件一覧!$E$3:$E$62,"&lt;="&amp;$A41,案件一覧!$F$3:$F$62,"&gt;"&amp;$A41,案件一覧!$C$3:$C$62,"&lt;&gt;キャンセル")&gt;1," ◆重複!",""))</f>
        <v/>
      </c>
      <c r="E41" s="18" t="str">
        <f aca="false">IF(COUNTIFS(案件一覧!$N$3:$N$62,E$3,案件一覧!$E$3:$E$62,"&lt;="&amp;$A41,案件一覧!$F$3:$F$62,"&gt;"&amp;$A41,案件一覧!$C$3:$C$62,"&lt;&gt;キャンセル")=0,"",INDEX(案件一覧!$J$3:$J$62,MATCH(1,INDEX((案件一覧!$N$3:$N$62=E$3)*(案件一覧!$E$3:$E$62&lt;=$A41)*(案件一覧!$F$3:$F$62&gt;$A41)*(案件一覧!$C$3:$C$62&lt;&gt;"キャンセル"),0),0))&amp;IF(COUNTIFS(案件一覧!$N$3:$N$62,E$3,案件一覧!$E$3:$E$62,"&lt;="&amp;$A41,案件一覧!$F$3:$F$62,"&gt;"&amp;$A41,案件一覧!$C$3:$C$62,"&lt;&gt;キャンセル")&gt;1," ◆重複!",""))</f>
        <v/>
      </c>
      <c r="F41" s="18" t="str">
        <f aca="false">IF(COUNTIFS(案件一覧!$N$3:$N$62,F$3,案件一覧!$E$3:$E$62,"&lt;="&amp;$A41,案件一覧!$F$3:$F$62,"&gt;"&amp;$A41,案件一覧!$C$3:$C$62,"&lt;&gt;キャンセル")=0,"",INDEX(案件一覧!$J$3:$J$62,MATCH(1,INDEX((案件一覧!$N$3:$N$62=F$3)*(案件一覧!$E$3:$E$62&lt;=$A41)*(案件一覧!$F$3:$F$62&gt;$A41)*(案件一覧!$C$3:$C$62&lt;&gt;"キャンセル"),0),0))&amp;IF(COUNTIFS(案件一覧!$N$3:$N$62,F$3,案件一覧!$E$3:$E$62,"&lt;="&amp;$A41,案件一覧!$F$3:$F$62,"&gt;"&amp;$A41,案件一覧!$C$3:$C$62,"&lt;&gt;キャンセル")&gt;1," ◆重複!",""))</f>
        <v/>
      </c>
      <c r="G41" s="18" t="str">
        <f aca="false">IF(COUNTIFS(案件一覧!$N$3:$N$62,G$3,案件一覧!$E$3:$E$62,"&lt;="&amp;$A41,案件一覧!$F$3:$F$62,"&gt;"&amp;$A41,案件一覧!$C$3:$C$62,"&lt;&gt;キャンセル")=0,"",INDEX(案件一覧!$J$3:$J$62,MATCH(1,INDEX((案件一覧!$N$3:$N$62=G$3)*(案件一覧!$E$3:$E$62&lt;=$A41)*(案件一覧!$F$3:$F$62&gt;$A41)*(案件一覧!$C$3:$C$62&lt;&gt;"キャンセル"),0),0))&amp;IF(COUNTIFS(案件一覧!$N$3:$N$62,G$3,案件一覧!$E$3:$E$62,"&lt;="&amp;$A41,案件一覧!$F$3:$F$62,"&gt;"&amp;$A41,案件一覧!$C$3:$C$62,"&lt;&gt;キャンセル")&gt;1," ◆重複!",""))</f>
        <v/>
      </c>
      <c r="H41" s="18" t="str">
        <f aca="false">IF(COUNTIFS(案件一覧!$N$3:$N$62,H$3,案件一覧!$E$3:$E$62,"&lt;="&amp;$A41,案件一覧!$F$3:$F$62,"&gt;"&amp;$A41,案件一覧!$C$3:$C$62,"&lt;&gt;キャンセル")=0,"",INDEX(案件一覧!$J$3:$J$62,MATCH(1,INDEX((案件一覧!$N$3:$N$62=H$3)*(案件一覧!$E$3:$E$62&lt;=$A41)*(案件一覧!$F$3:$F$62&gt;$A41)*(案件一覧!$C$3:$C$62&lt;&gt;"キャンセル"),0),0))&amp;IF(COUNTIFS(案件一覧!$N$3:$N$62,H$3,案件一覧!$E$3:$E$62,"&lt;="&amp;$A41,案件一覧!$F$3:$F$62,"&gt;"&amp;$A41,案件一覧!$C$3:$C$62,"&lt;&gt;キャンセル")&gt;1," ◆重複!",""))</f>
        <v/>
      </c>
    </row>
    <row r="42" customFormat="false" ht="15" hidden="false" customHeight="false" outlineLevel="0" collapsed="false">
      <c r="A42" s="19" t="n">
        <v>46242</v>
      </c>
      <c r="B42" s="20" t="s">
        <v>45</v>
      </c>
      <c r="C42" s="21" t="str">
        <f aca="false">IF(COUNTIFS(案件一覧!$N$3:$N$62,C$3,案件一覧!$E$3:$E$62,"&lt;="&amp;$A42,案件一覧!$F$3:$F$62,"&gt;"&amp;$A42,案件一覧!$C$3:$C$62,"&lt;&gt;キャンセル")=0,"",INDEX(案件一覧!$J$3:$J$62,MATCH(1,INDEX((案件一覧!$N$3:$N$62=C$3)*(案件一覧!$E$3:$E$62&lt;=$A42)*(案件一覧!$F$3:$F$62&gt;$A42)*(案件一覧!$C$3:$C$62&lt;&gt;"キャンセル"),0),0))&amp;IF(COUNTIFS(案件一覧!$N$3:$N$62,C$3,案件一覧!$E$3:$E$62,"&lt;="&amp;$A42,案件一覧!$F$3:$F$62,"&gt;"&amp;$A42,案件一覧!$C$3:$C$62,"&lt;&gt;キャンセル")&gt;1," ◆重複!",""))</f>
        <v/>
      </c>
      <c r="D42" s="21" t="str">
        <f aca="false">IF(COUNTIFS(案件一覧!$N$3:$N$62,D$3,案件一覧!$E$3:$E$62,"&lt;="&amp;$A42,案件一覧!$F$3:$F$62,"&gt;"&amp;$A42,案件一覧!$C$3:$C$62,"&lt;&gt;キャンセル")=0,"",INDEX(案件一覧!$J$3:$J$62,MATCH(1,INDEX((案件一覧!$N$3:$N$62=D$3)*(案件一覧!$E$3:$E$62&lt;=$A42)*(案件一覧!$F$3:$F$62&gt;$A42)*(案件一覧!$C$3:$C$62&lt;&gt;"キャンセル"),0),0))&amp;IF(COUNTIFS(案件一覧!$N$3:$N$62,D$3,案件一覧!$E$3:$E$62,"&lt;="&amp;$A42,案件一覧!$F$3:$F$62,"&gt;"&amp;$A42,案件一覧!$C$3:$C$62,"&lt;&gt;キャンセル")&gt;1," ◆重複!",""))</f>
        <v/>
      </c>
      <c r="E42" s="21" t="str">
        <f aca="false">IF(COUNTIFS(案件一覧!$N$3:$N$62,E$3,案件一覧!$E$3:$E$62,"&lt;="&amp;$A42,案件一覧!$F$3:$F$62,"&gt;"&amp;$A42,案件一覧!$C$3:$C$62,"&lt;&gt;キャンセル")=0,"",INDEX(案件一覧!$J$3:$J$62,MATCH(1,INDEX((案件一覧!$N$3:$N$62=E$3)*(案件一覧!$E$3:$E$62&lt;=$A42)*(案件一覧!$F$3:$F$62&gt;$A42)*(案件一覧!$C$3:$C$62&lt;&gt;"キャンセル"),0),0))&amp;IF(COUNTIFS(案件一覧!$N$3:$N$62,E$3,案件一覧!$E$3:$E$62,"&lt;="&amp;$A42,案件一覧!$F$3:$F$62,"&gt;"&amp;$A42,案件一覧!$C$3:$C$62,"&lt;&gt;キャンセル")&gt;1," ◆重複!",""))</f>
        <v/>
      </c>
      <c r="F42" s="21" t="str">
        <f aca="false">IF(COUNTIFS(案件一覧!$N$3:$N$62,F$3,案件一覧!$E$3:$E$62,"&lt;="&amp;$A42,案件一覧!$F$3:$F$62,"&gt;"&amp;$A42,案件一覧!$C$3:$C$62,"&lt;&gt;キャンセル")=0,"",INDEX(案件一覧!$J$3:$J$62,MATCH(1,INDEX((案件一覧!$N$3:$N$62=F$3)*(案件一覧!$E$3:$E$62&lt;=$A42)*(案件一覧!$F$3:$F$62&gt;$A42)*(案件一覧!$C$3:$C$62&lt;&gt;"キャンセル"),0),0))&amp;IF(COUNTIFS(案件一覧!$N$3:$N$62,F$3,案件一覧!$E$3:$E$62,"&lt;="&amp;$A42,案件一覧!$F$3:$F$62,"&gt;"&amp;$A42,案件一覧!$C$3:$C$62,"&lt;&gt;キャンセル")&gt;1," ◆重複!",""))</f>
        <v/>
      </c>
      <c r="G42" s="21" t="str">
        <f aca="false">IF(COUNTIFS(案件一覧!$N$3:$N$62,G$3,案件一覧!$E$3:$E$62,"&lt;="&amp;$A42,案件一覧!$F$3:$F$62,"&gt;"&amp;$A42,案件一覧!$C$3:$C$62,"&lt;&gt;キャンセル")=0,"",INDEX(案件一覧!$J$3:$J$62,MATCH(1,INDEX((案件一覧!$N$3:$N$62=G$3)*(案件一覧!$E$3:$E$62&lt;=$A42)*(案件一覧!$F$3:$F$62&gt;$A42)*(案件一覧!$C$3:$C$62&lt;&gt;"キャンセル"),0),0))&amp;IF(COUNTIFS(案件一覧!$N$3:$N$62,G$3,案件一覧!$E$3:$E$62,"&lt;="&amp;$A42,案件一覧!$F$3:$F$62,"&gt;"&amp;$A42,案件一覧!$C$3:$C$62,"&lt;&gt;キャンセル")&gt;1," ◆重複!",""))</f>
        <v/>
      </c>
      <c r="H42" s="21" t="str">
        <f aca="false">IF(COUNTIFS(案件一覧!$N$3:$N$62,H$3,案件一覧!$E$3:$E$62,"&lt;="&amp;$A42,案件一覧!$F$3:$F$62,"&gt;"&amp;$A42,案件一覧!$C$3:$C$62,"&lt;&gt;キャンセル")=0,"",INDEX(案件一覧!$J$3:$J$62,MATCH(1,INDEX((案件一覧!$N$3:$N$62=H$3)*(案件一覧!$E$3:$E$62&lt;=$A42)*(案件一覧!$F$3:$F$62&gt;$A42)*(案件一覧!$C$3:$C$62&lt;&gt;"キャンセル"),0),0))&amp;IF(COUNTIFS(案件一覧!$N$3:$N$62,H$3,案件一覧!$E$3:$E$62,"&lt;="&amp;$A42,案件一覧!$F$3:$F$62,"&gt;"&amp;$A42,案件一覧!$C$3:$C$62,"&lt;&gt;キャンセル")&gt;1," ◆重複!",""))</f>
        <v/>
      </c>
    </row>
    <row r="43" customFormat="false" ht="15" hidden="false" customHeight="false" outlineLevel="0" collapsed="false">
      <c r="A43" s="22" t="n">
        <v>46243</v>
      </c>
      <c r="B43" s="23" t="s">
        <v>46</v>
      </c>
      <c r="C43" s="24" t="str">
        <f aca="false">IF(COUNTIFS(案件一覧!$N$3:$N$62,C$3,案件一覧!$E$3:$E$62,"&lt;="&amp;$A43,案件一覧!$F$3:$F$62,"&gt;"&amp;$A43,案件一覧!$C$3:$C$62,"&lt;&gt;キャンセル")=0,"",INDEX(案件一覧!$J$3:$J$62,MATCH(1,INDEX((案件一覧!$N$3:$N$62=C$3)*(案件一覧!$E$3:$E$62&lt;=$A43)*(案件一覧!$F$3:$F$62&gt;$A43)*(案件一覧!$C$3:$C$62&lt;&gt;"キャンセル"),0),0))&amp;IF(COUNTIFS(案件一覧!$N$3:$N$62,C$3,案件一覧!$E$3:$E$62,"&lt;="&amp;$A43,案件一覧!$F$3:$F$62,"&gt;"&amp;$A43,案件一覧!$C$3:$C$62,"&lt;&gt;キャンセル")&gt;1," ◆重複!",""))</f>
        <v/>
      </c>
      <c r="D43" s="24" t="str">
        <f aca="false">IF(COUNTIFS(案件一覧!$N$3:$N$62,D$3,案件一覧!$E$3:$E$62,"&lt;="&amp;$A43,案件一覧!$F$3:$F$62,"&gt;"&amp;$A43,案件一覧!$C$3:$C$62,"&lt;&gt;キャンセル")=0,"",INDEX(案件一覧!$J$3:$J$62,MATCH(1,INDEX((案件一覧!$N$3:$N$62=D$3)*(案件一覧!$E$3:$E$62&lt;=$A43)*(案件一覧!$F$3:$F$62&gt;$A43)*(案件一覧!$C$3:$C$62&lt;&gt;"キャンセル"),0),0))&amp;IF(COUNTIFS(案件一覧!$N$3:$N$62,D$3,案件一覧!$E$3:$E$62,"&lt;="&amp;$A43,案件一覧!$F$3:$F$62,"&gt;"&amp;$A43,案件一覧!$C$3:$C$62,"&lt;&gt;キャンセル")&gt;1," ◆重複!",""))</f>
        <v/>
      </c>
      <c r="E43" s="24" t="str">
        <f aca="false">IF(COUNTIFS(案件一覧!$N$3:$N$62,E$3,案件一覧!$E$3:$E$62,"&lt;="&amp;$A43,案件一覧!$F$3:$F$62,"&gt;"&amp;$A43,案件一覧!$C$3:$C$62,"&lt;&gt;キャンセル")=0,"",INDEX(案件一覧!$J$3:$J$62,MATCH(1,INDEX((案件一覧!$N$3:$N$62=E$3)*(案件一覧!$E$3:$E$62&lt;=$A43)*(案件一覧!$F$3:$F$62&gt;$A43)*(案件一覧!$C$3:$C$62&lt;&gt;"キャンセル"),0),0))&amp;IF(COUNTIFS(案件一覧!$N$3:$N$62,E$3,案件一覧!$E$3:$E$62,"&lt;="&amp;$A43,案件一覧!$F$3:$F$62,"&gt;"&amp;$A43,案件一覧!$C$3:$C$62,"&lt;&gt;キャンセル")&gt;1," ◆重複!",""))</f>
        <v/>
      </c>
      <c r="F43" s="24" t="str">
        <f aca="false">IF(COUNTIFS(案件一覧!$N$3:$N$62,F$3,案件一覧!$E$3:$E$62,"&lt;="&amp;$A43,案件一覧!$F$3:$F$62,"&gt;"&amp;$A43,案件一覧!$C$3:$C$62,"&lt;&gt;キャンセル")=0,"",INDEX(案件一覧!$J$3:$J$62,MATCH(1,INDEX((案件一覧!$N$3:$N$62=F$3)*(案件一覧!$E$3:$E$62&lt;=$A43)*(案件一覧!$F$3:$F$62&gt;$A43)*(案件一覧!$C$3:$C$62&lt;&gt;"キャンセル"),0),0))&amp;IF(COUNTIFS(案件一覧!$N$3:$N$62,F$3,案件一覧!$E$3:$E$62,"&lt;="&amp;$A43,案件一覧!$F$3:$F$62,"&gt;"&amp;$A43,案件一覧!$C$3:$C$62,"&lt;&gt;キャンセル")&gt;1," ◆重複!",""))</f>
        <v/>
      </c>
      <c r="G43" s="24" t="str">
        <f aca="false">IF(COUNTIFS(案件一覧!$N$3:$N$62,G$3,案件一覧!$E$3:$E$62,"&lt;="&amp;$A43,案件一覧!$F$3:$F$62,"&gt;"&amp;$A43,案件一覧!$C$3:$C$62,"&lt;&gt;キャンセル")=0,"",INDEX(案件一覧!$J$3:$J$62,MATCH(1,INDEX((案件一覧!$N$3:$N$62=G$3)*(案件一覧!$E$3:$E$62&lt;=$A43)*(案件一覧!$F$3:$F$62&gt;$A43)*(案件一覧!$C$3:$C$62&lt;&gt;"キャンセル"),0),0))&amp;IF(COUNTIFS(案件一覧!$N$3:$N$62,G$3,案件一覧!$E$3:$E$62,"&lt;="&amp;$A43,案件一覧!$F$3:$F$62,"&gt;"&amp;$A43,案件一覧!$C$3:$C$62,"&lt;&gt;キャンセル")&gt;1," ◆重複!",""))</f>
        <v/>
      </c>
      <c r="H43" s="24" t="str">
        <f aca="false">IF(COUNTIFS(案件一覧!$N$3:$N$62,H$3,案件一覧!$E$3:$E$62,"&lt;="&amp;$A43,案件一覧!$F$3:$F$62,"&gt;"&amp;$A43,案件一覧!$C$3:$C$62,"&lt;&gt;キャンセル")=0,"",INDEX(案件一覧!$J$3:$J$62,MATCH(1,INDEX((案件一覧!$N$3:$N$62=H$3)*(案件一覧!$E$3:$E$62&lt;=$A43)*(案件一覧!$F$3:$F$62&gt;$A43)*(案件一覧!$C$3:$C$62&lt;&gt;"キャンセル"),0),0))&amp;IF(COUNTIFS(案件一覧!$N$3:$N$62,H$3,案件一覧!$E$3:$E$62,"&lt;="&amp;$A43,案件一覧!$F$3:$F$62,"&gt;"&amp;$A43,案件一覧!$C$3:$C$62,"&lt;&gt;キャンセル")&gt;1," ◆重複!",""))</f>
        <v/>
      </c>
    </row>
    <row r="44" customFormat="false" ht="15" hidden="false" customHeight="false" outlineLevel="0" collapsed="false">
      <c r="A44" s="16" t="n">
        <v>46244</v>
      </c>
      <c r="B44" s="17" t="s">
        <v>47</v>
      </c>
      <c r="C44" s="18" t="str">
        <f aca="false">IF(COUNTIFS(案件一覧!$N$3:$N$62,C$3,案件一覧!$E$3:$E$62,"&lt;="&amp;$A44,案件一覧!$F$3:$F$62,"&gt;"&amp;$A44,案件一覧!$C$3:$C$62,"&lt;&gt;キャンセル")=0,"",INDEX(案件一覧!$J$3:$J$62,MATCH(1,INDEX((案件一覧!$N$3:$N$62=C$3)*(案件一覧!$E$3:$E$62&lt;=$A44)*(案件一覧!$F$3:$F$62&gt;$A44)*(案件一覧!$C$3:$C$62&lt;&gt;"キャンセル"),0),0))&amp;IF(COUNTIFS(案件一覧!$N$3:$N$62,C$3,案件一覧!$E$3:$E$62,"&lt;="&amp;$A44,案件一覧!$F$3:$F$62,"&gt;"&amp;$A44,案件一覧!$C$3:$C$62,"&lt;&gt;キャンセル")&gt;1," ◆重複!",""))</f>
        <v/>
      </c>
      <c r="D44" s="18" t="str">
        <f aca="false">IF(COUNTIFS(案件一覧!$N$3:$N$62,D$3,案件一覧!$E$3:$E$62,"&lt;="&amp;$A44,案件一覧!$F$3:$F$62,"&gt;"&amp;$A44,案件一覧!$C$3:$C$62,"&lt;&gt;キャンセル")=0,"",INDEX(案件一覧!$J$3:$J$62,MATCH(1,INDEX((案件一覧!$N$3:$N$62=D$3)*(案件一覧!$E$3:$E$62&lt;=$A44)*(案件一覧!$F$3:$F$62&gt;$A44)*(案件一覧!$C$3:$C$62&lt;&gt;"キャンセル"),0),0))&amp;IF(COUNTIFS(案件一覧!$N$3:$N$62,D$3,案件一覧!$E$3:$E$62,"&lt;="&amp;$A44,案件一覧!$F$3:$F$62,"&gt;"&amp;$A44,案件一覧!$C$3:$C$62,"&lt;&gt;キャンセル")&gt;1," ◆重複!",""))</f>
        <v/>
      </c>
      <c r="E44" s="18" t="str">
        <f aca="false">IF(COUNTIFS(案件一覧!$N$3:$N$62,E$3,案件一覧!$E$3:$E$62,"&lt;="&amp;$A44,案件一覧!$F$3:$F$62,"&gt;"&amp;$A44,案件一覧!$C$3:$C$62,"&lt;&gt;キャンセル")=0,"",INDEX(案件一覧!$J$3:$J$62,MATCH(1,INDEX((案件一覧!$N$3:$N$62=E$3)*(案件一覧!$E$3:$E$62&lt;=$A44)*(案件一覧!$F$3:$F$62&gt;$A44)*(案件一覧!$C$3:$C$62&lt;&gt;"キャンセル"),0),0))&amp;IF(COUNTIFS(案件一覧!$N$3:$N$62,E$3,案件一覧!$E$3:$E$62,"&lt;="&amp;$A44,案件一覧!$F$3:$F$62,"&gt;"&amp;$A44,案件一覧!$C$3:$C$62,"&lt;&gt;キャンセル")&gt;1," ◆重複!",""))</f>
        <v/>
      </c>
      <c r="F44" s="18" t="str">
        <f aca="false">IF(COUNTIFS(案件一覧!$N$3:$N$62,F$3,案件一覧!$E$3:$E$62,"&lt;="&amp;$A44,案件一覧!$F$3:$F$62,"&gt;"&amp;$A44,案件一覧!$C$3:$C$62,"&lt;&gt;キャンセル")=0,"",INDEX(案件一覧!$J$3:$J$62,MATCH(1,INDEX((案件一覧!$N$3:$N$62=F$3)*(案件一覧!$E$3:$E$62&lt;=$A44)*(案件一覧!$F$3:$F$62&gt;$A44)*(案件一覧!$C$3:$C$62&lt;&gt;"キャンセル"),0),0))&amp;IF(COUNTIFS(案件一覧!$N$3:$N$62,F$3,案件一覧!$E$3:$E$62,"&lt;="&amp;$A44,案件一覧!$F$3:$F$62,"&gt;"&amp;$A44,案件一覧!$C$3:$C$62,"&lt;&gt;キャンセル")&gt;1," ◆重複!",""))</f>
        <v/>
      </c>
      <c r="G44" s="18" t="str">
        <f aca="false">IF(COUNTIFS(案件一覧!$N$3:$N$62,G$3,案件一覧!$E$3:$E$62,"&lt;="&amp;$A44,案件一覧!$F$3:$F$62,"&gt;"&amp;$A44,案件一覧!$C$3:$C$62,"&lt;&gt;キャンセル")=0,"",INDEX(案件一覧!$J$3:$J$62,MATCH(1,INDEX((案件一覧!$N$3:$N$62=G$3)*(案件一覧!$E$3:$E$62&lt;=$A44)*(案件一覧!$F$3:$F$62&gt;$A44)*(案件一覧!$C$3:$C$62&lt;&gt;"キャンセル"),0),0))&amp;IF(COUNTIFS(案件一覧!$N$3:$N$62,G$3,案件一覧!$E$3:$E$62,"&lt;="&amp;$A44,案件一覧!$F$3:$F$62,"&gt;"&amp;$A44,案件一覧!$C$3:$C$62,"&lt;&gt;キャンセル")&gt;1," ◆重複!",""))</f>
        <v/>
      </c>
      <c r="H44" s="18" t="str">
        <f aca="false">IF(COUNTIFS(案件一覧!$N$3:$N$62,H$3,案件一覧!$E$3:$E$62,"&lt;="&amp;$A44,案件一覧!$F$3:$F$62,"&gt;"&amp;$A44,案件一覧!$C$3:$C$62,"&lt;&gt;キャンセル")=0,"",INDEX(案件一覧!$J$3:$J$62,MATCH(1,INDEX((案件一覧!$N$3:$N$62=H$3)*(案件一覧!$E$3:$E$62&lt;=$A44)*(案件一覧!$F$3:$F$62&gt;$A44)*(案件一覧!$C$3:$C$62&lt;&gt;"キャンセル"),0),0))&amp;IF(COUNTIFS(案件一覧!$N$3:$N$62,H$3,案件一覧!$E$3:$E$62,"&lt;="&amp;$A44,案件一覧!$F$3:$F$62,"&gt;"&amp;$A44,案件一覧!$C$3:$C$62,"&lt;&gt;キャンセル")&gt;1," ◆重複!",""))</f>
        <v/>
      </c>
    </row>
    <row r="45" customFormat="false" ht="15" hidden="false" customHeight="false" outlineLevel="0" collapsed="false">
      <c r="A45" s="16" t="n">
        <v>46245</v>
      </c>
      <c r="B45" s="17" t="s">
        <v>48</v>
      </c>
      <c r="C45" s="18" t="str">
        <f aca="false">IF(COUNTIFS(案件一覧!$N$3:$N$62,C$3,案件一覧!$E$3:$E$62,"&lt;="&amp;$A45,案件一覧!$F$3:$F$62,"&gt;"&amp;$A45,案件一覧!$C$3:$C$62,"&lt;&gt;キャンセル")=0,"",INDEX(案件一覧!$J$3:$J$62,MATCH(1,INDEX((案件一覧!$N$3:$N$62=C$3)*(案件一覧!$E$3:$E$62&lt;=$A45)*(案件一覧!$F$3:$F$62&gt;$A45)*(案件一覧!$C$3:$C$62&lt;&gt;"キャンセル"),0),0))&amp;IF(COUNTIFS(案件一覧!$N$3:$N$62,C$3,案件一覧!$E$3:$E$62,"&lt;="&amp;$A45,案件一覧!$F$3:$F$62,"&gt;"&amp;$A45,案件一覧!$C$3:$C$62,"&lt;&gt;キャンセル")&gt;1," ◆重複!",""))</f>
        <v/>
      </c>
      <c r="D45" s="18" t="str">
        <f aca="false">IF(COUNTIFS(案件一覧!$N$3:$N$62,D$3,案件一覧!$E$3:$E$62,"&lt;="&amp;$A45,案件一覧!$F$3:$F$62,"&gt;"&amp;$A45,案件一覧!$C$3:$C$62,"&lt;&gt;キャンセル")=0,"",INDEX(案件一覧!$J$3:$J$62,MATCH(1,INDEX((案件一覧!$N$3:$N$62=D$3)*(案件一覧!$E$3:$E$62&lt;=$A45)*(案件一覧!$F$3:$F$62&gt;$A45)*(案件一覧!$C$3:$C$62&lt;&gt;"キャンセル"),0),0))&amp;IF(COUNTIFS(案件一覧!$N$3:$N$62,D$3,案件一覧!$E$3:$E$62,"&lt;="&amp;$A45,案件一覧!$F$3:$F$62,"&gt;"&amp;$A45,案件一覧!$C$3:$C$62,"&lt;&gt;キャンセル")&gt;1," ◆重複!",""))</f>
        <v/>
      </c>
      <c r="E45" s="18" t="str">
        <f aca="false">IF(COUNTIFS(案件一覧!$N$3:$N$62,E$3,案件一覧!$E$3:$E$62,"&lt;="&amp;$A45,案件一覧!$F$3:$F$62,"&gt;"&amp;$A45,案件一覧!$C$3:$C$62,"&lt;&gt;キャンセル")=0,"",INDEX(案件一覧!$J$3:$J$62,MATCH(1,INDEX((案件一覧!$N$3:$N$62=E$3)*(案件一覧!$E$3:$E$62&lt;=$A45)*(案件一覧!$F$3:$F$62&gt;$A45)*(案件一覧!$C$3:$C$62&lt;&gt;"キャンセル"),0),0))&amp;IF(COUNTIFS(案件一覧!$N$3:$N$62,E$3,案件一覧!$E$3:$E$62,"&lt;="&amp;$A45,案件一覧!$F$3:$F$62,"&gt;"&amp;$A45,案件一覧!$C$3:$C$62,"&lt;&gt;キャンセル")&gt;1," ◆重複!",""))</f>
        <v/>
      </c>
      <c r="F45" s="18" t="str">
        <f aca="false">IF(COUNTIFS(案件一覧!$N$3:$N$62,F$3,案件一覧!$E$3:$E$62,"&lt;="&amp;$A45,案件一覧!$F$3:$F$62,"&gt;"&amp;$A45,案件一覧!$C$3:$C$62,"&lt;&gt;キャンセル")=0,"",INDEX(案件一覧!$J$3:$J$62,MATCH(1,INDEX((案件一覧!$N$3:$N$62=F$3)*(案件一覧!$E$3:$E$62&lt;=$A45)*(案件一覧!$F$3:$F$62&gt;$A45)*(案件一覧!$C$3:$C$62&lt;&gt;"キャンセル"),0),0))&amp;IF(COUNTIFS(案件一覧!$N$3:$N$62,F$3,案件一覧!$E$3:$E$62,"&lt;="&amp;$A45,案件一覧!$F$3:$F$62,"&gt;"&amp;$A45,案件一覧!$C$3:$C$62,"&lt;&gt;キャンセル")&gt;1," ◆重複!",""))</f>
        <v/>
      </c>
      <c r="G45" s="18" t="str">
        <f aca="false">IF(COUNTIFS(案件一覧!$N$3:$N$62,G$3,案件一覧!$E$3:$E$62,"&lt;="&amp;$A45,案件一覧!$F$3:$F$62,"&gt;"&amp;$A45,案件一覧!$C$3:$C$62,"&lt;&gt;キャンセル")=0,"",INDEX(案件一覧!$J$3:$J$62,MATCH(1,INDEX((案件一覧!$N$3:$N$62=G$3)*(案件一覧!$E$3:$E$62&lt;=$A45)*(案件一覧!$F$3:$F$62&gt;$A45)*(案件一覧!$C$3:$C$62&lt;&gt;"キャンセル"),0),0))&amp;IF(COUNTIFS(案件一覧!$N$3:$N$62,G$3,案件一覧!$E$3:$E$62,"&lt;="&amp;$A45,案件一覧!$F$3:$F$62,"&gt;"&amp;$A45,案件一覧!$C$3:$C$62,"&lt;&gt;キャンセル")&gt;1," ◆重複!",""))</f>
        <v/>
      </c>
      <c r="H45" s="18" t="str">
        <f aca="false">IF(COUNTIFS(案件一覧!$N$3:$N$62,H$3,案件一覧!$E$3:$E$62,"&lt;="&amp;$A45,案件一覧!$F$3:$F$62,"&gt;"&amp;$A45,案件一覧!$C$3:$C$62,"&lt;&gt;キャンセル")=0,"",INDEX(案件一覧!$J$3:$J$62,MATCH(1,INDEX((案件一覧!$N$3:$N$62=H$3)*(案件一覧!$E$3:$E$62&lt;=$A45)*(案件一覧!$F$3:$F$62&gt;$A45)*(案件一覧!$C$3:$C$62&lt;&gt;"キャンセル"),0),0))&amp;IF(COUNTIFS(案件一覧!$N$3:$N$62,H$3,案件一覧!$E$3:$E$62,"&lt;="&amp;$A45,案件一覧!$F$3:$F$62,"&gt;"&amp;$A45,案件一覧!$C$3:$C$62,"&lt;&gt;キャンセル")&gt;1," ◆重複!",""))</f>
        <v/>
      </c>
    </row>
    <row r="46" customFormat="false" ht="15" hidden="false" customHeight="false" outlineLevel="0" collapsed="false">
      <c r="A46" s="16" t="n">
        <v>46246</v>
      </c>
      <c r="B46" s="17" t="s">
        <v>42</v>
      </c>
      <c r="C46" s="18" t="str">
        <f aca="false">IF(COUNTIFS(案件一覧!$N$3:$N$62,C$3,案件一覧!$E$3:$E$62,"&lt;="&amp;$A46,案件一覧!$F$3:$F$62,"&gt;"&amp;$A46,案件一覧!$C$3:$C$62,"&lt;&gt;キャンセル")=0,"",INDEX(案件一覧!$J$3:$J$62,MATCH(1,INDEX((案件一覧!$N$3:$N$62=C$3)*(案件一覧!$E$3:$E$62&lt;=$A46)*(案件一覧!$F$3:$F$62&gt;$A46)*(案件一覧!$C$3:$C$62&lt;&gt;"キャンセル"),0),0))&amp;IF(COUNTIFS(案件一覧!$N$3:$N$62,C$3,案件一覧!$E$3:$E$62,"&lt;="&amp;$A46,案件一覧!$F$3:$F$62,"&gt;"&amp;$A46,案件一覧!$C$3:$C$62,"&lt;&gt;キャンセル")&gt;1," ◆重複!",""))</f>
        <v/>
      </c>
      <c r="D46" s="18" t="str">
        <f aca="false">IF(COUNTIFS(案件一覧!$N$3:$N$62,D$3,案件一覧!$E$3:$E$62,"&lt;="&amp;$A46,案件一覧!$F$3:$F$62,"&gt;"&amp;$A46,案件一覧!$C$3:$C$62,"&lt;&gt;キャンセル")=0,"",INDEX(案件一覧!$J$3:$J$62,MATCH(1,INDEX((案件一覧!$N$3:$N$62=D$3)*(案件一覧!$E$3:$E$62&lt;=$A46)*(案件一覧!$F$3:$F$62&gt;$A46)*(案件一覧!$C$3:$C$62&lt;&gt;"キャンセル"),0),0))&amp;IF(COUNTIFS(案件一覧!$N$3:$N$62,D$3,案件一覧!$E$3:$E$62,"&lt;="&amp;$A46,案件一覧!$F$3:$F$62,"&gt;"&amp;$A46,案件一覧!$C$3:$C$62,"&lt;&gt;キャンセル")&gt;1," ◆重複!",""))</f>
        <v/>
      </c>
      <c r="E46" s="18" t="str">
        <f aca="false">IF(COUNTIFS(案件一覧!$N$3:$N$62,E$3,案件一覧!$E$3:$E$62,"&lt;="&amp;$A46,案件一覧!$F$3:$F$62,"&gt;"&amp;$A46,案件一覧!$C$3:$C$62,"&lt;&gt;キャンセル")=0,"",INDEX(案件一覧!$J$3:$J$62,MATCH(1,INDEX((案件一覧!$N$3:$N$62=E$3)*(案件一覧!$E$3:$E$62&lt;=$A46)*(案件一覧!$F$3:$F$62&gt;$A46)*(案件一覧!$C$3:$C$62&lt;&gt;"キャンセル"),0),0))&amp;IF(COUNTIFS(案件一覧!$N$3:$N$62,E$3,案件一覧!$E$3:$E$62,"&lt;="&amp;$A46,案件一覧!$F$3:$F$62,"&gt;"&amp;$A46,案件一覧!$C$3:$C$62,"&lt;&gt;キャンセル")&gt;1," ◆重複!",""))</f>
        <v/>
      </c>
      <c r="F46" s="18" t="str">
        <f aca="false">IF(COUNTIFS(案件一覧!$N$3:$N$62,F$3,案件一覧!$E$3:$E$62,"&lt;="&amp;$A46,案件一覧!$F$3:$F$62,"&gt;"&amp;$A46,案件一覧!$C$3:$C$62,"&lt;&gt;キャンセル")=0,"",INDEX(案件一覧!$J$3:$J$62,MATCH(1,INDEX((案件一覧!$N$3:$N$62=F$3)*(案件一覧!$E$3:$E$62&lt;=$A46)*(案件一覧!$F$3:$F$62&gt;$A46)*(案件一覧!$C$3:$C$62&lt;&gt;"キャンセル"),0),0))&amp;IF(COUNTIFS(案件一覧!$N$3:$N$62,F$3,案件一覧!$E$3:$E$62,"&lt;="&amp;$A46,案件一覧!$F$3:$F$62,"&gt;"&amp;$A46,案件一覧!$C$3:$C$62,"&lt;&gt;キャンセル")&gt;1," ◆重複!",""))</f>
        <v/>
      </c>
      <c r="G46" s="18" t="str">
        <f aca="false">IF(COUNTIFS(案件一覧!$N$3:$N$62,G$3,案件一覧!$E$3:$E$62,"&lt;="&amp;$A46,案件一覧!$F$3:$F$62,"&gt;"&amp;$A46,案件一覧!$C$3:$C$62,"&lt;&gt;キャンセル")=0,"",INDEX(案件一覧!$J$3:$J$62,MATCH(1,INDEX((案件一覧!$N$3:$N$62=G$3)*(案件一覧!$E$3:$E$62&lt;=$A46)*(案件一覧!$F$3:$F$62&gt;$A46)*(案件一覧!$C$3:$C$62&lt;&gt;"キャンセル"),0),0))&amp;IF(COUNTIFS(案件一覧!$N$3:$N$62,G$3,案件一覧!$E$3:$E$62,"&lt;="&amp;$A46,案件一覧!$F$3:$F$62,"&gt;"&amp;$A46,案件一覧!$C$3:$C$62,"&lt;&gt;キャンセル")&gt;1," ◆重複!",""))</f>
        <v/>
      </c>
      <c r="H46" s="18" t="str">
        <f aca="false">IF(COUNTIFS(案件一覧!$N$3:$N$62,H$3,案件一覧!$E$3:$E$62,"&lt;="&amp;$A46,案件一覧!$F$3:$F$62,"&gt;"&amp;$A46,案件一覧!$C$3:$C$62,"&lt;&gt;キャンセル")=0,"",INDEX(案件一覧!$J$3:$J$62,MATCH(1,INDEX((案件一覧!$N$3:$N$62=H$3)*(案件一覧!$E$3:$E$62&lt;=$A46)*(案件一覧!$F$3:$F$62&gt;$A46)*(案件一覧!$C$3:$C$62&lt;&gt;"キャンセル"),0),0))&amp;IF(COUNTIFS(案件一覧!$N$3:$N$62,H$3,案件一覧!$E$3:$E$62,"&lt;="&amp;$A46,案件一覧!$F$3:$F$62,"&gt;"&amp;$A46,案件一覧!$C$3:$C$62,"&lt;&gt;キャンセル")&gt;1," ◆重複!",""))</f>
        <v/>
      </c>
    </row>
    <row r="47" customFormat="false" ht="15" hidden="false" customHeight="false" outlineLevel="0" collapsed="false">
      <c r="A47" s="16" t="n">
        <v>46247</v>
      </c>
      <c r="B47" s="17" t="s">
        <v>43</v>
      </c>
      <c r="C47" s="18" t="str">
        <f aca="false">IF(COUNTIFS(案件一覧!$N$3:$N$62,C$3,案件一覧!$E$3:$E$62,"&lt;="&amp;$A47,案件一覧!$F$3:$F$62,"&gt;"&amp;$A47,案件一覧!$C$3:$C$62,"&lt;&gt;キャンセル")=0,"",INDEX(案件一覧!$J$3:$J$62,MATCH(1,INDEX((案件一覧!$N$3:$N$62=C$3)*(案件一覧!$E$3:$E$62&lt;=$A47)*(案件一覧!$F$3:$F$62&gt;$A47)*(案件一覧!$C$3:$C$62&lt;&gt;"キャンセル"),0),0))&amp;IF(COUNTIFS(案件一覧!$N$3:$N$62,C$3,案件一覧!$E$3:$E$62,"&lt;="&amp;$A47,案件一覧!$F$3:$F$62,"&gt;"&amp;$A47,案件一覧!$C$3:$C$62,"&lt;&gt;キャンセル")&gt;1," ◆重複!",""))</f>
        <v/>
      </c>
      <c r="D47" s="18" t="str">
        <f aca="false">IF(COUNTIFS(案件一覧!$N$3:$N$62,D$3,案件一覧!$E$3:$E$62,"&lt;="&amp;$A47,案件一覧!$F$3:$F$62,"&gt;"&amp;$A47,案件一覧!$C$3:$C$62,"&lt;&gt;キャンセル")=0,"",INDEX(案件一覧!$J$3:$J$62,MATCH(1,INDEX((案件一覧!$N$3:$N$62=D$3)*(案件一覧!$E$3:$E$62&lt;=$A47)*(案件一覧!$F$3:$F$62&gt;$A47)*(案件一覧!$C$3:$C$62&lt;&gt;"キャンセル"),0),0))&amp;IF(COUNTIFS(案件一覧!$N$3:$N$62,D$3,案件一覧!$E$3:$E$62,"&lt;="&amp;$A47,案件一覧!$F$3:$F$62,"&gt;"&amp;$A47,案件一覧!$C$3:$C$62,"&lt;&gt;キャンセル")&gt;1," ◆重複!",""))</f>
        <v/>
      </c>
      <c r="E47" s="18" t="str">
        <f aca="false">IF(COUNTIFS(案件一覧!$N$3:$N$62,E$3,案件一覧!$E$3:$E$62,"&lt;="&amp;$A47,案件一覧!$F$3:$F$62,"&gt;"&amp;$A47,案件一覧!$C$3:$C$62,"&lt;&gt;キャンセル")=0,"",INDEX(案件一覧!$J$3:$J$62,MATCH(1,INDEX((案件一覧!$N$3:$N$62=E$3)*(案件一覧!$E$3:$E$62&lt;=$A47)*(案件一覧!$F$3:$F$62&gt;$A47)*(案件一覧!$C$3:$C$62&lt;&gt;"キャンセル"),0),0))&amp;IF(COUNTIFS(案件一覧!$N$3:$N$62,E$3,案件一覧!$E$3:$E$62,"&lt;="&amp;$A47,案件一覧!$F$3:$F$62,"&gt;"&amp;$A47,案件一覧!$C$3:$C$62,"&lt;&gt;キャンセル")&gt;1," ◆重複!",""))</f>
        <v/>
      </c>
      <c r="F47" s="18" t="str">
        <f aca="false">IF(COUNTIFS(案件一覧!$N$3:$N$62,F$3,案件一覧!$E$3:$E$62,"&lt;="&amp;$A47,案件一覧!$F$3:$F$62,"&gt;"&amp;$A47,案件一覧!$C$3:$C$62,"&lt;&gt;キャンセル")=0,"",INDEX(案件一覧!$J$3:$J$62,MATCH(1,INDEX((案件一覧!$N$3:$N$62=F$3)*(案件一覧!$E$3:$E$62&lt;=$A47)*(案件一覧!$F$3:$F$62&gt;$A47)*(案件一覧!$C$3:$C$62&lt;&gt;"キャンセル"),0),0))&amp;IF(COUNTIFS(案件一覧!$N$3:$N$62,F$3,案件一覧!$E$3:$E$62,"&lt;="&amp;$A47,案件一覧!$F$3:$F$62,"&gt;"&amp;$A47,案件一覧!$C$3:$C$62,"&lt;&gt;キャンセル")&gt;1," ◆重複!",""))</f>
        <v/>
      </c>
      <c r="G47" s="18" t="str">
        <f aca="false">IF(COUNTIFS(案件一覧!$N$3:$N$62,G$3,案件一覧!$E$3:$E$62,"&lt;="&amp;$A47,案件一覧!$F$3:$F$62,"&gt;"&amp;$A47,案件一覧!$C$3:$C$62,"&lt;&gt;キャンセル")=0,"",INDEX(案件一覧!$J$3:$J$62,MATCH(1,INDEX((案件一覧!$N$3:$N$62=G$3)*(案件一覧!$E$3:$E$62&lt;=$A47)*(案件一覧!$F$3:$F$62&gt;$A47)*(案件一覧!$C$3:$C$62&lt;&gt;"キャンセル"),0),0))&amp;IF(COUNTIFS(案件一覧!$N$3:$N$62,G$3,案件一覧!$E$3:$E$62,"&lt;="&amp;$A47,案件一覧!$F$3:$F$62,"&gt;"&amp;$A47,案件一覧!$C$3:$C$62,"&lt;&gt;キャンセル")&gt;1," ◆重複!",""))</f>
        <v/>
      </c>
      <c r="H47" s="18" t="str">
        <f aca="false">IF(COUNTIFS(案件一覧!$N$3:$N$62,H$3,案件一覧!$E$3:$E$62,"&lt;="&amp;$A47,案件一覧!$F$3:$F$62,"&gt;"&amp;$A47,案件一覧!$C$3:$C$62,"&lt;&gt;キャンセル")=0,"",INDEX(案件一覧!$J$3:$J$62,MATCH(1,INDEX((案件一覧!$N$3:$N$62=H$3)*(案件一覧!$E$3:$E$62&lt;=$A47)*(案件一覧!$F$3:$F$62&gt;$A47)*(案件一覧!$C$3:$C$62&lt;&gt;"キャンセル"),0),0))&amp;IF(COUNTIFS(案件一覧!$N$3:$N$62,H$3,案件一覧!$E$3:$E$62,"&lt;="&amp;$A47,案件一覧!$F$3:$F$62,"&gt;"&amp;$A47,案件一覧!$C$3:$C$62,"&lt;&gt;キャンセル")&gt;1," ◆重複!",""))</f>
        <v/>
      </c>
    </row>
    <row r="48" customFormat="false" ht="15" hidden="false" customHeight="false" outlineLevel="0" collapsed="false">
      <c r="A48" s="16" t="n">
        <v>46248</v>
      </c>
      <c r="B48" s="17" t="s">
        <v>44</v>
      </c>
      <c r="C48" s="18" t="str">
        <f aca="false">IF(COUNTIFS(案件一覧!$N$3:$N$62,C$3,案件一覧!$E$3:$E$62,"&lt;="&amp;$A48,案件一覧!$F$3:$F$62,"&gt;"&amp;$A48,案件一覧!$C$3:$C$62,"&lt;&gt;キャンセル")=0,"",INDEX(案件一覧!$J$3:$J$62,MATCH(1,INDEX((案件一覧!$N$3:$N$62=C$3)*(案件一覧!$E$3:$E$62&lt;=$A48)*(案件一覧!$F$3:$F$62&gt;$A48)*(案件一覧!$C$3:$C$62&lt;&gt;"キャンセル"),0),0))&amp;IF(COUNTIFS(案件一覧!$N$3:$N$62,C$3,案件一覧!$E$3:$E$62,"&lt;="&amp;$A48,案件一覧!$F$3:$F$62,"&gt;"&amp;$A48,案件一覧!$C$3:$C$62,"&lt;&gt;キャンセル")&gt;1," ◆重複!",""))</f>
        <v/>
      </c>
      <c r="D48" s="18" t="str">
        <f aca="false">IF(COUNTIFS(案件一覧!$N$3:$N$62,D$3,案件一覧!$E$3:$E$62,"&lt;="&amp;$A48,案件一覧!$F$3:$F$62,"&gt;"&amp;$A48,案件一覧!$C$3:$C$62,"&lt;&gt;キャンセル")=0,"",INDEX(案件一覧!$J$3:$J$62,MATCH(1,INDEX((案件一覧!$N$3:$N$62=D$3)*(案件一覧!$E$3:$E$62&lt;=$A48)*(案件一覧!$F$3:$F$62&gt;$A48)*(案件一覧!$C$3:$C$62&lt;&gt;"キャンセル"),0),0))&amp;IF(COUNTIFS(案件一覧!$N$3:$N$62,D$3,案件一覧!$E$3:$E$62,"&lt;="&amp;$A48,案件一覧!$F$3:$F$62,"&gt;"&amp;$A48,案件一覧!$C$3:$C$62,"&lt;&gt;キャンセル")&gt;1," ◆重複!",""))</f>
        <v/>
      </c>
      <c r="E48" s="18" t="str">
        <f aca="false">IF(COUNTIFS(案件一覧!$N$3:$N$62,E$3,案件一覧!$E$3:$E$62,"&lt;="&amp;$A48,案件一覧!$F$3:$F$62,"&gt;"&amp;$A48,案件一覧!$C$3:$C$62,"&lt;&gt;キャンセル")=0,"",INDEX(案件一覧!$J$3:$J$62,MATCH(1,INDEX((案件一覧!$N$3:$N$62=E$3)*(案件一覧!$E$3:$E$62&lt;=$A48)*(案件一覧!$F$3:$F$62&gt;$A48)*(案件一覧!$C$3:$C$62&lt;&gt;"キャンセル"),0),0))&amp;IF(COUNTIFS(案件一覧!$N$3:$N$62,E$3,案件一覧!$E$3:$E$62,"&lt;="&amp;$A48,案件一覧!$F$3:$F$62,"&gt;"&amp;$A48,案件一覧!$C$3:$C$62,"&lt;&gt;キャンセル")&gt;1," ◆重複!",""))</f>
        <v/>
      </c>
      <c r="F48" s="18" t="str">
        <f aca="false">IF(COUNTIFS(案件一覧!$N$3:$N$62,F$3,案件一覧!$E$3:$E$62,"&lt;="&amp;$A48,案件一覧!$F$3:$F$62,"&gt;"&amp;$A48,案件一覧!$C$3:$C$62,"&lt;&gt;キャンセル")=0,"",INDEX(案件一覧!$J$3:$J$62,MATCH(1,INDEX((案件一覧!$N$3:$N$62=F$3)*(案件一覧!$E$3:$E$62&lt;=$A48)*(案件一覧!$F$3:$F$62&gt;$A48)*(案件一覧!$C$3:$C$62&lt;&gt;"キャンセル"),0),0))&amp;IF(COUNTIFS(案件一覧!$N$3:$N$62,F$3,案件一覧!$E$3:$E$62,"&lt;="&amp;$A48,案件一覧!$F$3:$F$62,"&gt;"&amp;$A48,案件一覧!$C$3:$C$62,"&lt;&gt;キャンセル")&gt;1," ◆重複!",""))</f>
        <v/>
      </c>
      <c r="G48" s="18" t="str">
        <f aca="false">IF(COUNTIFS(案件一覧!$N$3:$N$62,G$3,案件一覧!$E$3:$E$62,"&lt;="&amp;$A48,案件一覧!$F$3:$F$62,"&gt;"&amp;$A48,案件一覧!$C$3:$C$62,"&lt;&gt;キャンセル")=0,"",INDEX(案件一覧!$J$3:$J$62,MATCH(1,INDEX((案件一覧!$N$3:$N$62=G$3)*(案件一覧!$E$3:$E$62&lt;=$A48)*(案件一覧!$F$3:$F$62&gt;$A48)*(案件一覧!$C$3:$C$62&lt;&gt;"キャンセル"),0),0))&amp;IF(COUNTIFS(案件一覧!$N$3:$N$62,G$3,案件一覧!$E$3:$E$62,"&lt;="&amp;$A48,案件一覧!$F$3:$F$62,"&gt;"&amp;$A48,案件一覧!$C$3:$C$62,"&lt;&gt;キャンセル")&gt;1," ◆重複!",""))</f>
        <v/>
      </c>
      <c r="H48" s="18" t="str">
        <f aca="false">IF(COUNTIFS(案件一覧!$N$3:$N$62,H$3,案件一覧!$E$3:$E$62,"&lt;="&amp;$A48,案件一覧!$F$3:$F$62,"&gt;"&amp;$A48,案件一覧!$C$3:$C$62,"&lt;&gt;キャンセル")=0,"",INDEX(案件一覧!$J$3:$J$62,MATCH(1,INDEX((案件一覧!$N$3:$N$62=H$3)*(案件一覧!$E$3:$E$62&lt;=$A48)*(案件一覧!$F$3:$F$62&gt;$A48)*(案件一覧!$C$3:$C$62&lt;&gt;"キャンセル"),0),0))&amp;IF(COUNTIFS(案件一覧!$N$3:$N$62,H$3,案件一覧!$E$3:$E$62,"&lt;="&amp;$A48,案件一覧!$F$3:$F$62,"&gt;"&amp;$A48,案件一覧!$C$3:$C$62,"&lt;&gt;キャンセル")&gt;1," ◆重複!",""))</f>
        <v/>
      </c>
    </row>
    <row r="49" customFormat="false" ht="15" hidden="false" customHeight="false" outlineLevel="0" collapsed="false">
      <c r="A49" s="19" t="n">
        <v>46249</v>
      </c>
      <c r="B49" s="20" t="s">
        <v>45</v>
      </c>
      <c r="C49" s="21" t="str">
        <f aca="false">IF(COUNTIFS(案件一覧!$N$3:$N$62,C$3,案件一覧!$E$3:$E$62,"&lt;="&amp;$A49,案件一覧!$F$3:$F$62,"&gt;"&amp;$A49,案件一覧!$C$3:$C$62,"&lt;&gt;キャンセル")=0,"",INDEX(案件一覧!$J$3:$J$62,MATCH(1,INDEX((案件一覧!$N$3:$N$62=C$3)*(案件一覧!$E$3:$E$62&lt;=$A49)*(案件一覧!$F$3:$F$62&gt;$A49)*(案件一覧!$C$3:$C$62&lt;&gt;"キャンセル"),0),0))&amp;IF(COUNTIFS(案件一覧!$N$3:$N$62,C$3,案件一覧!$E$3:$E$62,"&lt;="&amp;$A49,案件一覧!$F$3:$F$62,"&gt;"&amp;$A49,案件一覧!$C$3:$C$62,"&lt;&gt;キャンセル")&gt;1," ◆重複!",""))</f>
        <v/>
      </c>
      <c r="D49" s="21" t="str">
        <f aca="false">IF(COUNTIFS(案件一覧!$N$3:$N$62,D$3,案件一覧!$E$3:$E$62,"&lt;="&amp;$A49,案件一覧!$F$3:$F$62,"&gt;"&amp;$A49,案件一覧!$C$3:$C$62,"&lt;&gt;キャンセル")=0,"",INDEX(案件一覧!$J$3:$J$62,MATCH(1,INDEX((案件一覧!$N$3:$N$62=D$3)*(案件一覧!$E$3:$E$62&lt;=$A49)*(案件一覧!$F$3:$F$62&gt;$A49)*(案件一覧!$C$3:$C$62&lt;&gt;"キャンセル"),0),0))&amp;IF(COUNTIFS(案件一覧!$N$3:$N$62,D$3,案件一覧!$E$3:$E$62,"&lt;="&amp;$A49,案件一覧!$F$3:$F$62,"&gt;"&amp;$A49,案件一覧!$C$3:$C$62,"&lt;&gt;キャンセル")&gt;1," ◆重複!",""))</f>
        <v/>
      </c>
      <c r="E49" s="21" t="str">
        <f aca="false">IF(COUNTIFS(案件一覧!$N$3:$N$62,E$3,案件一覧!$E$3:$E$62,"&lt;="&amp;$A49,案件一覧!$F$3:$F$62,"&gt;"&amp;$A49,案件一覧!$C$3:$C$62,"&lt;&gt;キャンセル")=0,"",INDEX(案件一覧!$J$3:$J$62,MATCH(1,INDEX((案件一覧!$N$3:$N$62=E$3)*(案件一覧!$E$3:$E$62&lt;=$A49)*(案件一覧!$F$3:$F$62&gt;$A49)*(案件一覧!$C$3:$C$62&lt;&gt;"キャンセル"),0),0))&amp;IF(COUNTIFS(案件一覧!$N$3:$N$62,E$3,案件一覧!$E$3:$E$62,"&lt;="&amp;$A49,案件一覧!$F$3:$F$62,"&gt;"&amp;$A49,案件一覧!$C$3:$C$62,"&lt;&gt;キャンセル")&gt;1," ◆重複!",""))</f>
        <v/>
      </c>
      <c r="F49" s="21" t="str">
        <f aca="false">IF(COUNTIFS(案件一覧!$N$3:$N$62,F$3,案件一覧!$E$3:$E$62,"&lt;="&amp;$A49,案件一覧!$F$3:$F$62,"&gt;"&amp;$A49,案件一覧!$C$3:$C$62,"&lt;&gt;キャンセル")=0,"",INDEX(案件一覧!$J$3:$J$62,MATCH(1,INDEX((案件一覧!$N$3:$N$62=F$3)*(案件一覧!$E$3:$E$62&lt;=$A49)*(案件一覧!$F$3:$F$62&gt;$A49)*(案件一覧!$C$3:$C$62&lt;&gt;"キャンセル"),0),0))&amp;IF(COUNTIFS(案件一覧!$N$3:$N$62,F$3,案件一覧!$E$3:$E$62,"&lt;="&amp;$A49,案件一覧!$F$3:$F$62,"&gt;"&amp;$A49,案件一覧!$C$3:$C$62,"&lt;&gt;キャンセル")&gt;1," ◆重複!",""))</f>
        <v/>
      </c>
      <c r="G49" s="21" t="str">
        <f aca="false">IF(COUNTIFS(案件一覧!$N$3:$N$62,G$3,案件一覧!$E$3:$E$62,"&lt;="&amp;$A49,案件一覧!$F$3:$F$62,"&gt;"&amp;$A49,案件一覧!$C$3:$C$62,"&lt;&gt;キャンセル")=0,"",INDEX(案件一覧!$J$3:$J$62,MATCH(1,INDEX((案件一覧!$N$3:$N$62=G$3)*(案件一覧!$E$3:$E$62&lt;=$A49)*(案件一覧!$F$3:$F$62&gt;$A49)*(案件一覧!$C$3:$C$62&lt;&gt;"キャンセル"),0),0))&amp;IF(COUNTIFS(案件一覧!$N$3:$N$62,G$3,案件一覧!$E$3:$E$62,"&lt;="&amp;$A49,案件一覧!$F$3:$F$62,"&gt;"&amp;$A49,案件一覧!$C$3:$C$62,"&lt;&gt;キャンセル")&gt;1," ◆重複!",""))</f>
        <v/>
      </c>
      <c r="H49" s="21" t="str">
        <f aca="false">IF(COUNTIFS(案件一覧!$N$3:$N$62,H$3,案件一覧!$E$3:$E$62,"&lt;="&amp;$A49,案件一覧!$F$3:$F$62,"&gt;"&amp;$A49,案件一覧!$C$3:$C$62,"&lt;&gt;キャンセル")=0,"",INDEX(案件一覧!$J$3:$J$62,MATCH(1,INDEX((案件一覧!$N$3:$N$62=H$3)*(案件一覧!$E$3:$E$62&lt;=$A49)*(案件一覧!$F$3:$F$62&gt;$A49)*(案件一覧!$C$3:$C$62&lt;&gt;"キャンセル"),0),0))&amp;IF(COUNTIFS(案件一覧!$N$3:$N$62,H$3,案件一覧!$E$3:$E$62,"&lt;="&amp;$A49,案件一覧!$F$3:$F$62,"&gt;"&amp;$A49,案件一覧!$C$3:$C$62,"&lt;&gt;キャンセル")&gt;1," ◆重複!",""))</f>
        <v/>
      </c>
    </row>
    <row r="50" customFormat="false" ht="15" hidden="false" customHeight="false" outlineLevel="0" collapsed="false">
      <c r="A50" s="22" t="n">
        <v>46250</v>
      </c>
      <c r="B50" s="23" t="s">
        <v>46</v>
      </c>
      <c r="C50" s="24" t="str">
        <f aca="false">IF(COUNTIFS(案件一覧!$N$3:$N$62,C$3,案件一覧!$E$3:$E$62,"&lt;="&amp;$A50,案件一覧!$F$3:$F$62,"&gt;"&amp;$A50,案件一覧!$C$3:$C$62,"&lt;&gt;キャンセル")=0,"",INDEX(案件一覧!$J$3:$J$62,MATCH(1,INDEX((案件一覧!$N$3:$N$62=C$3)*(案件一覧!$E$3:$E$62&lt;=$A50)*(案件一覧!$F$3:$F$62&gt;$A50)*(案件一覧!$C$3:$C$62&lt;&gt;"キャンセル"),0),0))&amp;IF(COUNTIFS(案件一覧!$N$3:$N$62,C$3,案件一覧!$E$3:$E$62,"&lt;="&amp;$A50,案件一覧!$F$3:$F$62,"&gt;"&amp;$A50,案件一覧!$C$3:$C$62,"&lt;&gt;キャンセル")&gt;1," ◆重複!",""))</f>
        <v/>
      </c>
      <c r="D50" s="24" t="str">
        <f aca="false">IF(COUNTIFS(案件一覧!$N$3:$N$62,D$3,案件一覧!$E$3:$E$62,"&lt;="&amp;$A50,案件一覧!$F$3:$F$62,"&gt;"&amp;$A50,案件一覧!$C$3:$C$62,"&lt;&gt;キャンセル")=0,"",INDEX(案件一覧!$J$3:$J$62,MATCH(1,INDEX((案件一覧!$N$3:$N$62=D$3)*(案件一覧!$E$3:$E$62&lt;=$A50)*(案件一覧!$F$3:$F$62&gt;$A50)*(案件一覧!$C$3:$C$62&lt;&gt;"キャンセル"),0),0))&amp;IF(COUNTIFS(案件一覧!$N$3:$N$62,D$3,案件一覧!$E$3:$E$62,"&lt;="&amp;$A50,案件一覧!$F$3:$F$62,"&gt;"&amp;$A50,案件一覧!$C$3:$C$62,"&lt;&gt;キャンセル")&gt;1," ◆重複!",""))</f>
        <v/>
      </c>
      <c r="E50" s="24" t="str">
        <f aca="false">IF(COUNTIFS(案件一覧!$N$3:$N$62,E$3,案件一覧!$E$3:$E$62,"&lt;="&amp;$A50,案件一覧!$F$3:$F$62,"&gt;"&amp;$A50,案件一覧!$C$3:$C$62,"&lt;&gt;キャンセル")=0,"",INDEX(案件一覧!$J$3:$J$62,MATCH(1,INDEX((案件一覧!$N$3:$N$62=E$3)*(案件一覧!$E$3:$E$62&lt;=$A50)*(案件一覧!$F$3:$F$62&gt;$A50)*(案件一覧!$C$3:$C$62&lt;&gt;"キャンセル"),0),0))&amp;IF(COUNTIFS(案件一覧!$N$3:$N$62,E$3,案件一覧!$E$3:$E$62,"&lt;="&amp;$A50,案件一覧!$F$3:$F$62,"&gt;"&amp;$A50,案件一覧!$C$3:$C$62,"&lt;&gt;キャンセル")&gt;1," ◆重複!",""))</f>
        <v/>
      </c>
      <c r="F50" s="24" t="str">
        <f aca="false">IF(COUNTIFS(案件一覧!$N$3:$N$62,F$3,案件一覧!$E$3:$E$62,"&lt;="&amp;$A50,案件一覧!$F$3:$F$62,"&gt;"&amp;$A50,案件一覧!$C$3:$C$62,"&lt;&gt;キャンセル")=0,"",INDEX(案件一覧!$J$3:$J$62,MATCH(1,INDEX((案件一覧!$N$3:$N$62=F$3)*(案件一覧!$E$3:$E$62&lt;=$A50)*(案件一覧!$F$3:$F$62&gt;$A50)*(案件一覧!$C$3:$C$62&lt;&gt;"キャンセル"),0),0))&amp;IF(COUNTIFS(案件一覧!$N$3:$N$62,F$3,案件一覧!$E$3:$E$62,"&lt;="&amp;$A50,案件一覧!$F$3:$F$62,"&gt;"&amp;$A50,案件一覧!$C$3:$C$62,"&lt;&gt;キャンセル")&gt;1," ◆重複!",""))</f>
        <v/>
      </c>
      <c r="G50" s="24" t="str">
        <f aca="false">IF(COUNTIFS(案件一覧!$N$3:$N$62,G$3,案件一覧!$E$3:$E$62,"&lt;="&amp;$A50,案件一覧!$F$3:$F$62,"&gt;"&amp;$A50,案件一覧!$C$3:$C$62,"&lt;&gt;キャンセル")=0,"",INDEX(案件一覧!$J$3:$J$62,MATCH(1,INDEX((案件一覧!$N$3:$N$62=G$3)*(案件一覧!$E$3:$E$62&lt;=$A50)*(案件一覧!$F$3:$F$62&gt;$A50)*(案件一覧!$C$3:$C$62&lt;&gt;"キャンセル"),0),0))&amp;IF(COUNTIFS(案件一覧!$N$3:$N$62,G$3,案件一覧!$E$3:$E$62,"&lt;="&amp;$A50,案件一覧!$F$3:$F$62,"&gt;"&amp;$A50,案件一覧!$C$3:$C$62,"&lt;&gt;キャンセル")&gt;1," ◆重複!",""))</f>
        <v/>
      </c>
      <c r="H50" s="24" t="str">
        <f aca="false">IF(COUNTIFS(案件一覧!$N$3:$N$62,H$3,案件一覧!$E$3:$E$62,"&lt;="&amp;$A50,案件一覧!$F$3:$F$62,"&gt;"&amp;$A50,案件一覧!$C$3:$C$62,"&lt;&gt;キャンセル")=0,"",INDEX(案件一覧!$J$3:$J$62,MATCH(1,INDEX((案件一覧!$N$3:$N$62=H$3)*(案件一覧!$E$3:$E$62&lt;=$A50)*(案件一覧!$F$3:$F$62&gt;$A50)*(案件一覧!$C$3:$C$62&lt;&gt;"キャンセル"),0),0))&amp;IF(COUNTIFS(案件一覧!$N$3:$N$62,H$3,案件一覧!$E$3:$E$62,"&lt;="&amp;$A50,案件一覧!$F$3:$F$62,"&gt;"&amp;$A50,案件一覧!$C$3:$C$62,"&lt;&gt;キャンセル")&gt;1," ◆重複!",""))</f>
        <v/>
      </c>
    </row>
    <row r="51" customFormat="false" ht="15" hidden="false" customHeight="false" outlineLevel="0" collapsed="false">
      <c r="A51" s="16" t="n">
        <v>46251</v>
      </c>
      <c r="B51" s="17" t="s">
        <v>47</v>
      </c>
      <c r="C51" s="18" t="str">
        <f aca="false">IF(COUNTIFS(案件一覧!$N$3:$N$62,C$3,案件一覧!$E$3:$E$62,"&lt;="&amp;$A51,案件一覧!$F$3:$F$62,"&gt;"&amp;$A51,案件一覧!$C$3:$C$62,"&lt;&gt;キャンセル")=0,"",INDEX(案件一覧!$J$3:$J$62,MATCH(1,INDEX((案件一覧!$N$3:$N$62=C$3)*(案件一覧!$E$3:$E$62&lt;=$A51)*(案件一覧!$F$3:$F$62&gt;$A51)*(案件一覧!$C$3:$C$62&lt;&gt;"キャンセル"),0),0))&amp;IF(COUNTIFS(案件一覧!$N$3:$N$62,C$3,案件一覧!$E$3:$E$62,"&lt;="&amp;$A51,案件一覧!$F$3:$F$62,"&gt;"&amp;$A51,案件一覧!$C$3:$C$62,"&lt;&gt;キャンセル")&gt;1," ◆重複!",""))</f>
        <v/>
      </c>
      <c r="D51" s="18" t="str">
        <f aca="false">IF(COUNTIFS(案件一覧!$N$3:$N$62,D$3,案件一覧!$E$3:$E$62,"&lt;="&amp;$A51,案件一覧!$F$3:$F$62,"&gt;"&amp;$A51,案件一覧!$C$3:$C$62,"&lt;&gt;キャンセル")=0,"",INDEX(案件一覧!$J$3:$J$62,MATCH(1,INDEX((案件一覧!$N$3:$N$62=D$3)*(案件一覧!$E$3:$E$62&lt;=$A51)*(案件一覧!$F$3:$F$62&gt;$A51)*(案件一覧!$C$3:$C$62&lt;&gt;"キャンセル"),0),0))&amp;IF(COUNTIFS(案件一覧!$N$3:$N$62,D$3,案件一覧!$E$3:$E$62,"&lt;="&amp;$A51,案件一覧!$F$3:$F$62,"&gt;"&amp;$A51,案件一覧!$C$3:$C$62,"&lt;&gt;キャンセル")&gt;1," ◆重複!",""))</f>
        <v/>
      </c>
      <c r="E51" s="18" t="str">
        <f aca="false">IF(COUNTIFS(案件一覧!$N$3:$N$62,E$3,案件一覧!$E$3:$E$62,"&lt;="&amp;$A51,案件一覧!$F$3:$F$62,"&gt;"&amp;$A51,案件一覧!$C$3:$C$62,"&lt;&gt;キャンセル")=0,"",INDEX(案件一覧!$J$3:$J$62,MATCH(1,INDEX((案件一覧!$N$3:$N$62=E$3)*(案件一覧!$E$3:$E$62&lt;=$A51)*(案件一覧!$F$3:$F$62&gt;$A51)*(案件一覧!$C$3:$C$62&lt;&gt;"キャンセル"),0),0))&amp;IF(COUNTIFS(案件一覧!$N$3:$N$62,E$3,案件一覧!$E$3:$E$62,"&lt;="&amp;$A51,案件一覧!$F$3:$F$62,"&gt;"&amp;$A51,案件一覧!$C$3:$C$62,"&lt;&gt;キャンセル")&gt;1," ◆重複!",""))</f>
        <v/>
      </c>
      <c r="F51" s="18" t="str">
        <f aca="false">IF(COUNTIFS(案件一覧!$N$3:$N$62,F$3,案件一覧!$E$3:$E$62,"&lt;="&amp;$A51,案件一覧!$F$3:$F$62,"&gt;"&amp;$A51,案件一覧!$C$3:$C$62,"&lt;&gt;キャンセル")=0,"",INDEX(案件一覧!$J$3:$J$62,MATCH(1,INDEX((案件一覧!$N$3:$N$62=F$3)*(案件一覧!$E$3:$E$62&lt;=$A51)*(案件一覧!$F$3:$F$62&gt;$A51)*(案件一覧!$C$3:$C$62&lt;&gt;"キャンセル"),0),0))&amp;IF(COUNTIFS(案件一覧!$N$3:$N$62,F$3,案件一覧!$E$3:$E$62,"&lt;="&amp;$A51,案件一覧!$F$3:$F$62,"&gt;"&amp;$A51,案件一覧!$C$3:$C$62,"&lt;&gt;キャンセル")&gt;1," ◆重複!",""))</f>
        <v/>
      </c>
      <c r="G51" s="18" t="str">
        <f aca="false">IF(COUNTIFS(案件一覧!$N$3:$N$62,G$3,案件一覧!$E$3:$E$62,"&lt;="&amp;$A51,案件一覧!$F$3:$F$62,"&gt;"&amp;$A51,案件一覧!$C$3:$C$62,"&lt;&gt;キャンセル")=0,"",INDEX(案件一覧!$J$3:$J$62,MATCH(1,INDEX((案件一覧!$N$3:$N$62=G$3)*(案件一覧!$E$3:$E$62&lt;=$A51)*(案件一覧!$F$3:$F$62&gt;$A51)*(案件一覧!$C$3:$C$62&lt;&gt;"キャンセル"),0),0))&amp;IF(COUNTIFS(案件一覧!$N$3:$N$62,G$3,案件一覧!$E$3:$E$62,"&lt;="&amp;$A51,案件一覧!$F$3:$F$62,"&gt;"&amp;$A51,案件一覧!$C$3:$C$62,"&lt;&gt;キャンセル")&gt;1," ◆重複!",""))</f>
        <v/>
      </c>
      <c r="H51" s="18" t="str">
        <f aca="false">IF(COUNTIFS(案件一覧!$N$3:$N$62,H$3,案件一覧!$E$3:$E$62,"&lt;="&amp;$A51,案件一覧!$F$3:$F$62,"&gt;"&amp;$A51,案件一覧!$C$3:$C$62,"&lt;&gt;キャンセル")=0,"",INDEX(案件一覧!$J$3:$J$62,MATCH(1,INDEX((案件一覧!$N$3:$N$62=H$3)*(案件一覧!$E$3:$E$62&lt;=$A51)*(案件一覧!$F$3:$F$62&gt;$A51)*(案件一覧!$C$3:$C$62&lt;&gt;"キャンセル"),0),0))&amp;IF(COUNTIFS(案件一覧!$N$3:$N$62,H$3,案件一覧!$E$3:$E$62,"&lt;="&amp;$A51,案件一覧!$F$3:$F$62,"&gt;"&amp;$A51,案件一覧!$C$3:$C$62,"&lt;&gt;キャンセル")&gt;1," ◆重複!",""))</f>
        <v/>
      </c>
    </row>
    <row r="52" customFormat="false" ht="15" hidden="false" customHeight="false" outlineLevel="0" collapsed="false">
      <c r="A52" s="16" t="n">
        <v>46252</v>
      </c>
      <c r="B52" s="17" t="s">
        <v>48</v>
      </c>
      <c r="C52" s="18" t="str">
        <f aca="false">IF(COUNTIFS(案件一覧!$N$3:$N$62,C$3,案件一覧!$E$3:$E$62,"&lt;="&amp;$A52,案件一覧!$F$3:$F$62,"&gt;"&amp;$A52,案件一覧!$C$3:$C$62,"&lt;&gt;キャンセル")=0,"",INDEX(案件一覧!$J$3:$J$62,MATCH(1,INDEX((案件一覧!$N$3:$N$62=C$3)*(案件一覧!$E$3:$E$62&lt;=$A52)*(案件一覧!$F$3:$F$62&gt;$A52)*(案件一覧!$C$3:$C$62&lt;&gt;"キャンセル"),0),0))&amp;IF(COUNTIFS(案件一覧!$N$3:$N$62,C$3,案件一覧!$E$3:$E$62,"&lt;="&amp;$A52,案件一覧!$F$3:$F$62,"&gt;"&amp;$A52,案件一覧!$C$3:$C$62,"&lt;&gt;キャンセル")&gt;1," ◆重複!",""))</f>
        <v/>
      </c>
      <c r="D52" s="18" t="str">
        <f aca="false">IF(COUNTIFS(案件一覧!$N$3:$N$62,D$3,案件一覧!$E$3:$E$62,"&lt;="&amp;$A52,案件一覧!$F$3:$F$62,"&gt;"&amp;$A52,案件一覧!$C$3:$C$62,"&lt;&gt;キャンセル")=0,"",INDEX(案件一覧!$J$3:$J$62,MATCH(1,INDEX((案件一覧!$N$3:$N$62=D$3)*(案件一覧!$E$3:$E$62&lt;=$A52)*(案件一覧!$F$3:$F$62&gt;$A52)*(案件一覧!$C$3:$C$62&lt;&gt;"キャンセル"),0),0))&amp;IF(COUNTIFS(案件一覧!$N$3:$N$62,D$3,案件一覧!$E$3:$E$62,"&lt;="&amp;$A52,案件一覧!$F$3:$F$62,"&gt;"&amp;$A52,案件一覧!$C$3:$C$62,"&lt;&gt;キャンセル")&gt;1," ◆重複!",""))</f>
        <v/>
      </c>
      <c r="E52" s="18" t="str">
        <f aca="false">IF(COUNTIFS(案件一覧!$N$3:$N$62,E$3,案件一覧!$E$3:$E$62,"&lt;="&amp;$A52,案件一覧!$F$3:$F$62,"&gt;"&amp;$A52,案件一覧!$C$3:$C$62,"&lt;&gt;キャンセル")=0,"",INDEX(案件一覧!$J$3:$J$62,MATCH(1,INDEX((案件一覧!$N$3:$N$62=E$3)*(案件一覧!$E$3:$E$62&lt;=$A52)*(案件一覧!$F$3:$F$62&gt;$A52)*(案件一覧!$C$3:$C$62&lt;&gt;"キャンセル"),0),0))&amp;IF(COUNTIFS(案件一覧!$N$3:$N$62,E$3,案件一覧!$E$3:$E$62,"&lt;="&amp;$A52,案件一覧!$F$3:$F$62,"&gt;"&amp;$A52,案件一覧!$C$3:$C$62,"&lt;&gt;キャンセル")&gt;1," ◆重複!",""))</f>
        <v/>
      </c>
      <c r="F52" s="18" t="str">
        <f aca="false">IF(COUNTIFS(案件一覧!$N$3:$N$62,F$3,案件一覧!$E$3:$E$62,"&lt;="&amp;$A52,案件一覧!$F$3:$F$62,"&gt;"&amp;$A52,案件一覧!$C$3:$C$62,"&lt;&gt;キャンセル")=0,"",INDEX(案件一覧!$J$3:$J$62,MATCH(1,INDEX((案件一覧!$N$3:$N$62=F$3)*(案件一覧!$E$3:$E$62&lt;=$A52)*(案件一覧!$F$3:$F$62&gt;$A52)*(案件一覧!$C$3:$C$62&lt;&gt;"キャンセル"),0),0))&amp;IF(COUNTIFS(案件一覧!$N$3:$N$62,F$3,案件一覧!$E$3:$E$62,"&lt;="&amp;$A52,案件一覧!$F$3:$F$62,"&gt;"&amp;$A52,案件一覧!$C$3:$C$62,"&lt;&gt;キャンセル")&gt;1," ◆重複!",""))</f>
        <v/>
      </c>
      <c r="G52" s="18" t="str">
        <f aca="false">IF(COUNTIFS(案件一覧!$N$3:$N$62,G$3,案件一覧!$E$3:$E$62,"&lt;="&amp;$A52,案件一覧!$F$3:$F$62,"&gt;"&amp;$A52,案件一覧!$C$3:$C$62,"&lt;&gt;キャンセル")=0,"",INDEX(案件一覧!$J$3:$J$62,MATCH(1,INDEX((案件一覧!$N$3:$N$62=G$3)*(案件一覧!$E$3:$E$62&lt;=$A52)*(案件一覧!$F$3:$F$62&gt;$A52)*(案件一覧!$C$3:$C$62&lt;&gt;"キャンセル"),0),0))&amp;IF(COUNTIFS(案件一覧!$N$3:$N$62,G$3,案件一覧!$E$3:$E$62,"&lt;="&amp;$A52,案件一覧!$F$3:$F$62,"&gt;"&amp;$A52,案件一覧!$C$3:$C$62,"&lt;&gt;キャンセル")&gt;1," ◆重複!",""))</f>
        <v/>
      </c>
      <c r="H52" s="18" t="str">
        <f aca="false">IF(COUNTIFS(案件一覧!$N$3:$N$62,H$3,案件一覧!$E$3:$E$62,"&lt;="&amp;$A52,案件一覧!$F$3:$F$62,"&gt;"&amp;$A52,案件一覧!$C$3:$C$62,"&lt;&gt;キャンセル")=0,"",INDEX(案件一覧!$J$3:$J$62,MATCH(1,INDEX((案件一覧!$N$3:$N$62=H$3)*(案件一覧!$E$3:$E$62&lt;=$A52)*(案件一覧!$F$3:$F$62&gt;$A52)*(案件一覧!$C$3:$C$62&lt;&gt;"キャンセル"),0),0))&amp;IF(COUNTIFS(案件一覧!$N$3:$N$62,H$3,案件一覧!$E$3:$E$62,"&lt;="&amp;$A52,案件一覧!$F$3:$F$62,"&gt;"&amp;$A52,案件一覧!$C$3:$C$62,"&lt;&gt;キャンセル")&gt;1," ◆重複!",""))</f>
        <v/>
      </c>
    </row>
    <row r="53" customFormat="false" ht="15" hidden="false" customHeight="false" outlineLevel="0" collapsed="false">
      <c r="A53" s="16" t="n">
        <v>46253</v>
      </c>
      <c r="B53" s="17" t="s">
        <v>42</v>
      </c>
      <c r="C53" s="18" t="str">
        <f aca="false">IF(COUNTIFS(案件一覧!$N$3:$N$62,C$3,案件一覧!$E$3:$E$62,"&lt;="&amp;$A53,案件一覧!$F$3:$F$62,"&gt;"&amp;$A53,案件一覧!$C$3:$C$62,"&lt;&gt;キャンセル")=0,"",INDEX(案件一覧!$J$3:$J$62,MATCH(1,INDEX((案件一覧!$N$3:$N$62=C$3)*(案件一覧!$E$3:$E$62&lt;=$A53)*(案件一覧!$F$3:$F$62&gt;$A53)*(案件一覧!$C$3:$C$62&lt;&gt;"キャンセル"),0),0))&amp;IF(COUNTIFS(案件一覧!$N$3:$N$62,C$3,案件一覧!$E$3:$E$62,"&lt;="&amp;$A53,案件一覧!$F$3:$F$62,"&gt;"&amp;$A53,案件一覧!$C$3:$C$62,"&lt;&gt;キャンセル")&gt;1," ◆重複!",""))</f>
        <v/>
      </c>
      <c r="D53" s="18" t="str">
        <f aca="false">IF(COUNTIFS(案件一覧!$N$3:$N$62,D$3,案件一覧!$E$3:$E$62,"&lt;="&amp;$A53,案件一覧!$F$3:$F$62,"&gt;"&amp;$A53,案件一覧!$C$3:$C$62,"&lt;&gt;キャンセル")=0,"",INDEX(案件一覧!$J$3:$J$62,MATCH(1,INDEX((案件一覧!$N$3:$N$62=D$3)*(案件一覧!$E$3:$E$62&lt;=$A53)*(案件一覧!$F$3:$F$62&gt;$A53)*(案件一覧!$C$3:$C$62&lt;&gt;"キャンセル"),0),0))&amp;IF(COUNTIFS(案件一覧!$N$3:$N$62,D$3,案件一覧!$E$3:$E$62,"&lt;="&amp;$A53,案件一覧!$F$3:$F$62,"&gt;"&amp;$A53,案件一覧!$C$3:$C$62,"&lt;&gt;キャンセル")&gt;1," ◆重複!",""))</f>
        <v/>
      </c>
      <c r="E53" s="18" t="str">
        <f aca="false">IF(COUNTIFS(案件一覧!$N$3:$N$62,E$3,案件一覧!$E$3:$E$62,"&lt;="&amp;$A53,案件一覧!$F$3:$F$62,"&gt;"&amp;$A53,案件一覧!$C$3:$C$62,"&lt;&gt;キャンセル")=0,"",INDEX(案件一覧!$J$3:$J$62,MATCH(1,INDEX((案件一覧!$N$3:$N$62=E$3)*(案件一覧!$E$3:$E$62&lt;=$A53)*(案件一覧!$F$3:$F$62&gt;$A53)*(案件一覧!$C$3:$C$62&lt;&gt;"キャンセル"),0),0))&amp;IF(COUNTIFS(案件一覧!$N$3:$N$62,E$3,案件一覧!$E$3:$E$62,"&lt;="&amp;$A53,案件一覧!$F$3:$F$62,"&gt;"&amp;$A53,案件一覧!$C$3:$C$62,"&lt;&gt;キャンセル")&gt;1," ◆重複!",""))</f>
        <v/>
      </c>
      <c r="F53" s="18" t="str">
        <f aca="false">IF(COUNTIFS(案件一覧!$N$3:$N$62,F$3,案件一覧!$E$3:$E$62,"&lt;="&amp;$A53,案件一覧!$F$3:$F$62,"&gt;"&amp;$A53,案件一覧!$C$3:$C$62,"&lt;&gt;キャンセル")=0,"",INDEX(案件一覧!$J$3:$J$62,MATCH(1,INDEX((案件一覧!$N$3:$N$62=F$3)*(案件一覧!$E$3:$E$62&lt;=$A53)*(案件一覧!$F$3:$F$62&gt;$A53)*(案件一覧!$C$3:$C$62&lt;&gt;"キャンセル"),0),0))&amp;IF(COUNTIFS(案件一覧!$N$3:$N$62,F$3,案件一覧!$E$3:$E$62,"&lt;="&amp;$A53,案件一覧!$F$3:$F$62,"&gt;"&amp;$A53,案件一覧!$C$3:$C$62,"&lt;&gt;キャンセル")&gt;1," ◆重複!",""))</f>
        <v/>
      </c>
      <c r="G53" s="18" t="str">
        <f aca="false">IF(COUNTIFS(案件一覧!$N$3:$N$62,G$3,案件一覧!$E$3:$E$62,"&lt;="&amp;$A53,案件一覧!$F$3:$F$62,"&gt;"&amp;$A53,案件一覧!$C$3:$C$62,"&lt;&gt;キャンセル")=0,"",INDEX(案件一覧!$J$3:$J$62,MATCH(1,INDEX((案件一覧!$N$3:$N$62=G$3)*(案件一覧!$E$3:$E$62&lt;=$A53)*(案件一覧!$F$3:$F$62&gt;$A53)*(案件一覧!$C$3:$C$62&lt;&gt;"キャンセル"),0),0))&amp;IF(COUNTIFS(案件一覧!$N$3:$N$62,G$3,案件一覧!$E$3:$E$62,"&lt;="&amp;$A53,案件一覧!$F$3:$F$62,"&gt;"&amp;$A53,案件一覧!$C$3:$C$62,"&lt;&gt;キャンセル")&gt;1," ◆重複!",""))</f>
        <v/>
      </c>
      <c r="H53" s="18" t="str">
        <f aca="false">IF(COUNTIFS(案件一覧!$N$3:$N$62,H$3,案件一覧!$E$3:$E$62,"&lt;="&amp;$A53,案件一覧!$F$3:$F$62,"&gt;"&amp;$A53,案件一覧!$C$3:$C$62,"&lt;&gt;キャンセル")=0,"",INDEX(案件一覧!$J$3:$J$62,MATCH(1,INDEX((案件一覧!$N$3:$N$62=H$3)*(案件一覧!$E$3:$E$62&lt;=$A53)*(案件一覧!$F$3:$F$62&gt;$A53)*(案件一覧!$C$3:$C$62&lt;&gt;"キャンセル"),0),0))&amp;IF(COUNTIFS(案件一覧!$N$3:$N$62,H$3,案件一覧!$E$3:$E$62,"&lt;="&amp;$A53,案件一覧!$F$3:$F$62,"&gt;"&amp;$A53,案件一覧!$C$3:$C$62,"&lt;&gt;キャンセル")&gt;1," ◆重複!",""))</f>
        <v/>
      </c>
    </row>
    <row r="54" customFormat="false" ht="15" hidden="false" customHeight="false" outlineLevel="0" collapsed="false">
      <c r="A54" s="16" t="n">
        <v>46254</v>
      </c>
      <c r="B54" s="17" t="s">
        <v>43</v>
      </c>
      <c r="C54" s="18" t="str">
        <f aca="false">IF(COUNTIFS(案件一覧!$N$3:$N$62,C$3,案件一覧!$E$3:$E$62,"&lt;="&amp;$A54,案件一覧!$F$3:$F$62,"&gt;"&amp;$A54,案件一覧!$C$3:$C$62,"&lt;&gt;キャンセル")=0,"",INDEX(案件一覧!$J$3:$J$62,MATCH(1,INDEX((案件一覧!$N$3:$N$62=C$3)*(案件一覧!$E$3:$E$62&lt;=$A54)*(案件一覧!$F$3:$F$62&gt;$A54)*(案件一覧!$C$3:$C$62&lt;&gt;"キャンセル"),0),0))&amp;IF(COUNTIFS(案件一覧!$N$3:$N$62,C$3,案件一覧!$E$3:$E$62,"&lt;="&amp;$A54,案件一覧!$F$3:$F$62,"&gt;"&amp;$A54,案件一覧!$C$3:$C$62,"&lt;&gt;キャンセル")&gt;1," ◆重複!",""))</f>
        <v/>
      </c>
      <c r="D54" s="18" t="str">
        <f aca="false">IF(COUNTIFS(案件一覧!$N$3:$N$62,D$3,案件一覧!$E$3:$E$62,"&lt;="&amp;$A54,案件一覧!$F$3:$F$62,"&gt;"&amp;$A54,案件一覧!$C$3:$C$62,"&lt;&gt;キャンセル")=0,"",INDEX(案件一覧!$J$3:$J$62,MATCH(1,INDEX((案件一覧!$N$3:$N$62=D$3)*(案件一覧!$E$3:$E$62&lt;=$A54)*(案件一覧!$F$3:$F$62&gt;$A54)*(案件一覧!$C$3:$C$62&lt;&gt;"キャンセル"),0),0))&amp;IF(COUNTIFS(案件一覧!$N$3:$N$62,D$3,案件一覧!$E$3:$E$62,"&lt;="&amp;$A54,案件一覧!$F$3:$F$62,"&gt;"&amp;$A54,案件一覧!$C$3:$C$62,"&lt;&gt;キャンセル")&gt;1," ◆重複!",""))</f>
        <v/>
      </c>
      <c r="E54" s="18" t="str">
        <f aca="false">IF(COUNTIFS(案件一覧!$N$3:$N$62,E$3,案件一覧!$E$3:$E$62,"&lt;="&amp;$A54,案件一覧!$F$3:$F$62,"&gt;"&amp;$A54,案件一覧!$C$3:$C$62,"&lt;&gt;キャンセル")=0,"",INDEX(案件一覧!$J$3:$J$62,MATCH(1,INDEX((案件一覧!$N$3:$N$62=E$3)*(案件一覧!$E$3:$E$62&lt;=$A54)*(案件一覧!$F$3:$F$62&gt;$A54)*(案件一覧!$C$3:$C$62&lt;&gt;"キャンセル"),0),0))&amp;IF(COUNTIFS(案件一覧!$N$3:$N$62,E$3,案件一覧!$E$3:$E$62,"&lt;="&amp;$A54,案件一覧!$F$3:$F$62,"&gt;"&amp;$A54,案件一覧!$C$3:$C$62,"&lt;&gt;キャンセル")&gt;1," ◆重複!",""))</f>
        <v/>
      </c>
      <c r="F54" s="18" t="str">
        <f aca="false">IF(COUNTIFS(案件一覧!$N$3:$N$62,F$3,案件一覧!$E$3:$E$62,"&lt;="&amp;$A54,案件一覧!$F$3:$F$62,"&gt;"&amp;$A54,案件一覧!$C$3:$C$62,"&lt;&gt;キャンセル")=0,"",INDEX(案件一覧!$J$3:$J$62,MATCH(1,INDEX((案件一覧!$N$3:$N$62=F$3)*(案件一覧!$E$3:$E$62&lt;=$A54)*(案件一覧!$F$3:$F$62&gt;$A54)*(案件一覧!$C$3:$C$62&lt;&gt;"キャンセル"),0),0))&amp;IF(COUNTIFS(案件一覧!$N$3:$N$62,F$3,案件一覧!$E$3:$E$62,"&lt;="&amp;$A54,案件一覧!$F$3:$F$62,"&gt;"&amp;$A54,案件一覧!$C$3:$C$62,"&lt;&gt;キャンセル")&gt;1," ◆重複!",""))</f>
        <v/>
      </c>
      <c r="G54" s="18" t="str">
        <f aca="false">IF(COUNTIFS(案件一覧!$N$3:$N$62,G$3,案件一覧!$E$3:$E$62,"&lt;="&amp;$A54,案件一覧!$F$3:$F$62,"&gt;"&amp;$A54,案件一覧!$C$3:$C$62,"&lt;&gt;キャンセル")=0,"",INDEX(案件一覧!$J$3:$J$62,MATCH(1,INDEX((案件一覧!$N$3:$N$62=G$3)*(案件一覧!$E$3:$E$62&lt;=$A54)*(案件一覧!$F$3:$F$62&gt;$A54)*(案件一覧!$C$3:$C$62&lt;&gt;"キャンセル"),0),0))&amp;IF(COUNTIFS(案件一覧!$N$3:$N$62,G$3,案件一覧!$E$3:$E$62,"&lt;="&amp;$A54,案件一覧!$F$3:$F$62,"&gt;"&amp;$A54,案件一覧!$C$3:$C$62,"&lt;&gt;キャンセル")&gt;1," ◆重複!",""))</f>
        <v/>
      </c>
      <c r="H54" s="18" t="str">
        <f aca="false">IF(COUNTIFS(案件一覧!$N$3:$N$62,H$3,案件一覧!$E$3:$E$62,"&lt;="&amp;$A54,案件一覧!$F$3:$F$62,"&gt;"&amp;$A54,案件一覧!$C$3:$C$62,"&lt;&gt;キャンセル")=0,"",INDEX(案件一覧!$J$3:$J$62,MATCH(1,INDEX((案件一覧!$N$3:$N$62=H$3)*(案件一覧!$E$3:$E$62&lt;=$A54)*(案件一覧!$F$3:$F$62&gt;$A54)*(案件一覧!$C$3:$C$62&lt;&gt;"キャンセル"),0),0))&amp;IF(COUNTIFS(案件一覧!$N$3:$N$62,H$3,案件一覧!$E$3:$E$62,"&lt;="&amp;$A54,案件一覧!$F$3:$F$62,"&gt;"&amp;$A54,案件一覧!$C$3:$C$62,"&lt;&gt;キャンセル")&gt;1," ◆重複!",""))</f>
        <v/>
      </c>
    </row>
    <row r="55" customFormat="false" ht="15" hidden="false" customHeight="false" outlineLevel="0" collapsed="false">
      <c r="A55" s="16" t="n">
        <v>46255</v>
      </c>
      <c r="B55" s="17" t="s">
        <v>44</v>
      </c>
      <c r="C55" s="18" t="str">
        <f aca="false">IF(COUNTIFS(案件一覧!$N$3:$N$62,C$3,案件一覧!$E$3:$E$62,"&lt;="&amp;$A55,案件一覧!$F$3:$F$62,"&gt;"&amp;$A55,案件一覧!$C$3:$C$62,"&lt;&gt;キャンセル")=0,"",INDEX(案件一覧!$J$3:$J$62,MATCH(1,INDEX((案件一覧!$N$3:$N$62=C$3)*(案件一覧!$E$3:$E$62&lt;=$A55)*(案件一覧!$F$3:$F$62&gt;$A55)*(案件一覧!$C$3:$C$62&lt;&gt;"キャンセル"),0),0))&amp;IF(COUNTIFS(案件一覧!$N$3:$N$62,C$3,案件一覧!$E$3:$E$62,"&lt;="&amp;$A55,案件一覧!$F$3:$F$62,"&gt;"&amp;$A55,案件一覧!$C$3:$C$62,"&lt;&gt;キャンセル")&gt;1," ◆重複!",""))</f>
        <v/>
      </c>
      <c r="D55" s="18" t="str">
        <f aca="false">IF(COUNTIFS(案件一覧!$N$3:$N$62,D$3,案件一覧!$E$3:$E$62,"&lt;="&amp;$A55,案件一覧!$F$3:$F$62,"&gt;"&amp;$A55,案件一覧!$C$3:$C$62,"&lt;&gt;キャンセル")=0,"",INDEX(案件一覧!$J$3:$J$62,MATCH(1,INDEX((案件一覧!$N$3:$N$62=D$3)*(案件一覧!$E$3:$E$62&lt;=$A55)*(案件一覧!$F$3:$F$62&gt;$A55)*(案件一覧!$C$3:$C$62&lt;&gt;"キャンセル"),0),0))&amp;IF(COUNTIFS(案件一覧!$N$3:$N$62,D$3,案件一覧!$E$3:$E$62,"&lt;="&amp;$A55,案件一覧!$F$3:$F$62,"&gt;"&amp;$A55,案件一覧!$C$3:$C$62,"&lt;&gt;キャンセル")&gt;1," ◆重複!",""))</f>
        <v/>
      </c>
      <c r="E55" s="18" t="str">
        <f aca="false">IF(COUNTIFS(案件一覧!$N$3:$N$62,E$3,案件一覧!$E$3:$E$62,"&lt;="&amp;$A55,案件一覧!$F$3:$F$62,"&gt;"&amp;$A55,案件一覧!$C$3:$C$62,"&lt;&gt;キャンセル")=0,"",INDEX(案件一覧!$J$3:$J$62,MATCH(1,INDEX((案件一覧!$N$3:$N$62=E$3)*(案件一覧!$E$3:$E$62&lt;=$A55)*(案件一覧!$F$3:$F$62&gt;$A55)*(案件一覧!$C$3:$C$62&lt;&gt;"キャンセル"),0),0))&amp;IF(COUNTIFS(案件一覧!$N$3:$N$62,E$3,案件一覧!$E$3:$E$62,"&lt;="&amp;$A55,案件一覧!$F$3:$F$62,"&gt;"&amp;$A55,案件一覧!$C$3:$C$62,"&lt;&gt;キャンセル")&gt;1," ◆重複!",""))</f>
        <v/>
      </c>
      <c r="F55" s="18" t="str">
        <f aca="false">IF(COUNTIFS(案件一覧!$N$3:$N$62,F$3,案件一覧!$E$3:$E$62,"&lt;="&amp;$A55,案件一覧!$F$3:$F$62,"&gt;"&amp;$A55,案件一覧!$C$3:$C$62,"&lt;&gt;キャンセル")=0,"",INDEX(案件一覧!$J$3:$J$62,MATCH(1,INDEX((案件一覧!$N$3:$N$62=F$3)*(案件一覧!$E$3:$E$62&lt;=$A55)*(案件一覧!$F$3:$F$62&gt;$A55)*(案件一覧!$C$3:$C$62&lt;&gt;"キャンセル"),0),0))&amp;IF(COUNTIFS(案件一覧!$N$3:$N$62,F$3,案件一覧!$E$3:$E$62,"&lt;="&amp;$A55,案件一覧!$F$3:$F$62,"&gt;"&amp;$A55,案件一覧!$C$3:$C$62,"&lt;&gt;キャンセル")&gt;1," ◆重複!",""))</f>
        <v/>
      </c>
      <c r="G55" s="18" t="str">
        <f aca="false">IF(COUNTIFS(案件一覧!$N$3:$N$62,G$3,案件一覧!$E$3:$E$62,"&lt;="&amp;$A55,案件一覧!$F$3:$F$62,"&gt;"&amp;$A55,案件一覧!$C$3:$C$62,"&lt;&gt;キャンセル")=0,"",INDEX(案件一覧!$J$3:$J$62,MATCH(1,INDEX((案件一覧!$N$3:$N$62=G$3)*(案件一覧!$E$3:$E$62&lt;=$A55)*(案件一覧!$F$3:$F$62&gt;$A55)*(案件一覧!$C$3:$C$62&lt;&gt;"キャンセル"),0),0))&amp;IF(COUNTIFS(案件一覧!$N$3:$N$62,G$3,案件一覧!$E$3:$E$62,"&lt;="&amp;$A55,案件一覧!$F$3:$F$62,"&gt;"&amp;$A55,案件一覧!$C$3:$C$62,"&lt;&gt;キャンセル")&gt;1," ◆重複!",""))</f>
        <v/>
      </c>
      <c r="H55" s="18" t="str">
        <f aca="false">IF(COUNTIFS(案件一覧!$N$3:$N$62,H$3,案件一覧!$E$3:$E$62,"&lt;="&amp;$A55,案件一覧!$F$3:$F$62,"&gt;"&amp;$A55,案件一覧!$C$3:$C$62,"&lt;&gt;キャンセル")=0,"",INDEX(案件一覧!$J$3:$J$62,MATCH(1,INDEX((案件一覧!$N$3:$N$62=H$3)*(案件一覧!$E$3:$E$62&lt;=$A55)*(案件一覧!$F$3:$F$62&gt;$A55)*(案件一覧!$C$3:$C$62&lt;&gt;"キャンセル"),0),0))&amp;IF(COUNTIFS(案件一覧!$N$3:$N$62,H$3,案件一覧!$E$3:$E$62,"&lt;="&amp;$A55,案件一覧!$F$3:$F$62,"&gt;"&amp;$A55,案件一覧!$C$3:$C$62,"&lt;&gt;キャンセル")&gt;1," ◆重複!",""))</f>
        <v/>
      </c>
    </row>
    <row r="56" customFormat="false" ht="15" hidden="false" customHeight="false" outlineLevel="0" collapsed="false">
      <c r="A56" s="19" t="n">
        <v>46256</v>
      </c>
      <c r="B56" s="20" t="s">
        <v>45</v>
      </c>
      <c r="C56" s="21" t="str">
        <f aca="false">IF(COUNTIFS(案件一覧!$N$3:$N$62,C$3,案件一覧!$E$3:$E$62,"&lt;="&amp;$A56,案件一覧!$F$3:$F$62,"&gt;"&amp;$A56,案件一覧!$C$3:$C$62,"&lt;&gt;キャンセル")=0,"",INDEX(案件一覧!$J$3:$J$62,MATCH(1,INDEX((案件一覧!$N$3:$N$62=C$3)*(案件一覧!$E$3:$E$62&lt;=$A56)*(案件一覧!$F$3:$F$62&gt;$A56)*(案件一覧!$C$3:$C$62&lt;&gt;"キャンセル"),0),0))&amp;IF(COUNTIFS(案件一覧!$N$3:$N$62,C$3,案件一覧!$E$3:$E$62,"&lt;="&amp;$A56,案件一覧!$F$3:$F$62,"&gt;"&amp;$A56,案件一覧!$C$3:$C$62,"&lt;&gt;キャンセル")&gt;1," ◆重複!",""))</f>
        <v/>
      </c>
      <c r="D56" s="21" t="str">
        <f aca="false">IF(COUNTIFS(案件一覧!$N$3:$N$62,D$3,案件一覧!$E$3:$E$62,"&lt;="&amp;$A56,案件一覧!$F$3:$F$62,"&gt;"&amp;$A56,案件一覧!$C$3:$C$62,"&lt;&gt;キャンセル")=0,"",INDEX(案件一覧!$J$3:$J$62,MATCH(1,INDEX((案件一覧!$N$3:$N$62=D$3)*(案件一覧!$E$3:$E$62&lt;=$A56)*(案件一覧!$F$3:$F$62&gt;$A56)*(案件一覧!$C$3:$C$62&lt;&gt;"キャンセル"),0),0))&amp;IF(COUNTIFS(案件一覧!$N$3:$N$62,D$3,案件一覧!$E$3:$E$62,"&lt;="&amp;$A56,案件一覧!$F$3:$F$62,"&gt;"&amp;$A56,案件一覧!$C$3:$C$62,"&lt;&gt;キャンセル")&gt;1," ◆重複!",""))</f>
        <v/>
      </c>
      <c r="E56" s="21" t="str">
        <f aca="false">IF(COUNTIFS(案件一覧!$N$3:$N$62,E$3,案件一覧!$E$3:$E$62,"&lt;="&amp;$A56,案件一覧!$F$3:$F$62,"&gt;"&amp;$A56,案件一覧!$C$3:$C$62,"&lt;&gt;キャンセル")=0,"",INDEX(案件一覧!$J$3:$J$62,MATCH(1,INDEX((案件一覧!$N$3:$N$62=E$3)*(案件一覧!$E$3:$E$62&lt;=$A56)*(案件一覧!$F$3:$F$62&gt;$A56)*(案件一覧!$C$3:$C$62&lt;&gt;"キャンセル"),0),0))&amp;IF(COUNTIFS(案件一覧!$N$3:$N$62,E$3,案件一覧!$E$3:$E$62,"&lt;="&amp;$A56,案件一覧!$F$3:$F$62,"&gt;"&amp;$A56,案件一覧!$C$3:$C$62,"&lt;&gt;キャンセル")&gt;1," ◆重複!",""))</f>
        <v/>
      </c>
      <c r="F56" s="21" t="str">
        <f aca="false">IF(COUNTIFS(案件一覧!$N$3:$N$62,F$3,案件一覧!$E$3:$E$62,"&lt;="&amp;$A56,案件一覧!$F$3:$F$62,"&gt;"&amp;$A56,案件一覧!$C$3:$C$62,"&lt;&gt;キャンセル")=0,"",INDEX(案件一覧!$J$3:$J$62,MATCH(1,INDEX((案件一覧!$N$3:$N$62=F$3)*(案件一覧!$E$3:$E$62&lt;=$A56)*(案件一覧!$F$3:$F$62&gt;$A56)*(案件一覧!$C$3:$C$62&lt;&gt;"キャンセル"),0),0))&amp;IF(COUNTIFS(案件一覧!$N$3:$N$62,F$3,案件一覧!$E$3:$E$62,"&lt;="&amp;$A56,案件一覧!$F$3:$F$62,"&gt;"&amp;$A56,案件一覧!$C$3:$C$62,"&lt;&gt;キャンセル")&gt;1," ◆重複!",""))</f>
        <v/>
      </c>
      <c r="G56" s="21" t="str">
        <f aca="false">IF(COUNTIFS(案件一覧!$N$3:$N$62,G$3,案件一覧!$E$3:$E$62,"&lt;="&amp;$A56,案件一覧!$F$3:$F$62,"&gt;"&amp;$A56,案件一覧!$C$3:$C$62,"&lt;&gt;キャンセル")=0,"",INDEX(案件一覧!$J$3:$J$62,MATCH(1,INDEX((案件一覧!$N$3:$N$62=G$3)*(案件一覧!$E$3:$E$62&lt;=$A56)*(案件一覧!$F$3:$F$62&gt;$A56)*(案件一覧!$C$3:$C$62&lt;&gt;"キャンセル"),0),0))&amp;IF(COUNTIFS(案件一覧!$N$3:$N$62,G$3,案件一覧!$E$3:$E$62,"&lt;="&amp;$A56,案件一覧!$F$3:$F$62,"&gt;"&amp;$A56,案件一覧!$C$3:$C$62,"&lt;&gt;キャンセル")&gt;1," ◆重複!",""))</f>
        <v/>
      </c>
      <c r="H56" s="21" t="str">
        <f aca="false">IF(COUNTIFS(案件一覧!$N$3:$N$62,H$3,案件一覧!$E$3:$E$62,"&lt;="&amp;$A56,案件一覧!$F$3:$F$62,"&gt;"&amp;$A56,案件一覧!$C$3:$C$62,"&lt;&gt;キャンセル")=0,"",INDEX(案件一覧!$J$3:$J$62,MATCH(1,INDEX((案件一覧!$N$3:$N$62=H$3)*(案件一覧!$E$3:$E$62&lt;=$A56)*(案件一覧!$F$3:$F$62&gt;$A56)*(案件一覧!$C$3:$C$62&lt;&gt;"キャンセル"),0),0))&amp;IF(COUNTIFS(案件一覧!$N$3:$N$62,H$3,案件一覧!$E$3:$E$62,"&lt;="&amp;$A56,案件一覧!$F$3:$F$62,"&gt;"&amp;$A56,案件一覧!$C$3:$C$62,"&lt;&gt;キャンセル")&gt;1," ◆重複!",""))</f>
        <v/>
      </c>
    </row>
    <row r="57" customFormat="false" ht="15" hidden="false" customHeight="false" outlineLevel="0" collapsed="false">
      <c r="A57" s="22" t="n">
        <v>46257</v>
      </c>
      <c r="B57" s="23" t="s">
        <v>46</v>
      </c>
      <c r="C57" s="24" t="str">
        <f aca="false">IF(COUNTIFS(案件一覧!$N$3:$N$62,C$3,案件一覧!$E$3:$E$62,"&lt;="&amp;$A57,案件一覧!$F$3:$F$62,"&gt;"&amp;$A57,案件一覧!$C$3:$C$62,"&lt;&gt;キャンセル")=0,"",INDEX(案件一覧!$J$3:$J$62,MATCH(1,INDEX((案件一覧!$N$3:$N$62=C$3)*(案件一覧!$E$3:$E$62&lt;=$A57)*(案件一覧!$F$3:$F$62&gt;$A57)*(案件一覧!$C$3:$C$62&lt;&gt;"キャンセル"),0),0))&amp;IF(COUNTIFS(案件一覧!$N$3:$N$62,C$3,案件一覧!$E$3:$E$62,"&lt;="&amp;$A57,案件一覧!$F$3:$F$62,"&gt;"&amp;$A57,案件一覧!$C$3:$C$62,"&lt;&gt;キャンセル")&gt;1," ◆重複!",""))</f>
        <v/>
      </c>
      <c r="D57" s="24" t="str">
        <f aca="false">IF(COUNTIFS(案件一覧!$N$3:$N$62,D$3,案件一覧!$E$3:$E$62,"&lt;="&amp;$A57,案件一覧!$F$3:$F$62,"&gt;"&amp;$A57,案件一覧!$C$3:$C$62,"&lt;&gt;キャンセル")=0,"",INDEX(案件一覧!$J$3:$J$62,MATCH(1,INDEX((案件一覧!$N$3:$N$62=D$3)*(案件一覧!$E$3:$E$62&lt;=$A57)*(案件一覧!$F$3:$F$62&gt;$A57)*(案件一覧!$C$3:$C$62&lt;&gt;"キャンセル"),0),0))&amp;IF(COUNTIFS(案件一覧!$N$3:$N$62,D$3,案件一覧!$E$3:$E$62,"&lt;="&amp;$A57,案件一覧!$F$3:$F$62,"&gt;"&amp;$A57,案件一覧!$C$3:$C$62,"&lt;&gt;キャンセル")&gt;1," ◆重複!",""))</f>
        <v/>
      </c>
      <c r="E57" s="24" t="str">
        <f aca="false">IF(COUNTIFS(案件一覧!$N$3:$N$62,E$3,案件一覧!$E$3:$E$62,"&lt;="&amp;$A57,案件一覧!$F$3:$F$62,"&gt;"&amp;$A57,案件一覧!$C$3:$C$62,"&lt;&gt;キャンセル")=0,"",INDEX(案件一覧!$J$3:$J$62,MATCH(1,INDEX((案件一覧!$N$3:$N$62=E$3)*(案件一覧!$E$3:$E$62&lt;=$A57)*(案件一覧!$F$3:$F$62&gt;$A57)*(案件一覧!$C$3:$C$62&lt;&gt;"キャンセル"),0),0))&amp;IF(COUNTIFS(案件一覧!$N$3:$N$62,E$3,案件一覧!$E$3:$E$62,"&lt;="&amp;$A57,案件一覧!$F$3:$F$62,"&gt;"&amp;$A57,案件一覧!$C$3:$C$62,"&lt;&gt;キャンセル")&gt;1," ◆重複!",""))</f>
        <v/>
      </c>
      <c r="F57" s="24" t="str">
        <f aca="false">IF(COUNTIFS(案件一覧!$N$3:$N$62,F$3,案件一覧!$E$3:$E$62,"&lt;="&amp;$A57,案件一覧!$F$3:$F$62,"&gt;"&amp;$A57,案件一覧!$C$3:$C$62,"&lt;&gt;キャンセル")=0,"",INDEX(案件一覧!$J$3:$J$62,MATCH(1,INDEX((案件一覧!$N$3:$N$62=F$3)*(案件一覧!$E$3:$E$62&lt;=$A57)*(案件一覧!$F$3:$F$62&gt;$A57)*(案件一覧!$C$3:$C$62&lt;&gt;"キャンセル"),0),0))&amp;IF(COUNTIFS(案件一覧!$N$3:$N$62,F$3,案件一覧!$E$3:$E$62,"&lt;="&amp;$A57,案件一覧!$F$3:$F$62,"&gt;"&amp;$A57,案件一覧!$C$3:$C$62,"&lt;&gt;キャンセル")&gt;1," ◆重複!",""))</f>
        <v/>
      </c>
      <c r="G57" s="24" t="str">
        <f aca="false">IF(COUNTIFS(案件一覧!$N$3:$N$62,G$3,案件一覧!$E$3:$E$62,"&lt;="&amp;$A57,案件一覧!$F$3:$F$62,"&gt;"&amp;$A57,案件一覧!$C$3:$C$62,"&lt;&gt;キャンセル")=0,"",INDEX(案件一覧!$J$3:$J$62,MATCH(1,INDEX((案件一覧!$N$3:$N$62=G$3)*(案件一覧!$E$3:$E$62&lt;=$A57)*(案件一覧!$F$3:$F$62&gt;$A57)*(案件一覧!$C$3:$C$62&lt;&gt;"キャンセル"),0),0))&amp;IF(COUNTIFS(案件一覧!$N$3:$N$62,G$3,案件一覧!$E$3:$E$62,"&lt;="&amp;$A57,案件一覧!$F$3:$F$62,"&gt;"&amp;$A57,案件一覧!$C$3:$C$62,"&lt;&gt;キャンセル")&gt;1," ◆重複!",""))</f>
        <v/>
      </c>
      <c r="H57" s="24" t="str">
        <f aca="false">IF(COUNTIFS(案件一覧!$N$3:$N$62,H$3,案件一覧!$E$3:$E$62,"&lt;="&amp;$A57,案件一覧!$F$3:$F$62,"&gt;"&amp;$A57,案件一覧!$C$3:$C$62,"&lt;&gt;キャンセル")=0,"",INDEX(案件一覧!$J$3:$J$62,MATCH(1,INDEX((案件一覧!$N$3:$N$62=H$3)*(案件一覧!$E$3:$E$62&lt;=$A57)*(案件一覧!$F$3:$F$62&gt;$A57)*(案件一覧!$C$3:$C$62&lt;&gt;"キャンセル"),0),0))&amp;IF(COUNTIFS(案件一覧!$N$3:$N$62,H$3,案件一覧!$E$3:$E$62,"&lt;="&amp;$A57,案件一覧!$F$3:$F$62,"&gt;"&amp;$A57,案件一覧!$C$3:$C$62,"&lt;&gt;キャンセル")&gt;1," ◆重複!",""))</f>
        <v/>
      </c>
    </row>
    <row r="58" customFormat="false" ht="15" hidden="false" customHeight="false" outlineLevel="0" collapsed="false">
      <c r="A58" s="16" t="n">
        <v>46258</v>
      </c>
      <c r="B58" s="17" t="s">
        <v>47</v>
      </c>
      <c r="C58" s="18" t="str">
        <f aca="false">IF(COUNTIFS(案件一覧!$N$3:$N$62,C$3,案件一覧!$E$3:$E$62,"&lt;="&amp;$A58,案件一覧!$F$3:$F$62,"&gt;"&amp;$A58,案件一覧!$C$3:$C$62,"&lt;&gt;キャンセル")=0,"",INDEX(案件一覧!$J$3:$J$62,MATCH(1,INDEX((案件一覧!$N$3:$N$62=C$3)*(案件一覧!$E$3:$E$62&lt;=$A58)*(案件一覧!$F$3:$F$62&gt;$A58)*(案件一覧!$C$3:$C$62&lt;&gt;"キャンセル"),0),0))&amp;IF(COUNTIFS(案件一覧!$N$3:$N$62,C$3,案件一覧!$E$3:$E$62,"&lt;="&amp;$A58,案件一覧!$F$3:$F$62,"&gt;"&amp;$A58,案件一覧!$C$3:$C$62,"&lt;&gt;キャンセル")&gt;1," ◆重複!",""))</f>
        <v/>
      </c>
      <c r="D58" s="18" t="str">
        <f aca="false">IF(COUNTIFS(案件一覧!$N$3:$N$62,D$3,案件一覧!$E$3:$E$62,"&lt;="&amp;$A58,案件一覧!$F$3:$F$62,"&gt;"&amp;$A58,案件一覧!$C$3:$C$62,"&lt;&gt;キャンセル")=0,"",INDEX(案件一覧!$J$3:$J$62,MATCH(1,INDEX((案件一覧!$N$3:$N$62=D$3)*(案件一覧!$E$3:$E$62&lt;=$A58)*(案件一覧!$F$3:$F$62&gt;$A58)*(案件一覧!$C$3:$C$62&lt;&gt;"キャンセル"),0),0))&amp;IF(COUNTIFS(案件一覧!$N$3:$N$62,D$3,案件一覧!$E$3:$E$62,"&lt;="&amp;$A58,案件一覧!$F$3:$F$62,"&gt;"&amp;$A58,案件一覧!$C$3:$C$62,"&lt;&gt;キャンセル")&gt;1," ◆重複!",""))</f>
        <v/>
      </c>
      <c r="E58" s="18" t="str">
        <f aca="false">IF(COUNTIFS(案件一覧!$N$3:$N$62,E$3,案件一覧!$E$3:$E$62,"&lt;="&amp;$A58,案件一覧!$F$3:$F$62,"&gt;"&amp;$A58,案件一覧!$C$3:$C$62,"&lt;&gt;キャンセル")=0,"",INDEX(案件一覧!$J$3:$J$62,MATCH(1,INDEX((案件一覧!$N$3:$N$62=E$3)*(案件一覧!$E$3:$E$62&lt;=$A58)*(案件一覧!$F$3:$F$62&gt;$A58)*(案件一覧!$C$3:$C$62&lt;&gt;"キャンセル"),0),0))&amp;IF(COUNTIFS(案件一覧!$N$3:$N$62,E$3,案件一覧!$E$3:$E$62,"&lt;="&amp;$A58,案件一覧!$F$3:$F$62,"&gt;"&amp;$A58,案件一覧!$C$3:$C$62,"&lt;&gt;キャンセル")&gt;1," ◆重複!",""))</f>
        <v/>
      </c>
      <c r="F58" s="18" t="str">
        <f aca="false">IF(COUNTIFS(案件一覧!$N$3:$N$62,F$3,案件一覧!$E$3:$E$62,"&lt;="&amp;$A58,案件一覧!$F$3:$F$62,"&gt;"&amp;$A58,案件一覧!$C$3:$C$62,"&lt;&gt;キャンセル")=0,"",INDEX(案件一覧!$J$3:$J$62,MATCH(1,INDEX((案件一覧!$N$3:$N$62=F$3)*(案件一覧!$E$3:$E$62&lt;=$A58)*(案件一覧!$F$3:$F$62&gt;$A58)*(案件一覧!$C$3:$C$62&lt;&gt;"キャンセル"),0),0))&amp;IF(COUNTIFS(案件一覧!$N$3:$N$62,F$3,案件一覧!$E$3:$E$62,"&lt;="&amp;$A58,案件一覧!$F$3:$F$62,"&gt;"&amp;$A58,案件一覧!$C$3:$C$62,"&lt;&gt;キャンセル")&gt;1," ◆重複!",""))</f>
        <v/>
      </c>
      <c r="G58" s="18" t="str">
        <f aca="false">IF(COUNTIFS(案件一覧!$N$3:$N$62,G$3,案件一覧!$E$3:$E$62,"&lt;="&amp;$A58,案件一覧!$F$3:$F$62,"&gt;"&amp;$A58,案件一覧!$C$3:$C$62,"&lt;&gt;キャンセル")=0,"",INDEX(案件一覧!$J$3:$J$62,MATCH(1,INDEX((案件一覧!$N$3:$N$62=G$3)*(案件一覧!$E$3:$E$62&lt;=$A58)*(案件一覧!$F$3:$F$62&gt;$A58)*(案件一覧!$C$3:$C$62&lt;&gt;"キャンセル"),0),0))&amp;IF(COUNTIFS(案件一覧!$N$3:$N$62,G$3,案件一覧!$E$3:$E$62,"&lt;="&amp;$A58,案件一覧!$F$3:$F$62,"&gt;"&amp;$A58,案件一覧!$C$3:$C$62,"&lt;&gt;キャンセル")&gt;1," ◆重複!",""))</f>
        <v/>
      </c>
      <c r="H58" s="18" t="str">
        <f aca="false">IF(COUNTIFS(案件一覧!$N$3:$N$62,H$3,案件一覧!$E$3:$E$62,"&lt;="&amp;$A58,案件一覧!$F$3:$F$62,"&gt;"&amp;$A58,案件一覧!$C$3:$C$62,"&lt;&gt;キャンセル")=0,"",INDEX(案件一覧!$J$3:$J$62,MATCH(1,INDEX((案件一覧!$N$3:$N$62=H$3)*(案件一覧!$E$3:$E$62&lt;=$A58)*(案件一覧!$F$3:$F$62&gt;$A58)*(案件一覧!$C$3:$C$62&lt;&gt;"キャンセル"),0),0))&amp;IF(COUNTIFS(案件一覧!$N$3:$N$62,H$3,案件一覧!$E$3:$E$62,"&lt;="&amp;$A58,案件一覧!$F$3:$F$62,"&gt;"&amp;$A58,案件一覧!$C$3:$C$62,"&lt;&gt;キャンセル")&gt;1," ◆重複!",""))</f>
        <v/>
      </c>
    </row>
    <row r="59" customFormat="false" ht="15" hidden="false" customHeight="false" outlineLevel="0" collapsed="false">
      <c r="A59" s="16" t="n">
        <v>46259</v>
      </c>
      <c r="B59" s="17" t="s">
        <v>48</v>
      </c>
      <c r="C59" s="18" t="str">
        <f aca="false">IF(COUNTIFS(案件一覧!$N$3:$N$62,C$3,案件一覧!$E$3:$E$62,"&lt;="&amp;$A59,案件一覧!$F$3:$F$62,"&gt;"&amp;$A59,案件一覧!$C$3:$C$62,"&lt;&gt;キャンセル")=0,"",INDEX(案件一覧!$J$3:$J$62,MATCH(1,INDEX((案件一覧!$N$3:$N$62=C$3)*(案件一覧!$E$3:$E$62&lt;=$A59)*(案件一覧!$F$3:$F$62&gt;$A59)*(案件一覧!$C$3:$C$62&lt;&gt;"キャンセル"),0),0))&amp;IF(COUNTIFS(案件一覧!$N$3:$N$62,C$3,案件一覧!$E$3:$E$62,"&lt;="&amp;$A59,案件一覧!$F$3:$F$62,"&gt;"&amp;$A59,案件一覧!$C$3:$C$62,"&lt;&gt;キャンセル")&gt;1," ◆重複!",""))</f>
        <v/>
      </c>
      <c r="D59" s="18" t="str">
        <f aca="false">IF(COUNTIFS(案件一覧!$N$3:$N$62,D$3,案件一覧!$E$3:$E$62,"&lt;="&amp;$A59,案件一覧!$F$3:$F$62,"&gt;"&amp;$A59,案件一覧!$C$3:$C$62,"&lt;&gt;キャンセル")=0,"",INDEX(案件一覧!$J$3:$J$62,MATCH(1,INDEX((案件一覧!$N$3:$N$62=D$3)*(案件一覧!$E$3:$E$62&lt;=$A59)*(案件一覧!$F$3:$F$62&gt;$A59)*(案件一覧!$C$3:$C$62&lt;&gt;"キャンセル"),0),0))&amp;IF(COUNTIFS(案件一覧!$N$3:$N$62,D$3,案件一覧!$E$3:$E$62,"&lt;="&amp;$A59,案件一覧!$F$3:$F$62,"&gt;"&amp;$A59,案件一覧!$C$3:$C$62,"&lt;&gt;キャンセル")&gt;1," ◆重複!",""))</f>
        <v/>
      </c>
      <c r="E59" s="18" t="str">
        <f aca="false">IF(COUNTIFS(案件一覧!$N$3:$N$62,E$3,案件一覧!$E$3:$E$62,"&lt;="&amp;$A59,案件一覧!$F$3:$F$62,"&gt;"&amp;$A59,案件一覧!$C$3:$C$62,"&lt;&gt;キャンセル")=0,"",INDEX(案件一覧!$J$3:$J$62,MATCH(1,INDEX((案件一覧!$N$3:$N$62=E$3)*(案件一覧!$E$3:$E$62&lt;=$A59)*(案件一覧!$F$3:$F$62&gt;$A59)*(案件一覧!$C$3:$C$62&lt;&gt;"キャンセル"),0),0))&amp;IF(COUNTIFS(案件一覧!$N$3:$N$62,E$3,案件一覧!$E$3:$E$62,"&lt;="&amp;$A59,案件一覧!$F$3:$F$62,"&gt;"&amp;$A59,案件一覧!$C$3:$C$62,"&lt;&gt;キャンセル")&gt;1," ◆重複!",""))</f>
        <v/>
      </c>
      <c r="F59" s="18" t="str">
        <f aca="false">IF(COUNTIFS(案件一覧!$N$3:$N$62,F$3,案件一覧!$E$3:$E$62,"&lt;="&amp;$A59,案件一覧!$F$3:$F$62,"&gt;"&amp;$A59,案件一覧!$C$3:$C$62,"&lt;&gt;キャンセル")=0,"",INDEX(案件一覧!$J$3:$J$62,MATCH(1,INDEX((案件一覧!$N$3:$N$62=F$3)*(案件一覧!$E$3:$E$62&lt;=$A59)*(案件一覧!$F$3:$F$62&gt;$A59)*(案件一覧!$C$3:$C$62&lt;&gt;"キャンセル"),0),0))&amp;IF(COUNTIFS(案件一覧!$N$3:$N$62,F$3,案件一覧!$E$3:$E$62,"&lt;="&amp;$A59,案件一覧!$F$3:$F$62,"&gt;"&amp;$A59,案件一覧!$C$3:$C$62,"&lt;&gt;キャンセル")&gt;1," ◆重複!",""))</f>
        <v/>
      </c>
      <c r="G59" s="18" t="str">
        <f aca="false">IF(COUNTIFS(案件一覧!$N$3:$N$62,G$3,案件一覧!$E$3:$E$62,"&lt;="&amp;$A59,案件一覧!$F$3:$F$62,"&gt;"&amp;$A59,案件一覧!$C$3:$C$62,"&lt;&gt;キャンセル")=0,"",INDEX(案件一覧!$J$3:$J$62,MATCH(1,INDEX((案件一覧!$N$3:$N$62=G$3)*(案件一覧!$E$3:$E$62&lt;=$A59)*(案件一覧!$F$3:$F$62&gt;$A59)*(案件一覧!$C$3:$C$62&lt;&gt;"キャンセル"),0),0))&amp;IF(COUNTIFS(案件一覧!$N$3:$N$62,G$3,案件一覧!$E$3:$E$62,"&lt;="&amp;$A59,案件一覧!$F$3:$F$62,"&gt;"&amp;$A59,案件一覧!$C$3:$C$62,"&lt;&gt;キャンセル")&gt;1," ◆重複!",""))</f>
        <v/>
      </c>
      <c r="H59" s="18" t="str">
        <f aca="false">IF(COUNTIFS(案件一覧!$N$3:$N$62,H$3,案件一覧!$E$3:$E$62,"&lt;="&amp;$A59,案件一覧!$F$3:$F$62,"&gt;"&amp;$A59,案件一覧!$C$3:$C$62,"&lt;&gt;キャンセル")=0,"",INDEX(案件一覧!$J$3:$J$62,MATCH(1,INDEX((案件一覧!$N$3:$N$62=H$3)*(案件一覧!$E$3:$E$62&lt;=$A59)*(案件一覧!$F$3:$F$62&gt;$A59)*(案件一覧!$C$3:$C$62&lt;&gt;"キャンセル"),0),0))&amp;IF(COUNTIFS(案件一覧!$N$3:$N$62,H$3,案件一覧!$E$3:$E$62,"&lt;="&amp;$A59,案件一覧!$F$3:$F$62,"&gt;"&amp;$A59,案件一覧!$C$3:$C$62,"&lt;&gt;キャンセル")&gt;1," ◆重複!",""))</f>
        <v/>
      </c>
    </row>
    <row r="60" customFormat="false" ht="15" hidden="false" customHeight="false" outlineLevel="0" collapsed="false">
      <c r="A60" s="16" t="n">
        <v>46260</v>
      </c>
      <c r="B60" s="17" t="s">
        <v>42</v>
      </c>
      <c r="C60" s="18" t="str">
        <f aca="false">IF(COUNTIFS(案件一覧!$N$3:$N$62,C$3,案件一覧!$E$3:$E$62,"&lt;="&amp;$A60,案件一覧!$F$3:$F$62,"&gt;"&amp;$A60,案件一覧!$C$3:$C$62,"&lt;&gt;キャンセル")=0,"",INDEX(案件一覧!$J$3:$J$62,MATCH(1,INDEX((案件一覧!$N$3:$N$62=C$3)*(案件一覧!$E$3:$E$62&lt;=$A60)*(案件一覧!$F$3:$F$62&gt;$A60)*(案件一覧!$C$3:$C$62&lt;&gt;"キャンセル"),0),0))&amp;IF(COUNTIFS(案件一覧!$N$3:$N$62,C$3,案件一覧!$E$3:$E$62,"&lt;="&amp;$A60,案件一覧!$F$3:$F$62,"&gt;"&amp;$A60,案件一覧!$C$3:$C$62,"&lt;&gt;キャンセル")&gt;1," ◆重複!",""))</f>
        <v/>
      </c>
      <c r="D60" s="18" t="str">
        <f aca="false">IF(COUNTIFS(案件一覧!$N$3:$N$62,D$3,案件一覧!$E$3:$E$62,"&lt;="&amp;$A60,案件一覧!$F$3:$F$62,"&gt;"&amp;$A60,案件一覧!$C$3:$C$62,"&lt;&gt;キャンセル")=0,"",INDEX(案件一覧!$J$3:$J$62,MATCH(1,INDEX((案件一覧!$N$3:$N$62=D$3)*(案件一覧!$E$3:$E$62&lt;=$A60)*(案件一覧!$F$3:$F$62&gt;$A60)*(案件一覧!$C$3:$C$62&lt;&gt;"キャンセル"),0),0))&amp;IF(COUNTIFS(案件一覧!$N$3:$N$62,D$3,案件一覧!$E$3:$E$62,"&lt;="&amp;$A60,案件一覧!$F$3:$F$62,"&gt;"&amp;$A60,案件一覧!$C$3:$C$62,"&lt;&gt;キャンセル")&gt;1," ◆重複!",""))</f>
        <v/>
      </c>
      <c r="E60" s="18" t="str">
        <f aca="false">IF(COUNTIFS(案件一覧!$N$3:$N$62,E$3,案件一覧!$E$3:$E$62,"&lt;="&amp;$A60,案件一覧!$F$3:$F$62,"&gt;"&amp;$A60,案件一覧!$C$3:$C$62,"&lt;&gt;キャンセル")=0,"",INDEX(案件一覧!$J$3:$J$62,MATCH(1,INDEX((案件一覧!$N$3:$N$62=E$3)*(案件一覧!$E$3:$E$62&lt;=$A60)*(案件一覧!$F$3:$F$62&gt;$A60)*(案件一覧!$C$3:$C$62&lt;&gt;"キャンセル"),0),0))&amp;IF(COUNTIFS(案件一覧!$N$3:$N$62,E$3,案件一覧!$E$3:$E$62,"&lt;="&amp;$A60,案件一覧!$F$3:$F$62,"&gt;"&amp;$A60,案件一覧!$C$3:$C$62,"&lt;&gt;キャンセル")&gt;1," ◆重複!",""))</f>
        <v/>
      </c>
      <c r="F60" s="18" t="str">
        <f aca="false">IF(COUNTIFS(案件一覧!$N$3:$N$62,F$3,案件一覧!$E$3:$E$62,"&lt;="&amp;$A60,案件一覧!$F$3:$F$62,"&gt;"&amp;$A60,案件一覧!$C$3:$C$62,"&lt;&gt;キャンセル")=0,"",INDEX(案件一覧!$J$3:$J$62,MATCH(1,INDEX((案件一覧!$N$3:$N$62=F$3)*(案件一覧!$E$3:$E$62&lt;=$A60)*(案件一覧!$F$3:$F$62&gt;$A60)*(案件一覧!$C$3:$C$62&lt;&gt;"キャンセル"),0),0))&amp;IF(COUNTIFS(案件一覧!$N$3:$N$62,F$3,案件一覧!$E$3:$E$62,"&lt;="&amp;$A60,案件一覧!$F$3:$F$62,"&gt;"&amp;$A60,案件一覧!$C$3:$C$62,"&lt;&gt;キャンセル")&gt;1," ◆重複!",""))</f>
        <v/>
      </c>
      <c r="G60" s="18" t="str">
        <f aca="false">IF(COUNTIFS(案件一覧!$N$3:$N$62,G$3,案件一覧!$E$3:$E$62,"&lt;="&amp;$A60,案件一覧!$F$3:$F$62,"&gt;"&amp;$A60,案件一覧!$C$3:$C$62,"&lt;&gt;キャンセル")=0,"",INDEX(案件一覧!$J$3:$J$62,MATCH(1,INDEX((案件一覧!$N$3:$N$62=G$3)*(案件一覧!$E$3:$E$62&lt;=$A60)*(案件一覧!$F$3:$F$62&gt;$A60)*(案件一覧!$C$3:$C$62&lt;&gt;"キャンセル"),0),0))&amp;IF(COUNTIFS(案件一覧!$N$3:$N$62,G$3,案件一覧!$E$3:$E$62,"&lt;="&amp;$A60,案件一覧!$F$3:$F$62,"&gt;"&amp;$A60,案件一覧!$C$3:$C$62,"&lt;&gt;キャンセル")&gt;1," ◆重複!",""))</f>
        <v/>
      </c>
      <c r="H60" s="18" t="str">
        <f aca="false">IF(COUNTIFS(案件一覧!$N$3:$N$62,H$3,案件一覧!$E$3:$E$62,"&lt;="&amp;$A60,案件一覧!$F$3:$F$62,"&gt;"&amp;$A60,案件一覧!$C$3:$C$62,"&lt;&gt;キャンセル")=0,"",INDEX(案件一覧!$J$3:$J$62,MATCH(1,INDEX((案件一覧!$N$3:$N$62=H$3)*(案件一覧!$E$3:$E$62&lt;=$A60)*(案件一覧!$F$3:$F$62&gt;$A60)*(案件一覧!$C$3:$C$62&lt;&gt;"キャンセル"),0),0))&amp;IF(COUNTIFS(案件一覧!$N$3:$N$62,H$3,案件一覧!$E$3:$E$62,"&lt;="&amp;$A60,案件一覧!$F$3:$F$62,"&gt;"&amp;$A60,案件一覧!$C$3:$C$62,"&lt;&gt;キャンセル")&gt;1," ◆重複!",""))</f>
        <v/>
      </c>
    </row>
    <row r="61" customFormat="false" ht="15" hidden="false" customHeight="false" outlineLevel="0" collapsed="false">
      <c r="A61" s="16" t="n">
        <v>46261</v>
      </c>
      <c r="B61" s="17" t="s">
        <v>43</v>
      </c>
      <c r="C61" s="18" t="str">
        <f aca="false">IF(COUNTIFS(案件一覧!$N$3:$N$62,C$3,案件一覧!$E$3:$E$62,"&lt;="&amp;$A61,案件一覧!$F$3:$F$62,"&gt;"&amp;$A61,案件一覧!$C$3:$C$62,"&lt;&gt;キャンセル")=0,"",INDEX(案件一覧!$J$3:$J$62,MATCH(1,INDEX((案件一覧!$N$3:$N$62=C$3)*(案件一覧!$E$3:$E$62&lt;=$A61)*(案件一覧!$F$3:$F$62&gt;$A61)*(案件一覧!$C$3:$C$62&lt;&gt;"キャンセル"),0),0))&amp;IF(COUNTIFS(案件一覧!$N$3:$N$62,C$3,案件一覧!$E$3:$E$62,"&lt;="&amp;$A61,案件一覧!$F$3:$F$62,"&gt;"&amp;$A61,案件一覧!$C$3:$C$62,"&lt;&gt;キャンセル")&gt;1," ◆重複!",""))</f>
        <v/>
      </c>
      <c r="D61" s="18" t="str">
        <f aca="false">IF(COUNTIFS(案件一覧!$N$3:$N$62,D$3,案件一覧!$E$3:$E$62,"&lt;="&amp;$A61,案件一覧!$F$3:$F$62,"&gt;"&amp;$A61,案件一覧!$C$3:$C$62,"&lt;&gt;キャンセル")=0,"",INDEX(案件一覧!$J$3:$J$62,MATCH(1,INDEX((案件一覧!$N$3:$N$62=D$3)*(案件一覧!$E$3:$E$62&lt;=$A61)*(案件一覧!$F$3:$F$62&gt;$A61)*(案件一覧!$C$3:$C$62&lt;&gt;"キャンセル"),0),0))&amp;IF(COUNTIFS(案件一覧!$N$3:$N$62,D$3,案件一覧!$E$3:$E$62,"&lt;="&amp;$A61,案件一覧!$F$3:$F$62,"&gt;"&amp;$A61,案件一覧!$C$3:$C$62,"&lt;&gt;キャンセル")&gt;1," ◆重複!",""))</f>
        <v/>
      </c>
      <c r="E61" s="18" t="str">
        <f aca="false">IF(COUNTIFS(案件一覧!$N$3:$N$62,E$3,案件一覧!$E$3:$E$62,"&lt;="&amp;$A61,案件一覧!$F$3:$F$62,"&gt;"&amp;$A61,案件一覧!$C$3:$C$62,"&lt;&gt;キャンセル")=0,"",INDEX(案件一覧!$J$3:$J$62,MATCH(1,INDEX((案件一覧!$N$3:$N$62=E$3)*(案件一覧!$E$3:$E$62&lt;=$A61)*(案件一覧!$F$3:$F$62&gt;$A61)*(案件一覧!$C$3:$C$62&lt;&gt;"キャンセル"),0),0))&amp;IF(COUNTIFS(案件一覧!$N$3:$N$62,E$3,案件一覧!$E$3:$E$62,"&lt;="&amp;$A61,案件一覧!$F$3:$F$62,"&gt;"&amp;$A61,案件一覧!$C$3:$C$62,"&lt;&gt;キャンセル")&gt;1," ◆重複!",""))</f>
        <v/>
      </c>
      <c r="F61" s="18" t="str">
        <f aca="false">IF(COUNTIFS(案件一覧!$N$3:$N$62,F$3,案件一覧!$E$3:$E$62,"&lt;="&amp;$A61,案件一覧!$F$3:$F$62,"&gt;"&amp;$A61,案件一覧!$C$3:$C$62,"&lt;&gt;キャンセル")=0,"",INDEX(案件一覧!$J$3:$J$62,MATCH(1,INDEX((案件一覧!$N$3:$N$62=F$3)*(案件一覧!$E$3:$E$62&lt;=$A61)*(案件一覧!$F$3:$F$62&gt;$A61)*(案件一覧!$C$3:$C$62&lt;&gt;"キャンセル"),0),0))&amp;IF(COUNTIFS(案件一覧!$N$3:$N$62,F$3,案件一覧!$E$3:$E$62,"&lt;="&amp;$A61,案件一覧!$F$3:$F$62,"&gt;"&amp;$A61,案件一覧!$C$3:$C$62,"&lt;&gt;キャンセル")&gt;1," ◆重複!",""))</f>
        <v/>
      </c>
      <c r="G61" s="18" t="str">
        <f aca="false">IF(COUNTIFS(案件一覧!$N$3:$N$62,G$3,案件一覧!$E$3:$E$62,"&lt;="&amp;$A61,案件一覧!$F$3:$F$62,"&gt;"&amp;$A61,案件一覧!$C$3:$C$62,"&lt;&gt;キャンセル")=0,"",INDEX(案件一覧!$J$3:$J$62,MATCH(1,INDEX((案件一覧!$N$3:$N$62=G$3)*(案件一覧!$E$3:$E$62&lt;=$A61)*(案件一覧!$F$3:$F$62&gt;$A61)*(案件一覧!$C$3:$C$62&lt;&gt;"キャンセル"),0),0))&amp;IF(COUNTIFS(案件一覧!$N$3:$N$62,G$3,案件一覧!$E$3:$E$62,"&lt;="&amp;$A61,案件一覧!$F$3:$F$62,"&gt;"&amp;$A61,案件一覧!$C$3:$C$62,"&lt;&gt;キャンセル")&gt;1," ◆重複!",""))</f>
        <v/>
      </c>
      <c r="H61" s="18" t="str">
        <f aca="false">IF(COUNTIFS(案件一覧!$N$3:$N$62,H$3,案件一覧!$E$3:$E$62,"&lt;="&amp;$A61,案件一覧!$F$3:$F$62,"&gt;"&amp;$A61,案件一覧!$C$3:$C$62,"&lt;&gt;キャンセル")=0,"",INDEX(案件一覧!$J$3:$J$62,MATCH(1,INDEX((案件一覧!$N$3:$N$62=H$3)*(案件一覧!$E$3:$E$62&lt;=$A61)*(案件一覧!$F$3:$F$62&gt;$A61)*(案件一覧!$C$3:$C$62&lt;&gt;"キャンセル"),0),0))&amp;IF(COUNTIFS(案件一覧!$N$3:$N$62,H$3,案件一覧!$E$3:$E$62,"&lt;="&amp;$A61,案件一覧!$F$3:$F$62,"&gt;"&amp;$A61,案件一覧!$C$3:$C$62,"&lt;&gt;キャンセル")&gt;1," ◆重複!",""))</f>
        <v/>
      </c>
    </row>
    <row r="62" customFormat="false" ht="15" hidden="false" customHeight="false" outlineLevel="0" collapsed="false">
      <c r="A62" s="16" t="n">
        <v>46262</v>
      </c>
      <c r="B62" s="17" t="s">
        <v>44</v>
      </c>
      <c r="C62" s="18" t="str">
        <f aca="false">IF(COUNTIFS(案件一覧!$N$3:$N$62,C$3,案件一覧!$E$3:$E$62,"&lt;="&amp;$A62,案件一覧!$F$3:$F$62,"&gt;"&amp;$A62,案件一覧!$C$3:$C$62,"&lt;&gt;キャンセル")=0,"",INDEX(案件一覧!$J$3:$J$62,MATCH(1,INDEX((案件一覧!$N$3:$N$62=C$3)*(案件一覧!$E$3:$E$62&lt;=$A62)*(案件一覧!$F$3:$F$62&gt;$A62)*(案件一覧!$C$3:$C$62&lt;&gt;"キャンセル"),0),0))&amp;IF(COUNTIFS(案件一覧!$N$3:$N$62,C$3,案件一覧!$E$3:$E$62,"&lt;="&amp;$A62,案件一覧!$F$3:$F$62,"&gt;"&amp;$A62,案件一覧!$C$3:$C$62,"&lt;&gt;キャンセル")&gt;1," ◆重複!",""))</f>
        <v/>
      </c>
      <c r="D62" s="18" t="str">
        <f aca="false">IF(COUNTIFS(案件一覧!$N$3:$N$62,D$3,案件一覧!$E$3:$E$62,"&lt;="&amp;$A62,案件一覧!$F$3:$F$62,"&gt;"&amp;$A62,案件一覧!$C$3:$C$62,"&lt;&gt;キャンセル")=0,"",INDEX(案件一覧!$J$3:$J$62,MATCH(1,INDEX((案件一覧!$N$3:$N$62=D$3)*(案件一覧!$E$3:$E$62&lt;=$A62)*(案件一覧!$F$3:$F$62&gt;$A62)*(案件一覧!$C$3:$C$62&lt;&gt;"キャンセル"),0),0))&amp;IF(COUNTIFS(案件一覧!$N$3:$N$62,D$3,案件一覧!$E$3:$E$62,"&lt;="&amp;$A62,案件一覧!$F$3:$F$62,"&gt;"&amp;$A62,案件一覧!$C$3:$C$62,"&lt;&gt;キャンセル")&gt;1," ◆重複!",""))</f>
        <v/>
      </c>
      <c r="E62" s="18" t="str">
        <f aca="false">IF(COUNTIFS(案件一覧!$N$3:$N$62,E$3,案件一覧!$E$3:$E$62,"&lt;="&amp;$A62,案件一覧!$F$3:$F$62,"&gt;"&amp;$A62,案件一覧!$C$3:$C$62,"&lt;&gt;キャンセル")=0,"",INDEX(案件一覧!$J$3:$J$62,MATCH(1,INDEX((案件一覧!$N$3:$N$62=E$3)*(案件一覧!$E$3:$E$62&lt;=$A62)*(案件一覧!$F$3:$F$62&gt;$A62)*(案件一覧!$C$3:$C$62&lt;&gt;"キャンセル"),0),0))&amp;IF(COUNTIFS(案件一覧!$N$3:$N$62,E$3,案件一覧!$E$3:$E$62,"&lt;="&amp;$A62,案件一覧!$F$3:$F$62,"&gt;"&amp;$A62,案件一覧!$C$3:$C$62,"&lt;&gt;キャンセル")&gt;1," ◆重複!",""))</f>
        <v/>
      </c>
      <c r="F62" s="18" t="str">
        <f aca="false">IF(COUNTIFS(案件一覧!$N$3:$N$62,F$3,案件一覧!$E$3:$E$62,"&lt;="&amp;$A62,案件一覧!$F$3:$F$62,"&gt;"&amp;$A62,案件一覧!$C$3:$C$62,"&lt;&gt;キャンセル")=0,"",INDEX(案件一覧!$J$3:$J$62,MATCH(1,INDEX((案件一覧!$N$3:$N$62=F$3)*(案件一覧!$E$3:$E$62&lt;=$A62)*(案件一覧!$F$3:$F$62&gt;$A62)*(案件一覧!$C$3:$C$62&lt;&gt;"キャンセル"),0),0))&amp;IF(COUNTIFS(案件一覧!$N$3:$N$62,F$3,案件一覧!$E$3:$E$62,"&lt;="&amp;$A62,案件一覧!$F$3:$F$62,"&gt;"&amp;$A62,案件一覧!$C$3:$C$62,"&lt;&gt;キャンセル")&gt;1," ◆重複!",""))</f>
        <v/>
      </c>
      <c r="G62" s="18" t="str">
        <f aca="false">IF(COUNTIFS(案件一覧!$N$3:$N$62,G$3,案件一覧!$E$3:$E$62,"&lt;="&amp;$A62,案件一覧!$F$3:$F$62,"&gt;"&amp;$A62,案件一覧!$C$3:$C$62,"&lt;&gt;キャンセル")=0,"",INDEX(案件一覧!$J$3:$J$62,MATCH(1,INDEX((案件一覧!$N$3:$N$62=G$3)*(案件一覧!$E$3:$E$62&lt;=$A62)*(案件一覧!$F$3:$F$62&gt;$A62)*(案件一覧!$C$3:$C$62&lt;&gt;"キャンセル"),0),0))&amp;IF(COUNTIFS(案件一覧!$N$3:$N$62,G$3,案件一覧!$E$3:$E$62,"&lt;="&amp;$A62,案件一覧!$F$3:$F$62,"&gt;"&amp;$A62,案件一覧!$C$3:$C$62,"&lt;&gt;キャンセル")&gt;1," ◆重複!",""))</f>
        <v/>
      </c>
      <c r="H62" s="18" t="str">
        <f aca="false">IF(COUNTIFS(案件一覧!$N$3:$N$62,H$3,案件一覧!$E$3:$E$62,"&lt;="&amp;$A62,案件一覧!$F$3:$F$62,"&gt;"&amp;$A62,案件一覧!$C$3:$C$62,"&lt;&gt;キャンセル")=0,"",INDEX(案件一覧!$J$3:$J$62,MATCH(1,INDEX((案件一覧!$N$3:$N$62=H$3)*(案件一覧!$E$3:$E$62&lt;=$A62)*(案件一覧!$F$3:$F$62&gt;$A62)*(案件一覧!$C$3:$C$62&lt;&gt;"キャンセル"),0),0))&amp;IF(COUNTIFS(案件一覧!$N$3:$N$62,H$3,案件一覧!$E$3:$E$62,"&lt;="&amp;$A62,案件一覧!$F$3:$F$62,"&gt;"&amp;$A62,案件一覧!$C$3:$C$62,"&lt;&gt;キャンセル")&gt;1," ◆重複!",""))</f>
        <v/>
      </c>
    </row>
    <row r="63" customFormat="false" ht="15" hidden="false" customHeight="false" outlineLevel="0" collapsed="false">
      <c r="A63" s="19" t="n">
        <v>46263</v>
      </c>
      <c r="B63" s="20" t="s">
        <v>45</v>
      </c>
      <c r="C63" s="21" t="str">
        <f aca="false">IF(COUNTIFS(案件一覧!$N$3:$N$62,C$3,案件一覧!$E$3:$E$62,"&lt;="&amp;$A63,案件一覧!$F$3:$F$62,"&gt;"&amp;$A63,案件一覧!$C$3:$C$62,"&lt;&gt;キャンセル")=0,"",INDEX(案件一覧!$J$3:$J$62,MATCH(1,INDEX((案件一覧!$N$3:$N$62=C$3)*(案件一覧!$E$3:$E$62&lt;=$A63)*(案件一覧!$F$3:$F$62&gt;$A63)*(案件一覧!$C$3:$C$62&lt;&gt;"キャンセル"),0),0))&amp;IF(COUNTIFS(案件一覧!$N$3:$N$62,C$3,案件一覧!$E$3:$E$62,"&lt;="&amp;$A63,案件一覧!$F$3:$F$62,"&gt;"&amp;$A63,案件一覧!$C$3:$C$62,"&lt;&gt;キャンセル")&gt;1," ◆重複!",""))</f>
        <v/>
      </c>
      <c r="D63" s="21" t="str">
        <f aca="false">IF(COUNTIFS(案件一覧!$N$3:$N$62,D$3,案件一覧!$E$3:$E$62,"&lt;="&amp;$A63,案件一覧!$F$3:$F$62,"&gt;"&amp;$A63,案件一覧!$C$3:$C$62,"&lt;&gt;キャンセル")=0,"",INDEX(案件一覧!$J$3:$J$62,MATCH(1,INDEX((案件一覧!$N$3:$N$62=D$3)*(案件一覧!$E$3:$E$62&lt;=$A63)*(案件一覧!$F$3:$F$62&gt;$A63)*(案件一覧!$C$3:$C$62&lt;&gt;"キャンセル"),0),0))&amp;IF(COUNTIFS(案件一覧!$N$3:$N$62,D$3,案件一覧!$E$3:$E$62,"&lt;="&amp;$A63,案件一覧!$F$3:$F$62,"&gt;"&amp;$A63,案件一覧!$C$3:$C$62,"&lt;&gt;キャンセル")&gt;1," ◆重複!",""))</f>
        <v/>
      </c>
      <c r="E63" s="21" t="str">
        <f aca="false">IF(COUNTIFS(案件一覧!$N$3:$N$62,E$3,案件一覧!$E$3:$E$62,"&lt;="&amp;$A63,案件一覧!$F$3:$F$62,"&gt;"&amp;$A63,案件一覧!$C$3:$C$62,"&lt;&gt;キャンセル")=0,"",INDEX(案件一覧!$J$3:$J$62,MATCH(1,INDEX((案件一覧!$N$3:$N$62=E$3)*(案件一覧!$E$3:$E$62&lt;=$A63)*(案件一覧!$F$3:$F$62&gt;$A63)*(案件一覧!$C$3:$C$62&lt;&gt;"キャンセル"),0),0))&amp;IF(COUNTIFS(案件一覧!$N$3:$N$62,E$3,案件一覧!$E$3:$E$62,"&lt;="&amp;$A63,案件一覧!$F$3:$F$62,"&gt;"&amp;$A63,案件一覧!$C$3:$C$62,"&lt;&gt;キャンセル")&gt;1," ◆重複!",""))</f>
        <v/>
      </c>
      <c r="F63" s="21" t="str">
        <f aca="false">IF(COUNTIFS(案件一覧!$N$3:$N$62,F$3,案件一覧!$E$3:$E$62,"&lt;="&amp;$A63,案件一覧!$F$3:$F$62,"&gt;"&amp;$A63,案件一覧!$C$3:$C$62,"&lt;&gt;キャンセル")=0,"",INDEX(案件一覧!$J$3:$J$62,MATCH(1,INDEX((案件一覧!$N$3:$N$62=F$3)*(案件一覧!$E$3:$E$62&lt;=$A63)*(案件一覧!$F$3:$F$62&gt;$A63)*(案件一覧!$C$3:$C$62&lt;&gt;"キャンセル"),0),0))&amp;IF(COUNTIFS(案件一覧!$N$3:$N$62,F$3,案件一覧!$E$3:$E$62,"&lt;="&amp;$A63,案件一覧!$F$3:$F$62,"&gt;"&amp;$A63,案件一覧!$C$3:$C$62,"&lt;&gt;キャンセル")&gt;1," ◆重複!",""))</f>
        <v/>
      </c>
      <c r="G63" s="21" t="str">
        <f aca="false">IF(COUNTIFS(案件一覧!$N$3:$N$62,G$3,案件一覧!$E$3:$E$62,"&lt;="&amp;$A63,案件一覧!$F$3:$F$62,"&gt;"&amp;$A63,案件一覧!$C$3:$C$62,"&lt;&gt;キャンセル")=0,"",INDEX(案件一覧!$J$3:$J$62,MATCH(1,INDEX((案件一覧!$N$3:$N$62=G$3)*(案件一覧!$E$3:$E$62&lt;=$A63)*(案件一覧!$F$3:$F$62&gt;$A63)*(案件一覧!$C$3:$C$62&lt;&gt;"キャンセル"),0),0))&amp;IF(COUNTIFS(案件一覧!$N$3:$N$62,G$3,案件一覧!$E$3:$E$62,"&lt;="&amp;$A63,案件一覧!$F$3:$F$62,"&gt;"&amp;$A63,案件一覧!$C$3:$C$62,"&lt;&gt;キャンセル")&gt;1," ◆重複!",""))</f>
        <v/>
      </c>
      <c r="H63" s="21" t="str">
        <f aca="false">IF(COUNTIFS(案件一覧!$N$3:$N$62,H$3,案件一覧!$E$3:$E$62,"&lt;="&amp;$A63,案件一覧!$F$3:$F$62,"&gt;"&amp;$A63,案件一覧!$C$3:$C$62,"&lt;&gt;キャンセル")=0,"",INDEX(案件一覧!$J$3:$J$62,MATCH(1,INDEX((案件一覧!$N$3:$N$62=H$3)*(案件一覧!$E$3:$E$62&lt;=$A63)*(案件一覧!$F$3:$F$62&gt;$A63)*(案件一覧!$C$3:$C$62&lt;&gt;"キャンセル"),0),0))&amp;IF(COUNTIFS(案件一覧!$N$3:$N$62,H$3,案件一覧!$E$3:$E$62,"&lt;="&amp;$A63,案件一覧!$F$3:$F$62,"&gt;"&amp;$A63,案件一覧!$C$3:$C$62,"&lt;&gt;キャンセル")&gt;1," ◆重複!",""))</f>
        <v/>
      </c>
    </row>
    <row r="64" customFormat="false" ht="15" hidden="false" customHeight="false" outlineLevel="0" collapsed="false">
      <c r="A64" s="22" t="n">
        <v>46264</v>
      </c>
      <c r="B64" s="23" t="s">
        <v>46</v>
      </c>
      <c r="C64" s="24" t="str">
        <f aca="false">IF(COUNTIFS(案件一覧!$N$3:$N$62,C$3,案件一覧!$E$3:$E$62,"&lt;="&amp;$A64,案件一覧!$F$3:$F$62,"&gt;"&amp;$A64,案件一覧!$C$3:$C$62,"&lt;&gt;キャンセル")=0,"",INDEX(案件一覧!$J$3:$J$62,MATCH(1,INDEX((案件一覧!$N$3:$N$62=C$3)*(案件一覧!$E$3:$E$62&lt;=$A64)*(案件一覧!$F$3:$F$62&gt;$A64)*(案件一覧!$C$3:$C$62&lt;&gt;"キャンセル"),0),0))&amp;IF(COUNTIFS(案件一覧!$N$3:$N$62,C$3,案件一覧!$E$3:$E$62,"&lt;="&amp;$A64,案件一覧!$F$3:$F$62,"&gt;"&amp;$A64,案件一覧!$C$3:$C$62,"&lt;&gt;キャンセル")&gt;1," ◆重複!",""))</f>
        <v/>
      </c>
      <c r="D64" s="24" t="str">
        <f aca="false">IF(COUNTIFS(案件一覧!$N$3:$N$62,D$3,案件一覧!$E$3:$E$62,"&lt;="&amp;$A64,案件一覧!$F$3:$F$62,"&gt;"&amp;$A64,案件一覧!$C$3:$C$62,"&lt;&gt;キャンセル")=0,"",INDEX(案件一覧!$J$3:$J$62,MATCH(1,INDEX((案件一覧!$N$3:$N$62=D$3)*(案件一覧!$E$3:$E$62&lt;=$A64)*(案件一覧!$F$3:$F$62&gt;$A64)*(案件一覧!$C$3:$C$62&lt;&gt;"キャンセル"),0),0))&amp;IF(COUNTIFS(案件一覧!$N$3:$N$62,D$3,案件一覧!$E$3:$E$62,"&lt;="&amp;$A64,案件一覧!$F$3:$F$62,"&gt;"&amp;$A64,案件一覧!$C$3:$C$62,"&lt;&gt;キャンセル")&gt;1," ◆重複!",""))</f>
        <v/>
      </c>
      <c r="E64" s="24" t="str">
        <f aca="false">IF(COUNTIFS(案件一覧!$N$3:$N$62,E$3,案件一覧!$E$3:$E$62,"&lt;="&amp;$A64,案件一覧!$F$3:$F$62,"&gt;"&amp;$A64,案件一覧!$C$3:$C$62,"&lt;&gt;キャンセル")=0,"",INDEX(案件一覧!$J$3:$J$62,MATCH(1,INDEX((案件一覧!$N$3:$N$62=E$3)*(案件一覧!$E$3:$E$62&lt;=$A64)*(案件一覧!$F$3:$F$62&gt;$A64)*(案件一覧!$C$3:$C$62&lt;&gt;"キャンセル"),0),0))&amp;IF(COUNTIFS(案件一覧!$N$3:$N$62,E$3,案件一覧!$E$3:$E$62,"&lt;="&amp;$A64,案件一覧!$F$3:$F$62,"&gt;"&amp;$A64,案件一覧!$C$3:$C$62,"&lt;&gt;キャンセル")&gt;1," ◆重複!",""))</f>
        <v/>
      </c>
      <c r="F64" s="24" t="str">
        <f aca="false">IF(COUNTIFS(案件一覧!$N$3:$N$62,F$3,案件一覧!$E$3:$E$62,"&lt;="&amp;$A64,案件一覧!$F$3:$F$62,"&gt;"&amp;$A64,案件一覧!$C$3:$C$62,"&lt;&gt;キャンセル")=0,"",INDEX(案件一覧!$J$3:$J$62,MATCH(1,INDEX((案件一覧!$N$3:$N$62=F$3)*(案件一覧!$E$3:$E$62&lt;=$A64)*(案件一覧!$F$3:$F$62&gt;$A64)*(案件一覧!$C$3:$C$62&lt;&gt;"キャンセル"),0),0))&amp;IF(COUNTIFS(案件一覧!$N$3:$N$62,F$3,案件一覧!$E$3:$E$62,"&lt;="&amp;$A64,案件一覧!$F$3:$F$62,"&gt;"&amp;$A64,案件一覧!$C$3:$C$62,"&lt;&gt;キャンセル")&gt;1," ◆重複!",""))</f>
        <v/>
      </c>
      <c r="G64" s="24" t="str">
        <f aca="false">IF(COUNTIFS(案件一覧!$N$3:$N$62,G$3,案件一覧!$E$3:$E$62,"&lt;="&amp;$A64,案件一覧!$F$3:$F$62,"&gt;"&amp;$A64,案件一覧!$C$3:$C$62,"&lt;&gt;キャンセル")=0,"",INDEX(案件一覧!$J$3:$J$62,MATCH(1,INDEX((案件一覧!$N$3:$N$62=G$3)*(案件一覧!$E$3:$E$62&lt;=$A64)*(案件一覧!$F$3:$F$62&gt;$A64)*(案件一覧!$C$3:$C$62&lt;&gt;"キャンセル"),0),0))&amp;IF(COUNTIFS(案件一覧!$N$3:$N$62,G$3,案件一覧!$E$3:$E$62,"&lt;="&amp;$A64,案件一覧!$F$3:$F$62,"&gt;"&amp;$A64,案件一覧!$C$3:$C$62,"&lt;&gt;キャンセル")&gt;1," ◆重複!",""))</f>
        <v/>
      </c>
      <c r="H64" s="24" t="str">
        <f aca="false">IF(COUNTIFS(案件一覧!$N$3:$N$62,H$3,案件一覧!$E$3:$E$62,"&lt;="&amp;$A64,案件一覧!$F$3:$F$62,"&gt;"&amp;$A64,案件一覧!$C$3:$C$62,"&lt;&gt;キャンセル")=0,"",INDEX(案件一覧!$J$3:$J$62,MATCH(1,INDEX((案件一覧!$N$3:$N$62=H$3)*(案件一覧!$E$3:$E$62&lt;=$A64)*(案件一覧!$F$3:$F$62&gt;$A64)*(案件一覧!$C$3:$C$62&lt;&gt;"キャンセル"),0),0))&amp;IF(COUNTIFS(案件一覧!$N$3:$N$62,H$3,案件一覧!$E$3:$E$62,"&lt;="&amp;$A64,案件一覧!$F$3:$F$62,"&gt;"&amp;$A64,案件一覧!$C$3:$C$62,"&lt;&gt;キャンセル")&gt;1," ◆重複!",""))</f>
        <v/>
      </c>
    </row>
    <row r="65" customFormat="false" ht="15" hidden="false" customHeight="false" outlineLevel="0" collapsed="false">
      <c r="A65" s="16" t="n">
        <v>46265</v>
      </c>
      <c r="B65" s="17" t="s">
        <v>47</v>
      </c>
      <c r="C65" s="18" t="str">
        <f aca="false">IF(COUNTIFS(案件一覧!$N$3:$N$62,C$3,案件一覧!$E$3:$E$62,"&lt;="&amp;$A65,案件一覧!$F$3:$F$62,"&gt;"&amp;$A65,案件一覧!$C$3:$C$62,"&lt;&gt;キャンセル")=0,"",INDEX(案件一覧!$J$3:$J$62,MATCH(1,INDEX((案件一覧!$N$3:$N$62=C$3)*(案件一覧!$E$3:$E$62&lt;=$A65)*(案件一覧!$F$3:$F$62&gt;$A65)*(案件一覧!$C$3:$C$62&lt;&gt;"キャンセル"),0),0))&amp;IF(COUNTIFS(案件一覧!$N$3:$N$62,C$3,案件一覧!$E$3:$E$62,"&lt;="&amp;$A65,案件一覧!$F$3:$F$62,"&gt;"&amp;$A65,案件一覧!$C$3:$C$62,"&lt;&gt;キャンセル")&gt;1," ◆重複!",""))</f>
        <v/>
      </c>
      <c r="D65" s="18" t="str">
        <f aca="false">IF(COUNTIFS(案件一覧!$N$3:$N$62,D$3,案件一覧!$E$3:$E$62,"&lt;="&amp;$A65,案件一覧!$F$3:$F$62,"&gt;"&amp;$A65,案件一覧!$C$3:$C$62,"&lt;&gt;キャンセル")=0,"",INDEX(案件一覧!$J$3:$J$62,MATCH(1,INDEX((案件一覧!$N$3:$N$62=D$3)*(案件一覧!$E$3:$E$62&lt;=$A65)*(案件一覧!$F$3:$F$62&gt;$A65)*(案件一覧!$C$3:$C$62&lt;&gt;"キャンセル"),0),0))&amp;IF(COUNTIFS(案件一覧!$N$3:$N$62,D$3,案件一覧!$E$3:$E$62,"&lt;="&amp;$A65,案件一覧!$F$3:$F$62,"&gt;"&amp;$A65,案件一覧!$C$3:$C$62,"&lt;&gt;キャンセル")&gt;1," ◆重複!",""))</f>
        <v/>
      </c>
      <c r="E65" s="18" t="str">
        <f aca="false">IF(COUNTIFS(案件一覧!$N$3:$N$62,E$3,案件一覧!$E$3:$E$62,"&lt;="&amp;$A65,案件一覧!$F$3:$F$62,"&gt;"&amp;$A65,案件一覧!$C$3:$C$62,"&lt;&gt;キャンセル")=0,"",INDEX(案件一覧!$J$3:$J$62,MATCH(1,INDEX((案件一覧!$N$3:$N$62=E$3)*(案件一覧!$E$3:$E$62&lt;=$A65)*(案件一覧!$F$3:$F$62&gt;$A65)*(案件一覧!$C$3:$C$62&lt;&gt;"キャンセル"),0),0))&amp;IF(COUNTIFS(案件一覧!$N$3:$N$62,E$3,案件一覧!$E$3:$E$62,"&lt;="&amp;$A65,案件一覧!$F$3:$F$62,"&gt;"&amp;$A65,案件一覧!$C$3:$C$62,"&lt;&gt;キャンセル")&gt;1," ◆重複!",""))</f>
        <v/>
      </c>
      <c r="F65" s="18" t="str">
        <f aca="false">IF(COUNTIFS(案件一覧!$N$3:$N$62,F$3,案件一覧!$E$3:$E$62,"&lt;="&amp;$A65,案件一覧!$F$3:$F$62,"&gt;"&amp;$A65,案件一覧!$C$3:$C$62,"&lt;&gt;キャンセル")=0,"",INDEX(案件一覧!$J$3:$J$62,MATCH(1,INDEX((案件一覧!$N$3:$N$62=F$3)*(案件一覧!$E$3:$E$62&lt;=$A65)*(案件一覧!$F$3:$F$62&gt;$A65)*(案件一覧!$C$3:$C$62&lt;&gt;"キャンセル"),0),0))&amp;IF(COUNTIFS(案件一覧!$N$3:$N$62,F$3,案件一覧!$E$3:$E$62,"&lt;="&amp;$A65,案件一覧!$F$3:$F$62,"&gt;"&amp;$A65,案件一覧!$C$3:$C$62,"&lt;&gt;キャンセル")&gt;1," ◆重複!",""))</f>
        <v/>
      </c>
      <c r="G65" s="18" t="str">
        <f aca="false">IF(COUNTIFS(案件一覧!$N$3:$N$62,G$3,案件一覧!$E$3:$E$62,"&lt;="&amp;$A65,案件一覧!$F$3:$F$62,"&gt;"&amp;$A65,案件一覧!$C$3:$C$62,"&lt;&gt;キャンセル")=0,"",INDEX(案件一覧!$J$3:$J$62,MATCH(1,INDEX((案件一覧!$N$3:$N$62=G$3)*(案件一覧!$E$3:$E$62&lt;=$A65)*(案件一覧!$F$3:$F$62&gt;$A65)*(案件一覧!$C$3:$C$62&lt;&gt;"キャンセル"),0),0))&amp;IF(COUNTIFS(案件一覧!$N$3:$N$62,G$3,案件一覧!$E$3:$E$62,"&lt;="&amp;$A65,案件一覧!$F$3:$F$62,"&gt;"&amp;$A65,案件一覧!$C$3:$C$62,"&lt;&gt;キャンセル")&gt;1," ◆重複!",""))</f>
        <v/>
      </c>
      <c r="H65" s="18" t="str">
        <f aca="false">IF(COUNTIFS(案件一覧!$N$3:$N$62,H$3,案件一覧!$E$3:$E$62,"&lt;="&amp;$A65,案件一覧!$F$3:$F$62,"&gt;"&amp;$A65,案件一覧!$C$3:$C$62,"&lt;&gt;キャンセル")=0,"",INDEX(案件一覧!$J$3:$J$62,MATCH(1,INDEX((案件一覧!$N$3:$N$62=H$3)*(案件一覧!$E$3:$E$62&lt;=$A65)*(案件一覧!$F$3:$F$62&gt;$A65)*(案件一覧!$C$3:$C$62&lt;&gt;"キャンセル"),0),0))&amp;IF(COUNTIFS(案件一覧!$N$3:$N$62,H$3,案件一覧!$E$3:$E$62,"&lt;="&amp;$A65,案件一覧!$F$3:$F$62,"&gt;"&amp;$A65,案件一覧!$C$3:$C$62,"&lt;&gt;キャンセル")&gt;1," ◆重複!",""))</f>
        <v/>
      </c>
    </row>
    <row r="66" customFormat="false" ht="15" hidden="false" customHeight="false" outlineLevel="0" collapsed="false">
      <c r="A66" s="16" t="n">
        <v>46266</v>
      </c>
      <c r="B66" s="17" t="s">
        <v>48</v>
      </c>
      <c r="C66" s="18" t="str">
        <f aca="false">IF(COUNTIFS(案件一覧!$N$3:$N$62,C$3,案件一覧!$E$3:$E$62,"&lt;="&amp;$A66,案件一覧!$F$3:$F$62,"&gt;"&amp;$A66,案件一覧!$C$3:$C$62,"&lt;&gt;キャンセル")=0,"",INDEX(案件一覧!$J$3:$J$62,MATCH(1,INDEX((案件一覧!$N$3:$N$62=C$3)*(案件一覧!$E$3:$E$62&lt;=$A66)*(案件一覧!$F$3:$F$62&gt;$A66)*(案件一覧!$C$3:$C$62&lt;&gt;"キャンセル"),0),0))&amp;IF(COUNTIFS(案件一覧!$N$3:$N$62,C$3,案件一覧!$E$3:$E$62,"&lt;="&amp;$A66,案件一覧!$F$3:$F$62,"&gt;"&amp;$A66,案件一覧!$C$3:$C$62,"&lt;&gt;キャンセル")&gt;1," ◆重複!",""))</f>
        <v/>
      </c>
      <c r="D66" s="18" t="str">
        <f aca="false">IF(COUNTIFS(案件一覧!$N$3:$N$62,D$3,案件一覧!$E$3:$E$62,"&lt;="&amp;$A66,案件一覧!$F$3:$F$62,"&gt;"&amp;$A66,案件一覧!$C$3:$C$62,"&lt;&gt;キャンセル")=0,"",INDEX(案件一覧!$J$3:$J$62,MATCH(1,INDEX((案件一覧!$N$3:$N$62=D$3)*(案件一覧!$E$3:$E$62&lt;=$A66)*(案件一覧!$F$3:$F$62&gt;$A66)*(案件一覧!$C$3:$C$62&lt;&gt;"キャンセル"),0),0))&amp;IF(COUNTIFS(案件一覧!$N$3:$N$62,D$3,案件一覧!$E$3:$E$62,"&lt;="&amp;$A66,案件一覧!$F$3:$F$62,"&gt;"&amp;$A66,案件一覧!$C$3:$C$62,"&lt;&gt;キャンセル")&gt;1," ◆重複!",""))</f>
        <v/>
      </c>
      <c r="E66" s="18" t="str">
        <f aca="false">IF(COUNTIFS(案件一覧!$N$3:$N$62,E$3,案件一覧!$E$3:$E$62,"&lt;="&amp;$A66,案件一覧!$F$3:$F$62,"&gt;"&amp;$A66,案件一覧!$C$3:$C$62,"&lt;&gt;キャンセル")=0,"",INDEX(案件一覧!$J$3:$J$62,MATCH(1,INDEX((案件一覧!$N$3:$N$62=E$3)*(案件一覧!$E$3:$E$62&lt;=$A66)*(案件一覧!$F$3:$F$62&gt;$A66)*(案件一覧!$C$3:$C$62&lt;&gt;"キャンセル"),0),0))&amp;IF(COUNTIFS(案件一覧!$N$3:$N$62,E$3,案件一覧!$E$3:$E$62,"&lt;="&amp;$A66,案件一覧!$F$3:$F$62,"&gt;"&amp;$A66,案件一覧!$C$3:$C$62,"&lt;&gt;キャンセル")&gt;1," ◆重複!",""))</f>
        <v/>
      </c>
      <c r="F66" s="18" t="str">
        <f aca="false">IF(COUNTIFS(案件一覧!$N$3:$N$62,F$3,案件一覧!$E$3:$E$62,"&lt;="&amp;$A66,案件一覧!$F$3:$F$62,"&gt;"&amp;$A66,案件一覧!$C$3:$C$62,"&lt;&gt;キャンセル")=0,"",INDEX(案件一覧!$J$3:$J$62,MATCH(1,INDEX((案件一覧!$N$3:$N$62=F$3)*(案件一覧!$E$3:$E$62&lt;=$A66)*(案件一覧!$F$3:$F$62&gt;$A66)*(案件一覧!$C$3:$C$62&lt;&gt;"キャンセル"),0),0))&amp;IF(COUNTIFS(案件一覧!$N$3:$N$62,F$3,案件一覧!$E$3:$E$62,"&lt;="&amp;$A66,案件一覧!$F$3:$F$62,"&gt;"&amp;$A66,案件一覧!$C$3:$C$62,"&lt;&gt;キャンセル")&gt;1," ◆重複!",""))</f>
        <v/>
      </c>
      <c r="G66" s="18" t="str">
        <f aca="false">IF(COUNTIFS(案件一覧!$N$3:$N$62,G$3,案件一覧!$E$3:$E$62,"&lt;="&amp;$A66,案件一覧!$F$3:$F$62,"&gt;"&amp;$A66,案件一覧!$C$3:$C$62,"&lt;&gt;キャンセル")=0,"",INDEX(案件一覧!$J$3:$J$62,MATCH(1,INDEX((案件一覧!$N$3:$N$62=G$3)*(案件一覧!$E$3:$E$62&lt;=$A66)*(案件一覧!$F$3:$F$62&gt;$A66)*(案件一覧!$C$3:$C$62&lt;&gt;"キャンセル"),0),0))&amp;IF(COUNTIFS(案件一覧!$N$3:$N$62,G$3,案件一覧!$E$3:$E$62,"&lt;="&amp;$A66,案件一覧!$F$3:$F$62,"&gt;"&amp;$A66,案件一覧!$C$3:$C$62,"&lt;&gt;キャンセル")&gt;1," ◆重複!",""))</f>
        <v/>
      </c>
      <c r="H66" s="18" t="str">
        <f aca="false">IF(COUNTIFS(案件一覧!$N$3:$N$62,H$3,案件一覧!$E$3:$E$62,"&lt;="&amp;$A66,案件一覧!$F$3:$F$62,"&gt;"&amp;$A66,案件一覧!$C$3:$C$62,"&lt;&gt;キャンセル")=0,"",INDEX(案件一覧!$J$3:$J$62,MATCH(1,INDEX((案件一覧!$N$3:$N$62=H$3)*(案件一覧!$E$3:$E$62&lt;=$A66)*(案件一覧!$F$3:$F$62&gt;$A66)*(案件一覧!$C$3:$C$62&lt;&gt;"キャンセル"),0),0))&amp;IF(COUNTIFS(案件一覧!$N$3:$N$62,H$3,案件一覧!$E$3:$E$62,"&lt;="&amp;$A66,案件一覧!$F$3:$F$62,"&gt;"&amp;$A66,案件一覧!$C$3:$C$62,"&lt;&gt;キャンセル")&gt;1," ◆重複!",""))</f>
        <v/>
      </c>
    </row>
    <row r="67" customFormat="false" ht="15" hidden="false" customHeight="false" outlineLevel="0" collapsed="false">
      <c r="A67" s="16" t="n">
        <v>46267</v>
      </c>
      <c r="B67" s="17" t="s">
        <v>42</v>
      </c>
      <c r="C67" s="18" t="str">
        <f aca="false">IF(COUNTIFS(案件一覧!$N$3:$N$62,C$3,案件一覧!$E$3:$E$62,"&lt;="&amp;$A67,案件一覧!$F$3:$F$62,"&gt;"&amp;$A67,案件一覧!$C$3:$C$62,"&lt;&gt;キャンセル")=0,"",INDEX(案件一覧!$J$3:$J$62,MATCH(1,INDEX((案件一覧!$N$3:$N$62=C$3)*(案件一覧!$E$3:$E$62&lt;=$A67)*(案件一覧!$F$3:$F$62&gt;$A67)*(案件一覧!$C$3:$C$62&lt;&gt;"キャンセル"),0),0))&amp;IF(COUNTIFS(案件一覧!$N$3:$N$62,C$3,案件一覧!$E$3:$E$62,"&lt;="&amp;$A67,案件一覧!$F$3:$F$62,"&gt;"&amp;$A67,案件一覧!$C$3:$C$62,"&lt;&gt;キャンセル")&gt;1," ◆重複!",""))</f>
        <v/>
      </c>
      <c r="D67" s="18" t="str">
        <f aca="false">IF(COUNTIFS(案件一覧!$N$3:$N$62,D$3,案件一覧!$E$3:$E$62,"&lt;="&amp;$A67,案件一覧!$F$3:$F$62,"&gt;"&amp;$A67,案件一覧!$C$3:$C$62,"&lt;&gt;キャンセル")=0,"",INDEX(案件一覧!$J$3:$J$62,MATCH(1,INDEX((案件一覧!$N$3:$N$62=D$3)*(案件一覧!$E$3:$E$62&lt;=$A67)*(案件一覧!$F$3:$F$62&gt;$A67)*(案件一覧!$C$3:$C$62&lt;&gt;"キャンセル"),0),0))&amp;IF(COUNTIFS(案件一覧!$N$3:$N$62,D$3,案件一覧!$E$3:$E$62,"&lt;="&amp;$A67,案件一覧!$F$3:$F$62,"&gt;"&amp;$A67,案件一覧!$C$3:$C$62,"&lt;&gt;キャンセル")&gt;1," ◆重複!",""))</f>
        <v/>
      </c>
      <c r="E67" s="18" t="str">
        <f aca="false">IF(COUNTIFS(案件一覧!$N$3:$N$62,E$3,案件一覧!$E$3:$E$62,"&lt;="&amp;$A67,案件一覧!$F$3:$F$62,"&gt;"&amp;$A67,案件一覧!$C$3:$C$62,"&lt;&gt;キャンセル")=0,"",INDEX(案件一覧!$J$3:$J$62,MATCH(1,INDEX((案件一覧!$N$3:$N$62=E$3)*(案件一覧!$E$3:$E$62&lt;=$A67)*(案件一覧!$F$3:$F$62&gt;$A67)*(案件一覧!$C$3:$C$62&lt;&gt;"キャンセル"),0),0))&amp;IF(COUNTIFS(案件一覧!$N$3:$N$62,E$3,案件一覧!$E$3:$E$62,"&lt;="&amp;$A67,案件一覧!$F$3:$F$62,"&gt;"&amp;$A67,案件一覧!$C$3:$C$62,"&lt;&gt;キャンセル")&gt;1," ◆重複!",""))</f>
        <v/>
      </c>
      <c r="F67" s="18" t="str">
        <f aca="false">IF(COUNTIFS(案件一覧!$N$3:$N$62,F$3,案件一覧!$E$3:$E$62,"&lt;="&amp;$A67,案件一覧!$F$3:$F$62,"&gt;"&amp;$A67,案件一覧!$C$3:$C$62,"&lt;&gt;キャンセル")=0,"",INDEX(案件一覧!$J$3:$J$62,MATCH(1,INDEX((案件一覧!$N$3:$N$62=F$3)*(案件一覧!$E$3:$E$62&lt;=$A67)*(案件一覧!$F$3:$F$62&gt;$A67)*(案件一覧!$C$3:$C$62&lt;&gt;"キャンセル"),0),0))&amp;IF(COUNTIFS(案件一覧!$N$3:$N$62,F$3,案件一覧!$E$3:$E$62,"&lt;="&amp;$A67,案件一覧!$F$3:$F$62,"&gt;"&amp;$A67,案件一覧!$C$3:$C$62,"&lt;&gt;キャンセル")&gt;1," ◆重複!",""))</f>
        <v/>
      </c>
      <c r="G67" s="18" t="str">
        <f aca="false">IF(COUNTIFS(案件一覧!$N$3:$N$62,G$3,案件一覧!$E$3:$E$62,"&lt;="&amp;$A67,案件一覧!$F$3:$F$62,"&gt;"&amp;$A67,案件一覧!$C$3:$C$62,"&lt;&gt;キャンセル")=0,"",INDEX(案件一覧!$J$3:$J$62,MATCH(1,INDEX((案件一覧!$N$3:$N$62=G$3)*(案件一覧!$E$3:$E$62&lt;=$A67)*(案件一覧!$F$3:$F$62&gt;$A67)*(案件一覧!$C$3:$C$62&lt;&gt;"キャンセル"),0),0))&amp;IF(COUNTIFS(案件一覧!$N$3:$N$62,G$3,案件一覧!$E$3:$E$62,"&lt;="&amp;$A67,案件一覧!$F$3:$F$62,"&gt;"&amp;$A67,案件一覧!$C$3:$C$62,"&lt;&gt;キャンセル")&gt;1," ◆重複!",""))</f>
        <v/>
      </c>
      <c r="H67" s="18" t="str">
        <f aca="false">IF(COUNTIFS(案件一覧!$N$3:$N$62,H$3,案件一覧!$E$3:$E$62,"&lt;="&amp;$A67,案件一覧!$F$3:$F$62,"&gt;"&amp;$A67,案件一覧!$C$3:$C$62,"&lt;&gt;キャンセル")=0,"",INDEX(案件一覧!$J$3:$J$62,MATCH(1,INDEX((案件一覧!$N$3:$N$62=H$3)*(案件一覧!$E$3:$E$62&lt;=$A67)*(案件一覧!$F$3:$F$62&gt;$A67)*(案件一覧!$C$3:$C$62&lt;&gt;"キャンセル"),0),0))&amp;IF(COUNTIFS(案件一覧!$N$3:$N$62,H$3,案件一覧!$E$3:$E$62,"&lt;="&amp;$A67,案件一覧!$F$3:$F$62,"&gt;"&amp;$A67,案件一覧!$C$3:$C$62,"&lt;&gt;キャンセル")&gt;1," ◆重複!",""))</f>
        <v/>
      </c>
    </row>
    <row r="68" customFormat="false" ht="15" hidden="false" customHeight="false" outlineLevel="0" collapsed="false">
      <c r="A68" s="16" t="n">
        <v>46268</v>
      </c>
      <c r="B68" s="17" t="s">
        <v>43</v>
      </c>
      <c r="C68" s="18" t="str">
        <f aca="false">IF(COUNTIFS(案件一覧!$N$3:$N$62,C$3,案件一覧!$E$3:$E$62,"&lt;="&amp;$A68,案件一覧!$F$3:$F$62,"&gt;"&amp;$A68,案件一覧!$C$3:$C$62,"&lt;&gt;キャンセル")=0,"",INDEX(案件一覧!$J$3:$J$62,MATCH(1,INDEX((案件一覧!$N$3:$N$62=C$3)*(案件一覧!$E$3:$E$62&lt;=$A68)*(案件一覧!$F$3:$F$62&gt;$A68)*(案件一覧!$C$3:$C$62&lt;&gt;"キャンセル"),0),0))&amp;IF(COUNTIFS(案件一覧!$N$3:$N$62,C$3,案件一覧!$E$3:$E$62,"&lt;="&amp;$A68,案件一覧!$F$3:$F$62,"&gt;"&amp;$A68,案件一覧!$C$3:$C$62,"&lt;&gt;キャンセル")&gt;1," ◆重複!",""))</f>
        <v/>
      </c>
      <c r="D68" s="18" t="str">
        <f aca="false">IF(COUNTIFS(案件一覧!$N$3:$N$62,D$3,案件一覧!$E$3:$E$62,"&lt;="&amp;$A68,案件一覧!$F$3:$F$62,"&gt;"&amp;$A68,案件一覧!$C$3:$C$62,"&lt;&gt;キャンセル")=0,"",INDEX(案件一覧!$J$3:$J$62,MATCH(1,INDEX((案件一覧!$N$3:$N$62=D$3)*(案件一覧!$E$3:$E$62&lt;=$A68)*(案件一覧!$F$3:$F$62&gt;$A68)*(案件一覧!$C$3:$C$62&lt;&gt;"キャンセル"),0),0))&amp;IF(COUNTIFS(案件一覧!$N$3:$N$62,D$3,案件一覧!$E$3:$E$62,"&lt;="&amp;$A68,案件一覧!$F$3:$F$62,"&gt;"&amp;$A68,案件一覧!$C$3:$C$62,"&lt;&gt;キャンセル")&gt;1," ◆重複!",""))</f>
        <v/>
      </c>
      <c r="E68" s="18" t="str">
        <f aca="false">IF(COUNTIFS(案件一覧!$N$3:$N$62,E$3,案件一覧!$E$3:$E$62,"&lt;="&amp;$A68,案件一覧!$F$3:$F$62,"&gt;"&amp;$A68,案件一覧!$C$3:$C$62,"&lt;&gt;キャンセル")=0,"",INDEX(案件一覧!$J$3:$J$62,MATCH(1,INDEX((案件一覧!$N$3:$N$62=E$3)*(案件一覧!$E$3:$E$62&lt;=$A68)*(案件一覧!$F$3:$F$62&gt;$A68)*(案件一覧!$C$3:$C$62&lt;&gt;"キャンセル"),0),0))&amp;IF(COUNTIFS(案件一覧!$N$3:$N$62,E$3,案件一覧!$E$3:$E$62,"&lt;="&amp;$A68,案件一覧!$F$3:$F$62,"&gt;"&amp;$A68,案件一覧!$C$3:$C$62,"&lt;&gt;キャンセル")&gt;1," ◆重複!",""))</f>
        <v/>
      </c>
      <c r="F68" s="18" t="str">
        <f aca="false">IF(COUNTIFS(案件一覧!$N$3:$N$62,F$3,案件一覧!$E$3:$E$62,"&lt;="&amp;$A68,案件一覧!$F$3:$F$62,"&gt;"&amp;$A68,案件一覧!$C$3:$C$62,"&lt;&gt;キャンセル")=0,"",INDEX(案件一覧!$J$3:$J$62,MATCH(1,INDEX((案件一覧!$N$3:$N$62=F$3)*(案件一覧!$E$3:$E$62&lt;=$A68)*(案件一覧!$F$3:$F$62&gt;$A68)*(案件一覧!$C$3:$C$62&lt;&gt;"キャンセル"),0),0))&amp;IF(COUNTIFS(案件一覧!$N$3:$N$62,F$3,案件一覧!$E$3:$E$62,"&lt;="&amp;$A68,案件一覧!$F$3:$F$62,"&gt;"&amp;$A68,案件一覧!$C$3:$C$62,"&lt;&gt;キャンセル")&gt;1," ◆重複!",""))</f>
        <v/>
      </c>
      <c r="G68" s="18" t="str">
        <f aca="false">IF(COUNTIFS(案件一覧!$N$3:$N$62,G$3,案件一覧!$E$3:$E$62,"&lt;="&amp;$A68,案件一覧!$F$3:$F$62,"&gt;"&amp;$A68,案件一覧!$C$3:$C$62,"&lt;&gt;キャンセル")=0,"",INDEX(案件一覧!$J$3:$J$62,MATCH(1,INDEX((案件一覧!$N$3:$N$62=G$3)*(案件一覧!$E$3:$E$62&lt;=$A68)*(案件一覧!$F$3:$F$62&gt;$A68)*(案件一覧!$C$3:$C$62&lt;&gt;"キャンセル"),0),0))&amp;IF(COUNTIFS(案件一覧!$N$3:$N$62,G$3,案件一覧!$E$3:$E$62,"&lt;="&amp;$A68,案件一覧!$F$3:$F$62,"&gt;"&amp;$A68,案件一覧!$C$3:$C$62,"&lt;&gt;キャンセル")&gt;1," ◆重複!",""))</f>
        <v/>
      </c>
      <c r="H68" s="18" t="str">
        <f aca="false">IF(COUNTIFS(案件一覧!$N$3:$N$62,H$3,案件一覧!$E$3:$E$62,"&lt;="&amp;$A68,案件一覧!$F$3:$F$62,"&gt;"&amp;$A68,案件一覧!$C$3:$C$62,"&lt;&gt;キャンセル")=0,"",INDEX(案件一覧!$J$3:$J$62,MATCH(1,INDEX((案件一覧!$N$3:$N$62=H$3)*(案件一覧!$E$3:$E$62&lt;=$A68)*(案件一覧!$F$3:$F$62&gt;$A68)*(案件一覧!$C$3:$C$62&lt;&gt;"キャンセル"),0),0))&amp;IF(COUNTIFS(案件一覧!$N$3:$N$62,H$3,案件一覧!$E$3:$E$62,"&lt;="&amp;$A68,案件一覧!$F$3:$F$62,"&gt;"&amp;$A68,案件一覧!$C$3:$C$62,"&lt;&gt;キャンセル")&gt;1," ◆重複!",""))</f>
        <v/>
      </c>
    </row>
    <row r="69" customFormat="false" ht="15" hidden="false" customHeight="false" outlineLevel="0" collapsed="false">
      <c r="A69" s="16" t="n">
        <v>46269</v>
      </c>
      <c r="B69" s="17" t="s">
        <v>44</v>
      </c>
      <c r="C69" s="18" t="str">
        <f aca="false">IF(COUNTIFS(案件一覧!$N$3:$N$62,C$3,案件一覧!$E$3:$E$62,"&lt;="&amp;$A69,案件一覧!$F$3:$F$62,"&gt;"&amp;$A69,案件一覧!$C$3:$C$62,"&lt;&gt;キャンセル")=0,"",INDEX(案件一覧!$J$3:$J$62,MATCH(1,INDEX((案件一覧!$N$3:$N$62=C$3)*(案件一覧!$E$3:$E$62&lt;=$A69)*(案件一覧!$F$3:$F$62&gt;$A69)*(案件一覧!$C$3:$C$62&lt;&gt;"キャンセル"),0),0))&amp;IF(COUNTIFS(案件一覧!$N$3:$N$62,C$3,案件一覧!$E$3:$E$62,"&lt;="&amp;$A69,案件一覧!$F$3:$F$62,"&gt;"&amp;$A69,案件一覧!$C$3:$C$62,"&lt;&gt;キャンセル")&gt;1," ◆重複!",""))</f>
        <v/>
      </c>
      <c r="D69" s="18" t="str">
        <f aca="false">IF(COUNTIFS(案件一覧!$N$3:$N$62,D$3,案件一覧!$E$3:$E$62,"&lt;="&amp;$A69,案件一覧!$F$3:$F$62,"&gt;"&amp;$A69,案件一覧!$C$3:$C$62,"&lt;&gt;キャンセル")=0,"",INDEX(案件一覧!$J$3:$J$62,MATCH(1,INDEX((案件一覧!$N$3:$N$62=D$3)*(案件一覧!$E$3:$E$62&lt;=$A69)*(案件一覧!$F$3:$F$62&gt;$A69)*(案件一覧!$C$3:$C$62&lt;&gt;"キャンセル"),0),0))&amp;IF(COUNTIFS(案件一覧!$N$3:$N$62,D$3,案件一覧!$E$3:$E$62,"&lt;="&amp;$A69,案件一覧!$F$3:$F$62,"&gt;"&amp;$A69,案件一覧!$C$3:$C$62,"&lt;&gt;キャンセル")&gt;1," ◆重複!",""))</f>
        <v/>
      </c>
      <c r="E69" s="18" t="str">
        <f aca="false">IF(COUNTIFS(案件一覧!$N$3:$N$62,E$3,案件一覧!$E$3:$E$62,"&lt;="&amp;$A69,案件一覧!$F$3:$F$62,"&gt;"&amp;$A69,案件一覧!$C$3:$C$62,"&lt;&gt;キャンセル")=0,"",INDEX(案件一覧!$J$3:$J$62,MATCH(1,INDEX((案件一覧!$N$3:$N$62=E$3)*(案件一覧!$E$3:$E$62&lt;=$A69)*(案件一覧!$F$3:$F$62&gt;$A69)*(案件一覧!$C$3:$C$62&lt;&gt;"キャンセル"),0),0))&amp;IF(COUNTIFS(案件一覧!$N$3:$N$62,E$3,案件一覧!$E$3:$E$62,"&lt;="&amp;$A69,案件一覧!$F$3:$F$62,"&gt;"&amp;$A69,案件一覧!$C$3:$C$62,"&lt;&gt;キャンセル")&gt;1," ◆重複!",""))</f>
        <v/>
      </c>
      <c r="F69" s="18" t="str">
        <f aca="false">IF(COUNTIFS(案件一覧!$N$3:$N$62,F$3,案件一覧!$E$3:$E$62,"&lt;="&amp;$A69,案件一覧!$F$3:$F$62,"&gt;"&amp;$A69,案件一覧!$C$3:$C$62,"&lt;&gt;キャンセル")=0,"",INDEX(案件一覧!$J$3:$J$62,MATCH(1,INDEX((案件一覧!$N$3:$N$62=F$3)*(案件一覧!$E$3:$E$62&lt;=$A69)*(案件一覧!$F$3:$F$62&gt;$A69)*(案件一覧!$C$3:$C$62&lt;&gt;"キャンセル"),0),0))&amp;IF(COUNTIFS(案件一覧!$N$3:$N$62,F$3,案件一覧!$E$3:$E$62,"&lt;="&amp;$A69,案件一覧!$F$3:$F$62,"&gt;"&amp;$A69,案件一覧!$C$3:$C$62,"&lt;&gt;キャンセル")&gt;1," ◆重複!",""))</f>
        <v/>
      </c>
      <c r="G69" s="18" t="str">
        <f aca="false">IF(COUNTIFS(案件一覧!$N$3:$N$62,G$3,案件一覧!$E$3:$E$62,"&lt;="&amp;$A69,案件一覧!$F$3:$F$62,"&gt;"&amp;$A69,案件一覧!$C$3:$C$62,"&lt;&gt;キャンセル")=0,"",INDEX(案件一覧!$J$3:$J$62,MATCH(1,INDEX((案件一覧!$N$3:$N$62=G$3)*(案件一覧!$E$3:$E$62&lt;=$A69)*(案件一覧!$F$3:$F$62&gt;$A69)*(案件一覧!$C$3:$C$62&lt;&gt;"キャンセル"),0),0))&amp;IF(COUNTIFS(案件一覧!$N$3:$N$62,G$3,案件一覧!$E$3:$E$62,"&lt;="&amp;$A69,案件一覧!$F$3:$F$62,"&gt;"&amp;$A69,案件一覧!$C$3:$C$62,"&lt;&gt;キャンセル")&gt;1," ◆重複!",""))</f>
        <v/>
      </c>
      <c r="H69" s="18" t="str">
        <f aca="false">IF(COUNTIFS(案件一覧!$N$3:$N$62,H$3,案件一覧!$E$3:$E$62,"&lt;="&amp;$A69,案件一覧!$F$3:$F$62,"&gt;"&amp;$A69,案件一覧!$C$3:$C$62,"&lt;&gt;キャンセル")=0,"",INDEX(案件一覧!$J$3:$J$62,MATCH(1,INDEX((案件一覧!$N$3:$N$62=H$3)*(案件一覧!$E$3:$E$62&lt;=$A69)*(案件一覧!$F$3:$F$62&gt;$A69)*(案件一覧!$C$3:$C$62&lt;&gt;"キャンセル"),0),0))&amp;IF(COUNTIFS(案件一覧!$N$3:$N$62,H$3,案件一覧!$E$3:$E$62,"&lt;="&amp;$A69,案件一覧!$F$3:$F$62,"&gt;"&amp;$A69,案件一覧!$C$3:$C$62,"&lt;&gt;キャンセル")&gt;1," ◆重複!",""))</f>
        <v/>
      </c>
    </row>
    <row r="70" customFormat="false" ht="15" hidden="false" customHeight="false" outlineLevel="0" collapsed="false">
      <c r="A70" s="19" t="n">
        <v>46270</v>
      </c>
      <c r="B70" s="20" t="s">
        <v>45</v>
      </c>
      <c r="C70" s="21" t="str">
        <f aca="false">IF(COUNTIFS(案件一覧!$N$3:$N$62,C$3,案件一覧!$E$3:$E$62,"&lt;="&amp;$A70,案件一覧!$F$3:$F$62,"&gt;"&amp;$A70,案件一覧!$C$3:$C$62,"&lt;&gt;キャンセル")=0,"",INDEX(案件一覧!$J$3:$J$62,MATCH(1,INDEX((案件一覧!$N$3:$N$62=C$3)*(案件一覧!$E$3:$E$62&lt;=$A70)*(案件一覧!$F$3:$F$62&gt;$A70)*(案件一覧!$C$3:$C$62&lt;&gt;"キャンセル"),0),0))&amp;IF(COUNTIFS(案件一覧!$N$3:$N$62,C$3,案件一覧!$E$3:$E$62,"&lt;="&amp;$A70,案件一覧!$F$3:$F$62,"&gt;"&amp;$A70,案件一覧!$C$3:$C$62,"&lt;&gt;キャンセル")&gt;1," ◆重複!",""))</f>
        <v/>
      </c>
      <c r="D70" s="21" t="str">
        <f aca="false">IF(COUNTIFS(案件一覧!$N$3:$N$62,D$3,案件一覧!$E$3:$E$62,"&lt;="&amp;$A70,案件一覧!$F$3:$F$62,"&gt;"&amp;$A70,案件一覧!$C$3:$C$62,"&lt;&gt;キャンセル")=0,"",INDEX(案件一覧!$J$3:$J$62,MATCH(1,INDEX((案件一覧!$N$3:$N$62=D$3)*(案件一覧!$E$3:$E$62&lt;=$A70)*(案件一覧!$F$3:$F$62&gt;$A70)*(案件一覧!$C$3:$C$62&lt;&gt;"キャンセル"),0),0))&amp;IF(COUNTIFS(案件一覧!$N$3:$N$62,D$3,案件一覧!$E$3:$E$62,"&lt;="&amp;$A70,案件一覧!$F$3:$F$62,"&gt;"&amp;$A70,案件一覧!$C$3:$C$62,"&lt;&gt;キャンセル")&gt;1," ◆重複!",""))</f>
        <v/>
      </c>
      <c r="E70" s="21" t="str">
        <f aca="false">IF(COUNTIFS(案件一覧!$N$3:$N$62,E$3,案件一覧!$E$3:$E$62,"&lt;="&amp;$A70,案件一覧!$F$3:$F$62,"&gt;"&amp;$A70,案件一覧!$C$3:$C$62,"&lt;&gt;キャンセル")=0,"",INDEX(案件一覧!$J$3:$J$62,MATCH(1,INDEX((案件一覧!$N$3:$N$62=E$3)*(案件一覧!$E$3:$E$62&lt;=$A70)*(案件一覧!$F$3:$F$62&gt;$A70)*(案件一覧!$C$3:$C$62&lt;&gt;"キャンセル"),0),0))&amp;IF(COUNTIFS(案件一覧!$N$3:$N$62,E$3,案件一覧!$E$3:$E$62,"&lt;="&amp;$A70,案件一覧!$F$3:$F$62,"&gt;"&amp;$A70,案件一覧!$C$3:$C$62,"&lt;&gt;キャンセル")&gt;1," ◆重複!",""))</f>
        <v/>
      </c>
      <c r="F70" s="21" t="str">
        <f aca="false">IF(COUNTIFS(案件一覧!$N$3:$N$62,F$3,案件一覧!$E$3:$E$62,"&lt;="&amp;$A70,案件一覧!$F$3:$F$62,"&gt;"&amp;$A70,案件一覧!$C$3:$C$62,"&lt;&gt;キャンセル")=0,"",INDEX(案件一覧!$J$3:$J$62,MATCH(1,INDEX((案件一覧!$N$3:$N$62=F$3)*(案件一覧!$E$3:$E$62&lt;=$A70)*(案件一覧!$F$3:$F$62&gt;$A70)*(案件一覧!$C$3:$C$62&lt;&gt;"キャンセル"),0),0))&amp;IF(COUNTIFS(案件一覧!$N$3:$N$62,F$3,案件一覧!$E$3:$E$62,"&lt;="&amp;$A70,案件一覧!$F$3:$F$62,"&gt;"&amp;$A70,案件一覧!$C$3:$C$62,"&lt;&gt;キャンセル")&gt;1," ◆重複!",""))</f>
        <v/>
      </c>
      <c r="G70" s="21" t="str">
        <f aca="false">IF(COUNTIFS(案件一覧!$N$3:$N$62,G$3,案件一覧!$E$3:$E$62,"&lt;="&amp;$A70,案件一覧!$F$3:$F$62,"&gt;"&amp;$A70,案件一覧!$C$3:$C$62,"&lt;&gt;キャンセル")=0,"",INDEX(案件一覧!$J$3:$J$62,MATCH(1,INDEX((案件一覧!$N$3:$N$62=G$3)*(案件一覧!$E$3:$E$62&lt;=$A70)*(案件一覧!$F$3:$F$62&gt;$A70)*(案件一覧!$C$3:$C$62&lt;&gt;"キャンセル"),0),0))&amp;IF(COUNTIFS(案件一覧!$N$3:$N$62,G$3,案件一覧!$E$3:$E$62,"&lt;="&amp;$A70,案件一覧!$F$3:$F$62,"&gt;"&amp;$A70,案件一覧!$C$3:$C$62,"&lt;&gt;キャンセル")&gt;1," ◆重複!",""))</f>
        <v/>
      </c>
      <c r="H70" s="21" t="str">
        <f aca="false">IF(COUNTIFS(案件一覧!$N$3:$N$62,H$3,案件一覧!$E$3:$E$62,"&lt;="&amp;$A70,案件一覧!$F$3:$F$62,"&gt;"&amp;$A70,案件一覧!$C$3:$C$62,"&lt;&gt;キャンセル")=0,"",INDEX(案件一覧!$J$3:$J$62,MATCH(1,INDEX((案件一覧!$N$3:$N$62=H$3)*(案件一覧!$E$3:$E$62&lt;=$A70)*(案件一覧!$F$3:$F$62&gt;$A70)*(案件一覧!$C$3:$C$62&lt;&gt;"キャンセル"),0),0))&amp;IF(COUNTIFS(案件一覧!$N$3:$N$62,H$3,案件一覧!$E$3:$E$62,"&lt;="&amp;$A70,案件一覧!$F$3:$F$62,"&gt;"&amp;$A70,案件一覧!$C$3:$C$62,"&lt;&gt;キャンセル")&gt;1," ◆重複!",""))</f>
        <v/>
      </c>
    </row>
    <row r="71" customFormat="false" ht="15" hidden="false" customHeight="false" outlineLevel="0" collapsed="false">
      <c r="A71" s="22" t="n">
        <v>46271</v>
      </c>
      <c r="B71" s="23" t="s">
        <v>46</v>
      </c>
      <c r="C71" s="24" t="str">
        <f aca="false">IF(COUNTIFS(案件一覧!$N$3:$N$62,C$3,案件一覧!$E$3:$E$62,"&lt;="&amp;$A71,案件一覧!$F$3:$F$62,"&gt;"&amp;$A71,案件一覧!$C$3:$C$62,"&lt;&gt;キャンセル")=0,"",INDEX(案件一覧!$J$3:$J$62,MATCH(1,INDEX((案件一覧!$N$3:$N$62=C$3)*(案件一覧!$E$3:$E$62&lt;=$A71)*(案件一覧!$F$3:$F$62&gt;$A71)*(案件一覧!$C$3:$C$62&lt;&gt;"キャンセル"),0),0))&amp;IF(COUNTIFS(案件一覧!$N$3:$N$62,C$3,案件一覧!$E$3:$E$62,"&lt;="&amp;$A71,案件一覧!$F$3:$F$62,"&gt;"&amp;$A71,案件一覧!$C$3:$C$62,"&lt;&gt;キャンセル")&gt;1," ◆重複!",""))</f>
        <v/>
      </c>
      <c r="D71" s="24" t="str">
        <f aca="false">IF(COUNTIFS(案件一覧!$N$3:$N$62,D$3,案件一覧!$E$3:$E$62,"&lt;="&amp;$A71,案件一覧!$F$3:$F$62,"&gt;"&amp;$A71,案件一覧!$C$3:$C$62,"&lt;&gt;キャンセル")=0,"",INDEX(案件一覧!$J$3:$J$62,MATCH(1,INDEX((案件一覧!$N$3:$N$62=D$3)*(案件一覧!$E$3:$E$62&lt;=$A71)*(案件一覧!$F$3:$F$62&gt;$A71)*(案件一覧!$C$3:$C$62&lt;&gt;"キャンセル"),0),0))&amp;IF(COUNTIFS(案件一覧!$N$3:$N$62,D$3,案件一覧!$E$3:$E$62,"&lt;="&amp;$A71,案件一覧!$F$3:$F$62,"&gt;"&amp;$A71,案件一覧!$C$3:$C$62,"&lt;&gt;キャンセル")&gt;1," ◆重複!",""))</f>
        <v/>
      </c>
      <c r="E71" s="24" t="str">
        <f aca="false">IF(COUNTIFS(案件一覧!$N$3:$N$62,E$3,案件一覧!$E$3:$E$62,"&lt;="&amp;$A71,案件一覧!$F$3:$F$62,"&gt;"&amp;$A71,案件一覧!$C$3:$C$62,"&lt;&gt;キャンセル")=0,"",INDEX(案件一覧!$J$3:$J$62,MATCH(1,INDEX((案件一覧!$N$3:$N$62=E$3)*(案件一覧!$E$3:$E$62&lt;=$A71)*(案件一覧!$F$3:$F$62&gt;$A71)*(案件一覧!$C$3:$C$62&lt;&gt;"キャンセル"),0),0))&amp;IF(COUNTIFS(案件一覧!$N$3:$N$62,E$3,案件一覧!$E$3:$E$62,"&lt;="&amp;$A71,案件一覧!$F$3:$F$62,"&gt;"&amp;$A71,案件一覧!$C$3:$C$62,"&lt;&gt;キャンセル")&gt;1," ◆重複!",""))</f>
        <v/>
      </c>
      <c r="F71" s="24" t="str">
        <f aca="false">IF(COUNTIFS(案件一覧!$N$3:$N$62,F$3,案件一覧!$E$3:$E$62,"&lt;="&amp;$A71,案件一覧!$F$3:$F$62,"&gt;"&amp;$A71,案件一覧!$C$3:$C$62,"&lt;&gt;キャンセル")=0,"",INDEX(案件一覧!$J$3:$J$62,MATCH(1,INDEX((案件一覧!$N$3:$N$62=F$3)*(案件一覧!$E$3:$E$62&lt;=$A71)*(案件一覧!$F$3:$F$62&gt;$A71)*(案件一覧!$C$3:$C$62&lt;&gt;"キャンセル"),0),0))&amp;IF(COUNTIFS(案件一覧!$N$3:$N$62,F$3,案件一覧!$E$3:$E$62,"&lt;="&amp;$A71,案件一覧!$F$3:$F$62,"&gt;"&amp;$A71,案件一覧!$C$3:$C$62,"&lt;&gt;キャンセル")&gt;1," ◆重複!",""))</f>
        <v/>
      </c>
      <c r="G71" s="24" t="str">
        <f aca="false">IF(COUNTIFS(案件一覧!$N$3:$N$62,G$3,案件一覧!$E$3:$E$62,"&lt;="&amp;$A71,案件一覧!$F$3:$F$62,"&gt;"&amp;$A71,案件一覧!$C$3:$C$62,"&lt;&gt;キャンセル")=0,"",INDEX(案件一覧!$J$3:$J$62,MATCH(1,INDEX((案件一覧!$N$3:$N$62=G$3)*(案件一覧!$E$3:$E$62&lt;=$A71)*(案件一覧!$F$3:$F$62&gt;$A71)*(案件一覧!$C$3:$C$62&lt;&gt;"キャンセル"),0),0))&amp;IF(COUNTIFS(案件一覧!$N$3:$N$62,G$3,案件一覧!$E$3:$E$62,"&lt;="&amp;$A71,案件一覧!$F$3:$F$62,"&gt;"&amp;$A71,案件一覧!$C$3:$C$62,"&lt;&gt;キャンセル")&gt;1," ◆重複!",""))</f>
        <v/>
      </c>
      <c r="H71" s="24" t="str">
        <f aca="false">IF(COUNTIFS(案件一覧!$N$3:$N$62,H$3,案件一覧!$E$3:$E$62,"&lt;="&amp;$A71,案件一覧!$F$3:$F$62,"&gt;"&amp;$A71,案件一覧!$C$3:$C$62,"&lt;&gt;キャンセル")=0,"",INDEX(案件一覧!$J$3:$J$62,MATCH(1,INDEX((案件一覧!$N$3:$N$62=H$3)*(案件一覧!$E$3:$E$62&lt;=$A71)*(案件一覧!$F$3:$F$62&gt;$A71)*(案件一覧!$C$3:$C$62&lt;&gt;"キャンセル"),0),0))&amp;IF(COUNTIFS(案件一覧!$N$3:$N$62,H$3,案件一覧!$E$3:$E$62,"&lt;="&amp;$A71,案件一覧!$F$3:$F$62,"&gt;"&amp;$A71,案件一覧!$C$3:$C$62,"&lt;&gt;キャンセル")&gt;1," ◆重複!",""))</f>
        <v/>
      </c>
    </row>
    <row r="72" customFormat="false" ht="15" hidden="false" customHeight="false" outlineLevel="0" collapsed="false">
      <c r="A72" s="16" t="n">
        <v>46272</v>
      </c>
      <c r="B72" s="17" t="s">
        <v>47</v>
      </c>
      <c r="C72" s="18" t="str">
        <f aca="false">IF(COUNTIFS(案件一覧!$N$3:$N$62,C$3,案件一覧!$E$3:$E$62,"&lt;="&amp;$A72,案件一覧!$F$3:$F$62,"&gt;"&amp;$A72,案件一覧!$C$3:$C$62,"&lt;&gt;キャンセル")=0,"",INDEX(案件一覧!$J$3:$J$62,MATCH(1,INDEX((案件一覧!$N$3:$N$62=C$3)*(案件一覧!$E$3:$E$62&lt;=$A72)*(案件一覧!$F$3:$F$62&gt;$A72)*(案件一覧!$C$3:$C$62&lt;&gt;"キャンセル"),0),0))&amp;IF(COUNTIFS(案件一覧!$N$3:$N$62,C$3,案件一覧!$E$3:$E$62,"&lt;="&amp;$A72,案件一覧!$F$3:$F$62,"&gt;"&amp;$A72,案件一覧!$C$3:$C$62,"&lt;&gt;キャンセル")&gt;1," ◆重複!",""))</f>
        <v/>
      </c>
      <c r="D72" s="18" t="str">
        <f aca="false">IF(COUNTIFS(案件一覧!$N$3:$N$62,D$3,案件一覧!$E$3:$E$62,"&lt;="&amp;$A72,案件一覧!$F$3:$F$62,"&gt;"&amp;$A72,案件一覧!$C$3:$C$62,"&lt;&gt;キャンセル")=0,"",INDEX(案件一覧!$J$3:$J$62,MATCH(1,INDEX((案件一覧!$N$3:$N$62=D$3)*(案件一覧!$E$3:$E$62&lt;=$A72)*(案件一覧!$F$3:$F$62&gt;$A72)*(案件一覧!$C$3:$C$62&lt;&gt;"キャンセル"),0),0))&amp;IF(COUNTIFS(案件一覧!$N$3:$N$62,D$3,案件一覧!$E$3:$E$62,"&lt;="&amp;$A72,案件一覧!$F$3:$F$62,"&gt;"&amp;$A72,案件一覧!$C$3:$C$62,"&lt;&gt;キャンセル")&gt;1," ◆重複!",""))</f>
        <v/>
      </c>
      <c r="E72" s="18" t="str">
        <f aca="false">IF(COUNTIFS(案件一覧!$N$3:$N$62,E$3,案件一覧!$E$3:$E$62,"&lt;="&amp;$A72,案件一覧!$F$3:$F$62,"&gt;"&amp;$A72,案件一覧!$C$3:$C$62,"&lt;&gt;キャンセル")=0,"",INDEX(案件一覧!$J$3:$J$62,MATCH(1,INDEX((案件一覧!$N$3:$N$62=E$3)*(案件一覧!$E$3:$E$62&lt;=$A72)*(案件一覧!$F$3:$F$62&gt;$A72)*(案件一覧!$C$3:$C$62&lt;&gt;"キャンセル"),0),0))&amp;IF(COUNTIFS(案件一覧!$N$3:$N$62,E$3,案件一覧!$E$3:$E$62,"&lt;="&amp;$A72,案件一覧!$F$3:$F$62,"&gt;"&amp;$A72,案件一覧!$C$3:$C$62,"&lt;&gt;キャンセル")&gt;1," ◆重複!",""))</f>
        <v/>
      </c>
      <c r="F72" s="18" t="str">
        <f aca="false">IF(COUNTIFS(案件一覧!$N$3:$N$62,F$3,案件一覧!$E$3:$E$62,"&lt;="&amp;$A72,案件一覧!$F$3:$F$62,"&gt;"&amp;$A72,案件一覧!$C$3:$C$62,"&lt;&gt;キャンセル")=0,"",INDEX(案件一覧!$J$3:$J$62,MATCH(1,INDEX((案件一覧!$N$3:$N$62=F$3)*(案件一覧!$E$3:$E$62&lt;=$A72)*(案件一覧!$F$3:$F$62&gt;$A72)*(案件一覧!$C$3:$C$62&lt;&gt;"キャンセル"),0),0))&amp;IF(COUNTIFS(案件一覧!$N$3:$N$62,F$3,案件一覧!$E$3:$E$62,"&lt;="&amp;$A72,案件一覧!$F$3:$F$62,"&gt;"&amp;$A72,案件一覧!$C$3:$C$62,"&lt;&gt;キャンセル")&gt;1," ◆重複!",""))</f>
        <v/>
      </c>
      <c r="G72" s="18" t="str">
        <f aca="false">IF(COUNTIFS(案件一覧!$N$3:$N$62,G$3,案件一覧!$E$3:$E$62,"&lt;="&amp;$A72,案件一覧!$F$3:$F$62,"&gt;"&amp;$A72,案件一覧!$C$3:$C$62,"&lt;&gt;キャンセル")=0,"",INDEX(案件一覧!$J$3:$J$62,MATCH(1,INDEX((案件一覧!$N$3:$N$62=G$3)*(案件一覧!$E$3:$E$62&lt;=$A72)*(案件一覧!$F$3:$F$62&gt;$A72)*(案件一覧!$C$3:$C$62&lt;&gt;"キャンセル"),0),0))&amp;IF(COUNTIFS(案件一覧!$N$3:$N$62,G$3,案件一覧!$E$3:$E$62,"&lt;="&amp;$A72,案件一覧!$F$3:$F$62,"&gt;"&amp;$A72,案件一覧!$C$3:$C$62,"&lt;&gt;キャンセル")&gt;1," ◆重複!",""))</f>
        <v/>
      </c>
      <c r="H72" s="18" t="str">
        <f aca="false">IF(COUNTIFS(案件一覧!$N$3:$N$62,H$3,案件一覧!$E$3:$E$62,"&lt;="&amp;$A72,案件一覧!$F$3:$F$62,"&gt;"&amp;$A72,案件一覧!$C$3:$C$62,"&lt;&gt;キャンセル")=0,"",INDEX(案件一覧!$J$3:$J$62,MATCH(1,INDEX((案件一覧!$N$3:$N$62=H$3)*(案件一覧!$E$3:$E$62&lt;=$A72)*(案件一覧!$F$3:$F$62&gt;$A72)*(案件一覧!$C$3:$C$62&lt;&gt;"キャンセル"),0),0))&amp;IF(COUNTIFS(案件一覧!$N$3:$N$62,H$3,案件一覧!$E$3:$E$62,"&lt;="&amp;$A72,案件一覧!$F$3:$F$62,"&gt;"&amp;$A72,案件一覧!$C$3:$C$62,"&lt;&gt;キャンセル")&gt;1," ◆重複!",""))</f>
        <v/>
      </c>
    </row>
    <row r="73" customFormat="false" ht="15" hidden="false" customHeight="false" outlineLevel="0" collapsed="false">
      <c r="A73" s="16" t="n">
        <v>46273</v>
      </c>
      <c r="B73" s="17" t="s">
        <v>48</v>
      </c>
      <c r="C73" s="18" t="str">
        <f aca="false">IF(COUNTIFS(案件一覧!$N$3:$N$62,C$3,案件一覧!$E$3:$E$62,"&lt;="&amp;$A73,案件一覧!$F$3:$F$62,"&gt;"&amp;$A73,案件一覧!$C$3:$C$62,"&lt;&gt;キャンセル")=0,"",INDEX(案件一覧!$J$3:$J$62,MATCH(1,INDEX((案件一覧!$N$3:$N$62=C$3)*(案件一覧!$E$3:$E$62&lt;=$A73)*(案件一覧!$F$3:$F$62&gt;$A73)*(案件一覧!$C$3:$C$62&lt;&gt;"キャンセル"),0),0))&amp;IF(COUNTIFS(案件一覧!$N$3:$N$62,C$3,案件一覧!$E$3:$E$62,"&lt;="&amp;$A73,案件一覧!$F$3:$F$62,"&gt;"&amp;$A73,案件一覧!$C$3:$C$62,"&lt;&gt;キャンセル")&gt;1," ◆重複!",""))</f>
        <v/>
      </c>
      <c r="D73" s="18" t="str">
        <f aca="false">IF(COUNTIFS(案件一覧!$N$3:$N$62,D$3,案件一覧!$E$3:$E$62,"&lt;="&amp;$A73,案件一覧!$F$3:$F$62,"&gt;"&amp;$A73,案件一覧!$C$3:$C$62,"&lt;&gt;キャンセル")=0,"",INDEX(案件一覧!$J$3:$J$62,MATCH(1,INDEX((案件一覧!$N$3:$N$62=D$3)*(案件一覧!$E$3:$E$62&lt;=$A73)*(案件一覧!$F$3:$F$62&gt;$A73)*(案件一覧!$C$3:$C$62&lt;&gt;"キャンセル"),0),0))&amp;IF(COUNTIFS(案件一覧!$N$3:$N$62,D$3,案件一覧!$E$3:$E$62,"&lt;="&amp;$A73,案件一覧!$F$3:$F$62,"&gt;"&amp;$A73,案件一覧!$C$3:$C$62,"&lt;&gt;キャンセル")&gt;1," ◆重複!",""))</f>
        <v/>
      </c>
      <c r="E73" s="18" t="str">
        <f aca="false">IF(COUNTIFS(案件一覧!$N$3:$N$62,E$3,案件一覧!$E$3:$E$62,"&lt;="&amp;$A73,案件一覧!$F$3:$F$62,"&gt;"&amp;$A73,案件一覧!$C$3:$C$62,"&lt;&gt;キャンセル")=0,"",INDEX(案件一覧!$J$3:$J$62,MATCH(1,INDEX((案件一覧!$N$3:$N$62=E$3)*(案件一覧!$E$3:$E$62&lt;=$A73)*(案件一覧!$F$3:$F$62&gt;$A73)*(案件一覧!$C$3:$C$62&lt;&gt;"キャンセル"),0),0))&amp;IF(COUNTIFS(案件一覧!$N$3:$N$62,E$3,案件一覧!$E$3:$E$62,"&lt;="&amp;$A73,案件一覧!$F$3:$F$62,"&gt;"&amp;$A73,案件一覧!$C$3:$C$62,"&lt;&gt;キャンセル")&gt;1," ◆重複!",""))</f>
        <v/>
      </c>
      <c r="F73" s="18" t="str">
        <f aca="false">IF(COUNTIFS(案件一覧!$N$3:$N$62,F$3,案件一覧!$E$3:$E$62,"&lt;="&amp;$A73,案件一覧!$F$3:$F$62,"&gt;"&amp;$A73,案件一覧!$C$3:$C$62,"&lt;&gt;キャンセル")=0,"",INDEX(案件一覧!$J$3:$J$62,MATCH(1,INDEX((案件一覧!$N$3:$N$62=F$3)*(案件一覧!$E$3:$E$62&lt;=$A73)*(案件一覧!$F$3:$F$62&gt;$A73)*(案件一覧!$C$3:$C$62&lt;&gt;"キャンセル"),0),0))&amp;IF(COUNTIFS(案件一覧!$N$3:$N$62,F$3,案件一覧!$E$3:$E$62,"&lt;="&amp;$A73,案件一覧!$F$3:$F$62,"&gt;"&amp;$A73,案件一覧!$C$3:$C$62,"&lt;&gt;キャンセル")&gt;1," ◆重複!",""))</f>
        <v/>
      </c>
      <c r="G73" s="18" t="str">
        <f aca="false">IF(COUNTIFS(案件一覧!$N$3:$N$62,G$3,案件一覧!$E$3:$E$62,"&lt;="&amp;$A73,案件一覧!$F$3:$F$62,"&gt;"&amp;$A73,案件一覧!$C$3:$C$62,"&lt;&gt;キャンセル")=0,"",INDEX(案件一覧!$J$3:$J$62,MATCH(1,INDEX((案件一覧!$N$3:$N$62=G$3)*(案件一覧!$E$3:$E$62&lt;=$A73)*(案件一覧!$F$3:$F$62&gt;$A73)*(案件一覧!$C$3:$C$62&lt;&gt;"キャンセル"),0),0))&amp;IF(COUNTIFS(案件一覧!$N$3:$N$62,G$3,案件一覧!$E$3:$E$62,"&lt;="&amp;$A73,案件一覧!$F$3:$F$62,"&gt;"&amp;$A73,案件一覧!$C$3:$C$62,"&lt;&gt;キャンセル")&gt;1," ◆重複!",""))</f>
        <v/>
      </c>
      <c r="H73" s="18" t="str">
        <f aca="false">IF(COUNTIFS(案件一覧!$N$3:$N$62,H$3,案件一覧!$E$3:$E$62,"&lt;="&amp;$A73,案件一覧!$F$3:$F$62,"&gt;"&amp;$A73,案件一覧!$C$3:$C$62,"&lt;&gt;キャンセル")=0,"",INDEX(案件一覧!$J$3:$J$62,MATCH(1,INDEX((案件一覧!$N$3:$N$62=H$3)*(案件一覧!$E$3:$E$62&lt;=$A73)*(案件一覧!$F$3:$F$62&gt;$A73)*(案件一覧!$C$3:$C$62&lt;&gt;"キャンセル"),0),0))&amp;IF(COUNTIFS(案件一覧!$N$3:$N$62,H$3,案件一覧!$E$3:$E$62,"&lt;="&amp;$A73,案件一覧!$F$3:$F$62,"&gt;"&amp;$A73,案件一覧!$C$3:$C$62,"&lt;&gt;キャンセル")&gt;1," ◆重複!",""))</f>
        <v/>
      </c>
    </row>
    <row r="74" customFormat="false" ht="15" hidden="false" customHeight="false" outlineLevel="0" collapsed="false">
      <c r="A74" s="16" t="n">
        <v>46274</v>
      </c>
      <c r="B74" s="17" t="s">
        <v>42</v>
      </c>
      <c r="C74" s="18" t="str">
        <f aca="false">IF(COUNTIFS(案件一覧!$N$3:$N$62,C$3,案件一覧!$E$3:$E$62,"&lt;="&amp;$A74,案件一覧!$F$3:$F$62,"&gt;"&amp;$A74,案件一覧!$C$3:$C$62,"&lt;&gt;キャンセル")=0,"",INDEX(案件一覧!$J$3:$J$62,MATCH(1,INDEX((案件一覧!$N$3:$N$62=C$3)*(案件一覧!$E$3:$E$62&lt;=$A74)*(案件一覧!$F$3:$F$62&gt;$A74)*(案件一覧!$C$3:$C$62&lt;&gt;"キャンセル"),0),0))&amp;IF(COUNTIFS(案件一覧!$N$3:$N$62,C$3,案件一覧!$E$3:$E$62,"&lt;="&amp;$A74,案件一覧!$F$3:$F$62,"&gt;"&amp;$A74,案件一覧!$C$3:$C$62,"&lt;&gt;キャンセル")&gt;1," ◆重複!",""))</f>
        <v/>
      </c>
      <c r="D74" s="18" t="str">
        <f aca="false">IF(COUNTIFS(案件一覧!$N$3:$N$62,D$3,案件一覧!$E$3:$E$62,"&lt;="&amp;$A74,案件一覧!$F$3:$F$62,"&gt;"&amp;$A74,案件一覧!$C$3:$C$62,"&lt;&gt;キャンセル")=0,"",INDEX(案件一覧!$J$3:$J$62,MATCH(1,INDEX((案件一覧!$N$3:$N$62=D$3)*(案件一覧!$E$3:$E$62&lt;=$A74)*(案件一覧!$F$3:$F$62&gt;$A74)*(案件一覧!$C$3:$C$62&lt;&gt;"キャンセル"),0),0))&amp;IF(COUNTIFS(案件一覧!$N$3:$N$62,D$3,案件一覧!$E$3:$E$62,"&lt;="&amp;$A74,案件一覧!$F$3:$F$62,"&gt;"&amp;$A74,案件一覧!$C$3:$C$62,"&lt;&gt;キャンセル")&gt;1," ◆重複!",""))</f>
        <v/>
      </c>
      <c r="E74" s="18" t="str">
        <f aca="false">IF(COUNTIFS(案件一覧!$N$3:$N$62,E$3,案件一覧!$E$3:$E$62,"&lt;="&amp;$A74,案件一覧!$F$3:$F$62,"&gt;"&amp;$A74,案件一覧!$C$3:$C$62,"&lt;&gt;キャンセル")=0,"",INDEX(案件一覧!$J$3:$J$62,MATCH(1,INDEX((案件一覧!$N$3:$N$62=E$3)*(案件一覧!$E$3:$E$62&lt;=$A74)*(案件一覧!$F$3:$F$62&gt;$A74)*(案件一覧!$C$3:$C$62&lt;&gt;"キャンセル"),0),0))&amp;IF(COUNTIFS(案件一覧!$N$3:$N$62,E$3,案件一覧!$E$3:$E$62,"&lt;="&amp;$A74,案件一覧!$F$3:$F$62,"&gt;"&amp;$A74,案件一覧!$C$3:$C$62,"&lt;&gt;キャンセル")&gt;1," ◆重複!",""))</f>
        <v/>
      </c>
      <c r="F74" s="18" t="str">
        <f aca="false">IF(COUNTIFS(案件一覧!$N$3:$N$62,F$3,案件一覧!$E$3:$E$62,"&lt;="&amp;$A74,案件一覧!$F$3:$F$62,"&gt;"&amp;$A74,案件一覧!$C$3:$C$62,"&lt;&gt;キャンセル")=0,"",INDEX(案件一覧!$J$3:$J$62,MATCH(1,INDEX((案件一覧!$N$3:$N$62=F$3)*(案件一覧!$E$3:$E$62&lt;=$A74)*(案件一覧!$F$3:$F$62&gt;$A74)*(案件一覧!$C$3:$C$62&lt;&gt;"キャンセル"),0),0))&amp;IF(COUNTIFS(案件一覧!$N$3:$N$62,F$3,案件一覧!$E$3:$E$62,"&lt;="&amp;$A74,案件一覧!$F$3:$F$62,"&gt;"&amp;$A74,案件一覧!$C$3:$C$62,"&lt;&gt;キャンセル")&gt;1," ◆重複!",""))</f>
        <v/>
      </c>
      <c r="G74" s="18" t="str">
        <f aca="false">IF(COUNTIFS(案件一覧!$N$3:$N$62,G$3,案件一覧!$E$3:$E$62,"&lt;="&amp;$A74,案件一覧!$F$3:$F$62,"&gt;"&amp;$A74,案件一覧!$C$3:$C$62,"&lt;&gt;キャンセル")=0,"",INDEX(案件一覧!$J$3:$J$62,MATCH(1,INDEX((案件一覧!$N$3:$N$62=G$3)*(案件一覧!$E$3:$E$62&lt;=$A74)*(案件一覧!$F$3:$F$62&gt;$A74)*(案件一覧!$C$3:$C$62&lt;&gt;"キャンセル"),0),0))&amp;IF(COUNTIFS(案件一覧!$N$3:$N$62,G$3,案件一覧!$E$3:$E$62,"&lt;="&amp;$A74,案件一覧!$F$3:$F$62,"&gt;"&amp;$A74,案件一覧!$C$3:$C$62,"&lt;&gt;キャンセル")&gt;1," ◆重複!",""))</f>
        <v/>
      </c>
      <c r="H74" s="18" t="str">
        <f aca="false">IF(COUNTIFS(案件一覧!$N$3:$N$62,H$3,案件一覧!$E$3:$E$62,"&lt;="&amp;$A74,案件一覧!$F$3:$F$62,"&gt;"&amp;$A74,案件一覧!$C$3:$C$62,"&lt;&gt;キャンセル")=0,"",INDEX(案件一覧!$J$3:$J$62,MATCH(1,INDEX((案件一覧!$N$3:$N$62=H$3)*(案件一覧!$E$3:$E$62&lt;=$A74)*(案件一覧!$F$3:$F$62&gt;$A74)*(案件一覧!$C$3:$C$62&lt;&gt;"キャンセル"),0),0))&amp;IF(COUNTIFS(案件一覧!$N$3:$N$62,H$3,案件一覧!$E$3:$E$62,"&lt;="&amp;$A74,案件一覧!$F$3:$F$62,"&gt;"&amp;$A74,案件一覧!$C$3:$C$62,"&lt;&gt;キャンセル")&gt;1," ◆重複!",""))</f>
        <v/>
      </c>
    </row>
    <row r="75" customFormat="false" ht="15" hidden="false" customHeight="false" outlineLevel="0" collapsed="false">
      <c r="A75" s="16" t="n">
        <v>46275</v>
      </c>
      <c r="B75" s="17" t="s">
        <v>43</v>
      </c>
      <c r="C75" s="18" t="str">
        <f aca="false">IF(COUNTIFS(案件一覧!$N$3:$N$62,C$3,案件一覧!$E$3:$E$62,"&lt;="&amp;$A75,案件一覧!$F$3:$F$62,"&gt;"&amp;$A75,案件一覧!$C$3:$C$62,"&lt;&gt;キャンセル")=0,"",INDEX(案件一覧!$J$3:$J$62,MATCH(1,INDEX((案件一覧!$N$3:$N$62=C$3)*(案件一覧!$E$3:$E$62&lt;=$A75)*(案件一覧!$F$3:$F$62&gt;$A75)*(案件一覧!$C$3:$C$62&lt;&gt;"キャンセル"),0),0))&amp;IF(COUNTIFS(案件一覧!$N$3:$N$62,C$3,案件一覧!$E$3:$E$62,"&lt;="&amp;$A75,案件一覧!$F$3:$F$62,"&gt;"&amp;$A75,案件一覧!$C$3:$C$62,"&lt;&gt;キャンセル")&gt;1," ◆重複!",""))</f>
        <v/>
      </c>
      <c r="D75" s="18" t="str">
        <f aca="false">IF(COUNTIFS(案件一覧!$N$3:$N$62,D$3,案件一覧!$E$3:$E$62,"&lt;="&amp;$A75,案件一覧!$F$3:$F$62,"&gt;"&amp;$A75,案件一覧!$C$3:$C$62,"&lt;&gt;キャンセル")=0,"",INDEX(案件一覧!$J$3:$J$62,MATCH(1,INDEX((案件一覧!$N$3:$N$62=D$3)*(案件一覧!$E$3:$E$62&lt;=$A75)*(案件一覧!$F$3:$F$62&gt;$A75)*(案件一覧!$C$3:$C$62&lt;&gt;"キャンセル"),0),0))&amp;IF(COUNTIFS(案件一覧!$N$3:$N$62,D$3,案件一覧!$E$3:$E$62,"&lt;="&amp;$A75,案件一覧!$F$3:$F$62,"&gt;"&amp;$A75,案件一覧!$C$3:$C$62,"&lt;&gt;キャンセル")&gt;1," ◆重複!",""))</f>
        <v/>
      </c>
      <c r="E75" s="18" t="str">
        <f aca="false">IF(COUNTIFS(案件一覧!$N$3:$N$62,E$3,案件一覧!$E$3:$E$62,"&lt;="&amp;$A75,案件一覧!$F$3:$F$62,"&gt;"&amp;$A75,案件一覧!$C$3:$C$62,"&lt;&gt;キャンセル")=0,"",INDEX(案件一覧!$J$3:$J$62,MATCH(1,INDEX((案件一覧!$N$3:$N$62=E$3)*(案件一覧!$E$3:$E$62&lt;=$A75)*(案件一覧!$F$3:$F$62&gt;$A75)*(案件一覧!$C$3:$C$62&lt;&gt;"キャンセル"),0),0))&amp;IF(COUNTIFS(案件一覧!$N$3:$N$62,E$3,案件一覧!$E$3:$E$62,"&lt;="&amp;$A75,案件一覧!$F$3:$F$62,"&gt;"&amp;$A75,案件一覧!$C$3:$C$62,"&lt;&gt;キャンセル")&gt;1," ◆重複!",""))</f>
        <v/>
      </c>
      <c r="F75" s="18" t="str">
        <f aca="false">IF(COUNTIFS(案件一覧!$N$3:$N$62,F$3,案件一覧!$E$3:$E$62,"&lt;="&amp;$A75,案件一覧!$F$3:$F$62,"&gt;"&amp;$A75,案件一覧!$C$3:$C$62,"&lt;&gt;キャンセル")=0,"",INDEX(案件一覧!$J$3:$J$62,MATCH(1,INDEX((案件一覧!$N$3:$N$62=F$3)*(案件一覧!$E$3:$E$62&lt;=$A75)*(案件一覧!$F$3:$F$62&gt;$A75)*(案件一覧!$C$3:$C$62&lt;&gt;"キャンセル"),0),0))&amp;IF(COUNTIFS(案件一覧!$N$3:$N$62,F$3,案件一覧!$E$3:$E$62,"&lt;="&amp;$A75,案件一覧!$F$3:$F$62,"&gt;"&amp;$A75,案件一覧!$C$3:$C$62,"&lt;&gt;キャンセル")&gt;1," ◆重複!",""))</f>
        <v/>
      </c>
      <c r="G75" s="18" t="str">
        <f aca="false">IF(COUNTIFS(案件一覧!$N$3:$N$62,G$3,案件一覧!$E$3:$E$62,"&lt;="&amp;$A75,案件一覧!$F$3:$F$62,"&gt;"&amp;$A75,案件一覧!$C$3:$C$62,"&lt;&gt;キャンセル")=0,"",INDEX(案件一覧!$J$3:$J$62,MATCH(1,INDEX((案件一覧!$N$3:$N$62=G$3)*(案件一覧!$E$3:$E$62&lt;=$A75)*(案件一覧!$F$3:$F$62&gt;$A75)*(案件一覧!$C$3:$C$62&lt;&gt;"キャンセル"),0),0))&amp;IF(COUNTIFS(案件一覧!$N$3:$N$62,G$3,案件一覧!$E$3:$E$62,"&lt;="&amp;$A75,案件一覧!$F$3:$F$62,"&gt;"&amp;$A75,案件一覧!$C$3:$C$62,"&lt;&gt;キャンセル")&gt;1," ◆重複!",""))</f>
        <v/>
      </c>
      <c r="H75" s="18" t="str">
        <f aca="false">IF(COUNTIFS(案件一覧!$N$3:$N$62,H$3,案件一覧!$E$3:$E$62,"&lt;="&amp;$A75,案件一覧!$F$3:$F$62,"&gt;"&amp;$A75,案件一覧!$C$3:$C$62,"&lt;&gt;キャンセル")=0,"",INDEX(案件一覧!$J$3:$J$62,MATCH(1,INDEX((案件一覧!$N$3:$N$62=H$3)*(案件一覧!$E$3:$E$62&lt;=$A75)*(案件一覧!$F$3:$F$62&gt;$A75)*(案件一覧!$C$3:$C$62&lt;&gt;"キャンセル"),0),0))&amp;IF(COUNTIFS(案件一覧!$N$3:$N$62,H$3,案件一覧!$E$3:$E$62,"&lt;="&amp;$A75,案件一覧!$F$3:$F$62,"&gt;"&amp;$A75,案件一覧!$C$3:$C$62,"&lt;&gt;キャンセル")&gt;1," ◆重複!",""))</f>
        <v/>
      </c>
    </row>
    <row r="76" customFormat="false" ht="15" hidden="false" customHeight="false" outlineLevel="0" collapsed="false">
      <c r="A76" s="16" t="n">
        <v>46276</v>
      </c>
      <c r="B76" s="17" t="s">
        <v>44</v>
      </c>
      <c r="C76" s="18" t="str">
        <f aca="false">IF(COUNTIFS(案件一覧!$N$3:$N$62,C$3,案件一覧!$E$3:$E$62,"&lt;="&amp;$A76,案件一覧!$F$3:$F$62,"&gt;"&amp;$A76,案件一覧!$C$3:$C$62,"&lt;&gt;キャンセル")=0,"",INDEX(案件一覧!$J$3:$J$62,MATCH(1,INDEX((案件一覧!$N$3:$N$62=C$3)*(案件一覧!$E$3:$E$62&lt;=$A76)*(案件一覧!$F$3:$F$62&gt;$A76)*(案件一覧!$C$3:$C$62&lt;&gt;"キャンセル"),0),0))&amp;IF(COUNTIFS(案件一覧!$N$3:$N$62,C$3,案件一覧!$E$3:$E$62,"&lt;="&amp;$A76,案件一覧!$F$3:$F$62,"&gt;"&amp;$A76,案件一覧!$C$3:$C$62,"&lt;&gt;キャンセル")&gt;1," ◆重複!",""))</f>
        <v/>
      </c>
      <c r="D76" s="18" t="str">
        <f aca="false">IF(COUNTIFS(案件一覧!$N$3:$N$62,D$3,案件一覧!$E$3:$E$62,"&lt;="&amp;$A76,案件一覧!$F$3:$F$62,"&gt;"&amp;$A76,案件一覧!$C$3:$C$62,"&lt;&gt;キャンセル")=0,"",INDEX(案件一覧!$J$3:$J$62,MATCH(1,INDEX((案件一覧!$N$3:$N$62=D$3)*(案件一覧!$E$3:$E$62&lt;=$A76)*(案件一覧!$F$3:$F$62&gt;$A76)*(案件一覧!$C$3:$C$62&lt;&gt;"キャンセル"),0),0))&amp;IF(COUNTIFS(案件一覧!$N$3:$N$62,D$3,案件一覧!$E$3:$E$62,"&lt;="&amp;$A76,案件一覧!$F$3:$F$62,"&gt;"&amp;$A76,案件一覧!$C$3:$C$62,"&lt;&gt;キャンセル")&gt;1," ◆重複!",""))</f>
        <v/>
      </c>
      <c r="E76" s="18" t="str">
        <f aca="false">IF(COUNTIFS(案件一覧!$N$3:$N$62,E$3,案件一覧!$E$3:$E$62,"&lt;="&amp;$A76,案件一覧!$F$3:$F$62,"&gt;"&amp;$A76,案件一覧!$C$3:$C$62,"&lt;&gt;キャンセル")=0,"",INDEX(案件一覧!$J$3:$J$62,MATCH(1,INDEX((案件一覧!$N$3:$N$62=E$3)*(案件一覧!$E$3:$E$62&lt;=$A76)*(案件一覧!$F$3:$F$62&gt;$A76)*(案件一覧!$C$3:$C$62&lt;&gt;"キャンセル"),0),0))&amp;IF(COUNTIFS(案件一覧!$N$3:$N$62,E$3,案件一覧!$E$3:$E$62,"&lt;="&amp;$A76,案件一覧!$F$3:$F$62,"&gt;"&amp;$A76,案件一覧!$C$3:$C$62,"&lt;&gt;キャンセル")&gt;1," ◆重複!",""))</f>
        <v/>
      </c>
      <c r="F76" s="18" t="str">
        <f aca="false">IF(COUNTIFS(案件一覧!$N$3:$N$62,F$3,案件一覧!$E$3:$E$62,"&lt;="&amp;$A76,案件一覧!$F$3:$F$62,"&gt;"&amp;$A76,案件一覧!$C$3:$C$62,"&lt;&gt;キャンセル")=0,"",INDEX(案件一覧!$J$3:$J$62,MATCH(1,INDEX((案件一覧!$N$3:$N$62=F$3)*(案件一覧!$E$3:$E$62&lt;=$A76)*(案件一覧!$F$3:$F$62&gt;$A76)*(案件一覧!$C$3:$C$62&lt;&gt;"キャンセル"),0),0))&amp;IF(COUNTIFS(案件一覧!$N$3:$N$62,F$3,案件一覧!$E$3:$E$62,"&lt;="&amp;$A76,案件一覧!$F$3:$F$62,"&gt;"&amp;$A76,案件一覧!$C$3:$C$62,"&lt;&gt;キャンセル")&gt;1," ◆重複!",""))</f>
        <v/>
      </c>
      <c r="G76" s="18" t="str">
        <f aca="false">IF(COUNTIFS(案件一覧!$N$3:$N$62,G$3,案件一覧!$E$3:$E$62,"&lt;="&amp;$A76,案件一覧!$F$3:$F$62,"&gt;"&amp;$A76,案件一覧!$C$3:$C$62,"&lt;&gt;キャンセル")=0,"",INDEX(案件一覧!$J$3:$J$62,MATCH(1,INDEX((案件一覧!$N$3:$N$62=G$3)*(案件一覧!$E$3:$E$62&lt;=$A76)*(案件一覧!$F$3:$F$62&gt;$A76)*(案件一覧!$C$3:$C$62&lt;&gt;"キャンセル"),0),0))&amp;IF(COUNTIFS(案件一覧!$N$3:$N$62,G$3,案件一覧!$E$3:$E$62,"&lt;="&amp;$A76,案件一覧!$F$3:$F$62,"&gt;"&amp;$A76,案件一覧!$C$3:$C$62,"&lt;&gt;キャンセル")&gt;1," ◆重複!",""))</f>
        <v/>
      </c>
      <c r="H76" s="18" t="str">
        <f aca="false">IF(COUNTIFS(案件一覧!$N$3:$N$62,H$3,案件一覧!$E$3:$E$62,"&lt;="&amp;$A76,案件一覧!$F$3:$F$62,"&gt;"&amp;$A76,案件一覧!$C$3:$C$62,"&lt;&gt;キャンセル")=0,"",INDEX(案件一覧!$J$3:$J$62,MATCH(1,INDEX((案件一覧!$N$3:$N$62=H$3)*(案件一覧!$E$3:$E$62&lt;=$A76)*(案件一覧!$F$3:$F$62&gt;$A76)*(案件一覧!$C$3:$C$62&lt;&gt;"キャンセル"),0),0))&amp;IF(COUNTIFS(案件一覧!$N$3:$N$62,H$3,案件一覧!$E$3:$E$62,"&lt;="&amp;$A76,案件一覧!$F$3:$F$62,"&gt;"&amp;$A76,案件一覧!$C$3:$C$62,"&lt;&gt;キャンセル")&gt;1," ◆重複!",""))</f>
        <v/>
      </c>
    </row>
    <row r="77" customFormat="false" ht="15" hidden="false" customHeight="false" outlineLevel="0" collapsed="false">
      <c r="A77" s="19" t="n">
        <v>46277</v>
      </c>
      <c r="B77" s="20" t="s">
        <v>45</v>
      </c>
      <c r="C77" s="21" t="str">
        <f aca="false">IF(COUNTIFS(案件一覧!$N$3:$N$62,C$3,案件一覧!$E$3:$E$62,"&lt;="&amp;$A77,案件一覧!$F$3:$F$62,"&gt;"&amp;$A77,案件一覧!$C$3:$C$62,"&lt;&gt;キャンセル")=0,"",INDEX(案件一覧!$J$3:$J$62,MATCH(1,INDEX((案件一覧!$N$3:$N$62=C$3)*(案件一覧!$E$3:$E$62&lt;=$A77)*(案件一覧!$F$3:$F$62&gt;$A77)*(案件一覧!$C$3:$C$62&lt;&gt;"キャンセル"),0),0))&amp;IF(COUNTIFS(案件一覧!$N$3:$N$62,C$3,案件一覧!$E$3:$E$62,"&lt;="&amp;$A77,案件一覧!$F$3:$F$62,"&gt;"&amp;$A77,案件一覧!$C$3:$C$62,"&lt;&gt;キャンセル")&gt;1," ◆重複!",""))</f>
        <v/>
      </c>
      <c r="D77" s="21" t="str">
        <f aca="false">IF(COUNTIFS(案件一覧!$N$3:$N$62,D$3,案件一覧!$E$3:$E$62,"&lt;="&amp;$A77,案件一覧!$F$3:$F$62,"&gt;"&amp;$A77,案件一覧!$C$3:$C$62,"&lt;&gt;キャンセル")=0,"",INDEX(案件一覧!$J$3:$J$62,MATCH(1,INDEX((案件一覧!$N$3:$N$62=D$3)*(案件一覧!$E$3:$E$62&lt;=$A77)*(案件一覧!$F$3:$F$62&gt;$A77)*(案件一覧!$C$3:$C$62&lt;&gt;"キャンセル"),0),0))&amp;IF(COUNTIFS(案件一覧!$N$3:$N$62,D$3,案件一覧!$E$3:$E$62,"&lt;="&amp;$A77,案件一覧!$F$3:$F$62,"&gt;"&amp;$A77,案件一覧!$C$3:$C$62,"&lt;&gt;キャンセル")&gt;1," ◆重複!",""))</f>
        <v/>
      </c>
      <c r="E77" s="21" t="str">
        <f aca="false">IF(COUNTIFS(案件一覧!$N$3:$N$62,E$3,案件一覧!$E$3:$E$62,"&lt;="&amp;$A77,案件一覧!$F$3:$F$62,"&gt;"&amp;$A77,案件一覧!$C$3:$C$62,"&lt;&gt;キャンセル")=0,"",INDEX(案件一覧!$J$3:$J$62,MATCH(1,INDEX((案件一覧!$N$3:$N$62=E$3)*(案件一覧!$E$3:$E$62&lt;=$A77)*(案件一覧!$F$3:$F$62&gt;$A77)*(案件一覧!$C$3:$C$62&lt;&gt;"キャンセル"),0),0))&amp;IF(COUNTIFS(案件一覧!$N$3:$N$62,E$3,案件一覧!$E$3:$E$62,"&lt;="&amp;$A77,案件一覧!$F$3:$F$62,"&gt;"&amp;$A77,案件一覧!$C$3:$C$62,"&lt;&gt;キャンセル")&gt;1," ◆重複!",""))</f>
        <v/>
      </c>
      <c r="F77" s="21" t="str">
        <f aca="false">IF(COUNTIFS(案件一覧!$N$3:$N$62,F$3,案件一覧!$E$3:$E$62,"&lt;="&amp;$A77,案件一覧!$F$3:$F$62,"&gt;"&amp;$A77,案件一覧!$C$3:$C$62,"&lt;&gt;キャンセル")=0,"",INDEX(案件一覧!$J$3:$J$62,MATCH(1,INDEX((案件一覧!$N$3:$N$62=F$3)*(案件一覧!$E$3:$E$62&lt;=$A77)*(案件一覧!$F$3:$F$62&gt;$A77)*(案件一覧!$C$3:$C$62&lt;&gt;"キャンセル"),0),0))&amp;IF(COUNTIFS(案件一覧!$N$3:$N$62,F$3,案件一覧!$E$3:$E$62,"&lt;="&amp;$A77,案件一覧!$F$3:$F$62,"&gt;"&amp;$A77,案件一覧!$C$3:$C$62,"&lt;&gt;キャンセル")&gt;1," ◆重複!",""))</f>
        <v/>
      </c>
      <c r="G77" s="21" t="str">
        <f aca="false">IF(COUNTIFS(案件一覧!$N$3:$N$62,G$3,案件一覧!$E$3:$E$62,"&lt;="&amp;$A77,案件一覧!$F$3:$F$62,"&gt;"&amp;$A77,案件一覧!$C$3:$C$62,"&lt;&gt;キャンセル")=0,"",INDEX(案件一覧!$J$3:$J$62,MATCH(1,INDEX((案件一覧!$N$3:$N$62=G$3)*(案件一覧!$E$3:$E$62&lt;=$A77)*(案件一覧!$F$3:$F$62&gt;$A77)*(案件一覧!$C$3:$C$62&lt;&gt;"キャンセル"),0),0))&amp;IF(COUNTIFS(案件一覧!$N$3:$N$62,G$3,案件一覧!$E$3:$E$62,"&lt;="&amp;$A77,案件一覧!$F$3:$F$62,"&gt;"&amp;$A77,案件一覧!$C$3:$C$62,"&lt;&gt;キャンセル")&gt;1," ◆重複!",""))</f>
        <v/>
      </c>
      <c r="H77" s="21" t="str">
        <f aca="false">IF(COUNTIFS(案件一覧!$N$3:$N$62,H$3,案件一覧!$E$3:$E$62,"&lt;="&amp;$A77,案件一覧!$F$3:$F$62,"&gt;"&amp;$A77,案件一覧!$C$3:$C$62,"&lt;&gt;キャンセル")=0,"",INDEX(案件一覧!$J$3:$J$62,MATCH(1,INDEX((案件一覧!$N$3:$N$62=H$3)*(案件一覧!$E$3:$E$62&lt;=$A77)*(案件一覧!$F$3:$F$62&gt;$A77)*(案件一覧!$C$3:$C$62&lt;&gt;"キャンセル"),0),0))&amp;IF(COUNTIFS(案件一覧!$N$3:$N$62,H$3,案件一覧!$E$3:$E$62,"&lt;="&amp;$A77,案件一覧!$F$3:$F$62,"&gt;"&amp;$A77,案件一覧!$C$3:$C$62,"&lt;&gt;キャンセル")&gt;1," ◆重複!",""))</f>
        <v/>
      </c>
    </row>
    <row r="78" customFormat="false" ht="15" hidden="false" customHeight="false" outlineLevel="0" collapsed="false">
      <c r="A78" s="22" t="n">
        <v>46278</v>
      </c>
      <c r="B78" s="23" t="s">
        <v>46</v>
      </c>
      <c r="C78" s="24" t="str">
        <f aca="false">IF(COUNTIFS(案件一覧!$N$3:$N$62,C$3,案件一覧!$E$3:$E$62,"&lt;="&amp;$A78,案件一覧!$F$3:$F$62,"&gt;"&amp;$A78,案件一覧!$C$3:$C$62,"&lt;&gt;キャンセル")=0,"",INDEX(案件一覧!$J$3:$J$62,MATCH(1,INDEX((案件一覧!$N$3:$N$62=C$3)*(案件一覧!$E$3:$E$62&lt;=$A78)*(案件一覧!$F$3:$F$62&gt;$A78)*(案件一覧!$C$3:$C$62&lt;&gt;"キャンセル"),0),0))&amp;IF(COUNTIFS(案件一覧!$N$3:$N$62,C$3,案件一覧!$E$3:$E$62,"&lt;="&amp;$A78,案件一覧!$F$3:$F$62,"&gt;"&amp;$A78,案件一覧!$C$3:$C$62,"&lt;&gt;キャンセル")&gt;1," ◆重複!",""))</f>
        <v/>
      </c>
      <c r="D78" s="24" t="str">
        <f aca="false">IF(COUNTIFS(案件一覧!$N$3:$N$62,D$3,案件一覧!$E$3:$E$62,"&lt;="&amp;$A78,案件一覧!$F$3:$F$62,"&gt;"&amp;$A78,案件一覧!$C$3:$C$62,"&lt;&gt;キャンセル")=0,"",INDEX(案件一覧!$J$3:$J$62,MATCH(1,INDEX((案件一覧!$N$3:$N$62=D$3)*(案件一覧!$E$3:$E$62&lt;=$A78)*(案件一覧!$F$3:$F$62&gt;$A78)*(案件一覧!$C$3:$C$62&lt;&gt;"キャンセル"),0),0))&amp;IF(COUNTIFS(案件一覧!$N$3:$N$62,D$3,案件一覧!$E$3:$E$62,"&lt;="&amp;$A78,案件一覧!$F$3:$F$62,"&gt;"&amp;$A78,案件一覧!$C$3:$C$62,"&lt;&gt;キャンセル")&gt;1," ◆重複!",""))</f>
        <v/>
      </c>
      <c r="E78" s="24" t="str">
        <f aca="false">IF(COUNTIFS(案件一覧!$N$3:$N$62,E$3,案件一覧!$E$3:$E$62,"&lt;="&amp;$A78,案件一覧!$F$3:$F$62,"&gt;"&amp;$A78,案件一覧!$C$3:$C$62,"&lt;&gt;キャンセル")=0,"",INDEX(案件一覧!$J$3:$J$62,MATCH(1,INDEX((案件一覧!$N$3:$N$62=E$3)*(案件一覧!$E$3:$E$62&lt;=$A78)*(案件一覧!$F$3:$F$62&gt;$A78)*(案件一覧!$C$3:$C$62&lt;&gt;"キャンセル"),0),0))&amp;IF(COUNTIFS(案件一覧!$N$3:$N$62,E$3,案件一覧!$E$3:$E$62,"&lt;="&amp;$A78,案件一覧!$F$3:$F$62,"&gt;"&amp;$A78,案件一覧!$C$3:$C$62,"&lt;&gt;キャンセル")&gt;1," ◆重複!",""))</f>
        <v/>
      </c>
      <c r="F78" s="24" t="str">
        <f aca="false">IF(COUNTIFS(案件一覧!$N$3:$N$62,F$3,案件一覧!$E$3:$E$62,"&lt;="&amp;$A78,案件一覧!$F$3:$F$62,"&gt;"&amp;$A78,案件一覧!$C$3:$C$62,"&lt;&gt;キャンセル")=0,"",INDEX(案件一覧!$J$3:$J$62,MATCH(1,INDEX((案件一覧!$N$3:$N$62=F$3)*(案件一覧!$E$3:$E$62&lt;=$A78)*(案件一覧!$F$3:$F$62&gt;$A78)*(案件一覧!$C$3:$C$62&lt;&gt;"キャンセル"),0),0))&amp;IF(COUNTIFS(案件一覧!$N$3:$N$62,F$3,案件一覧!$E$3:$E$62,"&lt;="&amp;$A78,案件一覧!$F$3:$F$62,"&gt;"&amp;$A78,案件一覧!$C$3:$C$62,"&lt;&gt;キャンセル")&gt;1," ◆重複!",""))</f>
        <v/>
      </c>
      <c r="G78" s="24" t="str">
        <f aca="false">IF(COUNTIFS(案件一覧!$N$3:$N$62,G$3,案件一覧!$E$3:$E$62,"&lt;="&amp;$A78,案件一覧!$F$3:$F$62,"&gt;"&amp;$A78,案件一覧!$C$3:$C$62,"&lt;&gt;キャンセル")=0,"",INDEX(案件一覧!$J$3:$J$62,MATCH(1,INDEX((案件一覧!$N$3:$N$62=G$3)*(案件一覧!$E$3:$E$62&lt;=$A78)*(案件一覧!$F$3:$F$62&gt;$A78)*(案件一覧!$C$3:$C$62&lt;&gt;"キャンセル"),0),0))&amp;IF(COUNTIFS(案件一覧!$N$3:$N$62,G$3,案件一覧!$E$3:$E$62,"&lt;="&amp;$A78,案件一覧!$F$3:$F$62,"&gt;"&amp;$A78,案件一覧!$C$3:$C$62,"&lt;&gt;キャンセル")&gt;1," ◆重複!",""))</f>
        <v/>
      </c>
      <c r="H78" s="24" t="str">
        <f aca="false">IF(COUNTIFS(案件一覧!$N$3:$N$62,H$3,案件一覧!$E$3:$E$62,"&lt;="&amp;$A78,案件一覧!$F$3:$F$62,"&gt;"&amp;$A78,案件一覧!$C$3:$C$62,"&lt;&gt;キャンセル")=0,"",INDEX(案件一覧!$J$3:$J$62,MATCH(1,INDEX((案件一覧!$N$3:$N$62=H$3)*(案件一覧!$E$3:$E$62&lt;=$A78)*(案件一覧!$F$3:$F$62&gt;$A78)*(案件一覧!$C$3:$C$62&lt;&gt;"キャンセル"),0),0))&amp;IF(COUNTIFS(案件一覧!$N$3:$N$62,H$3,案件一覧!$E$3:$E$62,"&lt;="&amp;$A78,案件一覧!$F$3:$F$62,"&gt;"&amp;$A78,案件一覧!$C$3:$C$62,"&lt;&gt;キャンセル")&gt;1," ◆重複!",""))</f>
        <v/>
      </c>
    </row>
    <row r="79" customFormat="false" ht="15" hidden="false" customHeight="false" outlineLevel="0" collapsed="false">
      <c r="A79" s="16" t="n">
        <v>46279</v>
      </c>
      <c r="B79" s="17" t="s">
        <v>47</v>
      </c>
      <c r="C79" s="18" t="str">
        <f aca="false">IF(COUNTIFS(案件一覧!$N$3:$N$62,C$3,案件一覧!$E$3:$E$62,"&lt;="&amp;$A79,案件一覧!$F$3:$F$62,"&gt;"&amp;$A79,案件一覧!$C$3:$C$62,"&lt;&gt;キャンセル")=0,"",INDEX(案件一覧!$J$3:$J$62,MATCH(1,INDEX((案件一覧!$N$3:$N$62=C$3)*(案件一覧!$E$3:$E$62&lt;=$A79)*(案件一覧!$F$3:$F$62&gt;$A79)*(案件一覧!$C$3:$C$62&lt;&gt;"キャンセル"),0),0))&amp;IF(COUNTIFS(案件一覧!$N$3:$N$62,C$3,案件一覧!$E$3:$E$62,"&lt;="&amp;$A79,案件一覧!$F$3:$F$62,"&gt;"&amp;$A79,案件一覧!$C$3:$C$62,"&lt;&gt;キャンセル")&gt;1," ◆重複!",""))</f>
        <v/>
      </c>
      <c r="D79" s="18" t="str">
        <f aca="false">IF(COUNTIFS(案件一覧!$N$3:$N$62,D$3,案件一覧!$E$3:$E$62,"&lt;="&amp;$A79,案件一覧!$F$3:$F$62,"&gt;"&amp;$A79,案件一覧!$C$3:$C$62,"&lt;&gt;キャンセル")=0,"",INDEX(案件一覧!$J$3:$J$62,MATCH(1,INDEX((案件一覧!$N$3:$N$62=D$3)*(案件一覧!$E$3:$E$62&lt;=$A79)*(案件一覧!$F$3:$F$62&gt;$A79)*(案件一覧!$C$3:$C$62&lt;&gt;"キャンセル"),0),0))&amp;IF(COUNTIFS(案件一覧!$N$3:$N$62,D$3,案件一覧!$E$3:$E$62,"&lt;="&amp;$A79,案件一覧!$F$3:$F$62,"&gt;"&amp;$A79,案件一覧!$C$3:$C$62,"&lt;&gt;キャンセル")&gt;1," ◆重複!",""))</f>
        <v/>
      </c>
      <c r="E79" s="18" t="str">
        <f aca="false">IF(COUNTIFS(案件一覧!$N$3:$N$62,E$3,案件一覧!$E$3:$E$62,"&lt;="&amp;$A79,案件一覧!$F$3:$F$62,"&gt;"&amp;$A79,案件一覧!$C$3:$C$62,"&lt;&gt;キャンセル")=0,"",INDEX(案件一覧!$J$3:$J$62,MATCH(1,INDEX((案件一覧!$N$3:$N$62=E$3)*(案件一覧!$E$3:$E$62&lt;=$A79)*(案件一覧!$F$3:$F$62&gt;$A79)*(案件一覧!$C$3:$C$62&lt;&gt;"キャンセル"),0),0))&amp;IF(COUNTIFS(案件一覧!$N$3:$N$62,E$3,案件一覧!$E$3:$E$62,"&lt;="&amp;$A79,案件一覧!$F$3:$F$62,"&gt;"&amp;$A79,案件一覧!$C$3:$C$62,"&lt;&gt;キャンセル")&gt;1," ◆重複!",""))</f>
        <v/>
      </c>
      <c r="F79" s="18" t="str">
        <f aca="false">IF(COUNTIFS(案件一覧!$N$3:$N$62,F$3,案件一覧!$E$3:$E$62,"&lt;="&amp;$A79,案件一覧!$F$3:$F$62,"&gt;"&amp;$A79,案件一覧!$C$3:$C$62,"&lt;&gt;キャンセル")=0,"",INDEX(案件一覧!$J$3:$J$62,MATCH(1,INDEX((案件一覧!$N$3:$N$62=F$3)*(案件一覧!$E$3:$E$62&lt;=$A79)*(案件一覧!$F$3:$F$62&gt;$A79)*(案件一覧!$C$3:$C$62&lt;&gt;"キャンセル"),0),0))&amp;IF(COUNTIFS(案件一覧!$N$3:$N$62,F$3,案件一覧!$E$3:$E$62,"&lt;="&amp;$A79,案件一覧!$F$3:$F$62,"&gt;"&amp;$A79,案件一覧!$C$3:$C$62,"&lt;&gt;キャンセル")&gt;1," ◆重複!",""))</f>
        <v/>
      </c>
      <c r="G79" s="18" t="str">
        <f aca="false">IF(COUNTIFS(案件一覧!$N$3:$N$62,G$3,案件一覧!$E$3:$E$62,"&lt;="&amp;$A79,案件一覧!$F$3:$F$62,"&gt;"&amp;$A79,案件一覧!$C$3:$C$62,"&lt;&gt;キャンセル")=0,"",INDEX(案件一覧!$J$3:$J$62,MATCH(1,INDEX((案件一覧!$N$3:$N$62=G$3)*(案件一覧!$E$3:$E$62&lt;=$A79)*(案件一覧!$F$3:$F$62&gt;$A79)*(案件一覧!$C$3:$C$62&lt;&gt;"キャンセル"),0),0))&amp;IF(COUNTIFS(案件一覧!$N$3:$N$62,G$3,案件一覧!$E$3:$E$62,"&lt;="&amp;$A79,案件一覧!$F$3:$F$62,"&gt;"&amp;$A79,案件一覧!$C$3:$C$62,"&lt;&gt;キャンセル")&gt;1," ◆重複!",""))</f>
        <v/>
      </c>
      <c r="H79" s="18" t="str">
        <f aca="false">IF(COUNTIFS(案件一覧!$N$3:$N$62,H$3,案件一覧!$E$3:$E$62,"&lt;="&amp;$A79,案件一覧!$F$3:$F$62,"&gt;"&amp;$A79,案件一覧!$C$3:$C$62,"&lt;&gt;キャンセル")=0,"",INDEX(案件一覧!$J$3:$J$62,MATCH(1,INDEX((案件一覧!$N$3:$N$62=H$3)*(案件一覧!$E$3:$E$62&lt;=$A79)*(案件一覧!$F$3:$F$62&gt;$A79)*(案件一覧!$C$3:$C$62&lt;&gt;"キャンセル"),0),0))&amp;IF(COUNTIFS(案件一覧!$N$3:$N$62,H$3,案件一覧!$E$3:$E$62,"&lt;="&amp;$A79,案件一覧!$F$3:$F$62,"&gt;"&amp;$A79,案件一覧!$C$3:$C$62,"&lt;&gt;キャンセル")&gt;1," ◆重複!",""))</f>
        <v/>
      </c>
    </row>
    <row r="80" customFormat="false" ht="15" hidden="false" customHeight="false" outlineLevel="0" collapsed="false">
      <c r="A80" s="16" t="n">
        <v>46280</v>
      </c>
      <c r="B80" s="17" t="s">
        <v>48</v>
      </c>
      <c r="C80" s="18" t="str">
        <f aca="false">IF(COUNTIFS(案件一覧!$N$3:$N$62,C$3,案件一覧!$E$3:$E$62,"&lt;="&amp;$A80,案件一覧!$F$3:$F$62,"&gt;"&amp;$A80,案件一覧!$C$3:$C$62,"&lt;&gt;キャンセル")=0,"",INDEX(案件一覧!$J$3:$J$62,MATCH(1,INDEX((案件一覧!$N$3:$N$62=C$3)*(案件一覧!$E$3:$E$62&lt;=$A80)*(案件一覧!$F$3:$F$62&gt;$A80)*(案件一覧!$C$3:$C$62&lt;&gt;"キャンセル"),0),0))&amp;IF(COUNTIFS(案件一覧!$N$3:$N$62,C$3,案件一覧!$E$3:$E$62,"&lt;="&amp;$A80,案件一覧!$F$3:$F$62,"&gt;"&amp;$A80,案件一覧!$C$3:$C$62,"&lt;&gt;キャンセル")&gt;1," ◆重複!",""))</f>
        <v/>
      </c>
      <c r="D80" s="18" t="str">
        <f aca="false">IF(COUNTIFS(案件一覧!$N$3:$N$62,D$3,案件一覧!$E$3:$E$62,"&lt;="&amp;$A80,案件一覧!$F$3:$F$62,"&gt;"&amp;$A80,案件一覧!$C$3:$C$62,"&lt;&gt;キャンセル")=0,"",INDEX(案件一覧!$J$3:$J$62,MATCH(1,INDEX((案件一覧!$N$3:$N$62=D$3)*(案件一覧!$E$3:$E$62&lt;=$A80)*(案件一覧!$F$3:$F$62&gt;$A80)*(案件一覧!$C$3:$C$62&lt;&gt;"キャンセル"),0),0))&amp;IF(COUNTIFS(案件一覧!$N$3:$N$62,D$3,案件一覧!$E$3:$E$62,"&lt;="&amp;$A80,案件一覧!$F$3:$F$62,"&gt;"&amp;$A80,案件一覧!$C$3:$C$62,"&lt;&gt;キャンセル")&gt;1," ◆重複!",""))</f>
        <v/>
      </c>
      <c r="E80" s="18" t="str">
        <f aca="false">IF(COUNTIFS(案件一覧!$N$3:$N$62,E$3,案件一覧!$E$3:$E$62,"&lt;="&amp;$A80,案件一覧!$F$3:$F$62,"&gt;"&amp;$A80,案件一覧!$C$3:$C$62,"&lt;&gt;キャンセル")=0,"",INDEX(案件一覧!$J$3:$J$62,MATCH(1,INDEX((案件一覧!$N$3:$N$62=E$3)*(案件一覧!$E$3:$E$62&lt;=$A80)*(案件一覧!$F$3:$F$62&gt;$A80)*(案件一覧!$C$3:$C$62&lt;&gt;"キャンセル"),0),0))&amp;IF(COUNTIFS(案件一覧!$N$3:$N$62,E$3,案件一覧!$E$3:$E$62,"&lt;="&amp;$A80,案件一覧!$F$3:$F$62,"&gt;"&amp;$A80,案件一覧!$C$3:$C$62,"&lt;&gt;キャンセル")&gt;1," ◆重複!",""))</f>
        <v/>
      </c>
      <c r="F80" s="18" t="str">
        <f aca="false">IF(COUNTIFS(案件一覧!$N$3:$N$62,F$3,案件一覧!$E$3:$E$62,"&lt;="&amp;$A80,案件一覧!$F$3:$F$62,"&gt;"&amp;$A80,案件一覧!$C$3:$C$62,"&lt;&gt;キャンセル")=0,"",INDEX(案件一覧!$J$3:$J$62,MATCH(1,INDEX((案件一覧!$N$3:$N$62=F$3)*(案件一覧!$E$3:$E$62&lt;=$A80)*(案件一覧!$F$3:$F$62&gt;$A80)*(案件一覧!$C$3:$C$62&lt;&gt;"キャンセル"),0),0))&amp;IF(COUNTIFS(案件一覧!$N$3:$N$62,F$3,案件一覧!$E$3:$E$62,"&lt;="&amp;$A80,案件一覧!$F$3:$F$62,"&gt;"&amp;$A80,案件一覧!$C$3:$C$62,"&lt;&gt;キャンセル")&gt;1," ◆重複!",""))</f>
        <v/>
      </c>
      <c r="G80" s="18" t="str">
        <f aca="false">IF(COUNTIFS(案件一覧!$N$3:$N$62,G$3,案件一覧!$E$3:$E$62,"&lt;="&amp;$A80,案件一覧!$F$3:$F$62,"&gt;"&amp;$A80,案件一覧!$C$3:$C$62,"&lt;&gt;キャンセル")=0,"",INDEX(案件一覧!$J$3:$J$62,MATCH(1,INDEX((案件一覧!$N$3:$N$62=G$3)*(案件一覧!$E$3:$E$62&lt;=$A80)*(案件一覧!$F$3:$F$62&gt;$A80)*(案件一覧!$C$3:$C$62&lt;&gt;"キャンセル"),0),0))&amp;IF(COUNTIFS(案件一覧!$N$3:$N$62,G$3,案件一覧!$E$3:$E$62,"&lt;="&amp;$A80,案件一覧!$F$3:$F$62,"&gt;"&amp;$A80,案件一覧!$C$3:$C$62,"&lt;&gt;キャンセル")&gt;1," ◆重複!",""))</f>
        <v/>
      </c>
      <c r="H80" s="18" t="str">
        <f aca="false">IF(COUNTIFS(案件一覧!$N$3:$N$62,H$3,案件一覧!$E$3:$E$62,"&lt;="&amp;$A80,案件一覧!$F$3:$F$62,"&gt;"&amp;$A80,案件一覧!$C$3:$C$62,"&lt;&gt;キャンセル")=0,"",INDEX(案件一覧!$J$3:$J$62,MATCH(1,INDEX((案件一覧!$N$3:$N$62=H$3)*(案件一覧!$E$3:$E$62&lt;=$A80)*(案件一覧!$F$3:$F$62&gt;$A80)*(案件一覧!$C$3:$C$62&lt;&gt;"キャンセル"),0),0))&amp;IF(COUNTIFS(案件一覧!$N$3:$N$62,H$3,案件一覧!$E$3:$E$62,"&lt;="&amp;$A80,案件一覧!$F$3:$F$62,"&gt;"&amp;$A80,案件一覧!$C$3:$C$62,"&lt;&gt;キャンセル")&gt;1," ◆重複!",""))</f>
        <v/>
      </c>
    </row>
    <row r="81" customFormat="false" ht="15" hidden="false" customHeight="false" outlineLevel="0" collapsed="false">
      <c r="A81" s="16" t="n">
        <v>46281</v>
      </c>
      <c r="B81" s="17" t="s">
        <v>42</v>
      </c>
      <c r="C81" s="18" t="str">
        <f aca="false">IF(COUNTIFS(案件一覧!$N$3:$N$62,C$3,案件一覧!$E$3:$E$62,"&lt;="&amp;$A81,案件一覧!$F$3:$F$62,"&gt;"&amp;$A81,案件一覧!$C$3:$C$62,"&lt;&gt;キャンセル")=0,"",INDEX(案件一覧!$J$3:$J$62,MATCH(1,INDEX((案件一覧!$N$3:$N$62=C$3)*(案件一覧!$E$3:$E$62&lt;=$A81)*(案件一覧!$F$3:$F$62&gt;$A81)*(案件一覧!$C$3:$C$62&lt;&gt;"キャンセル"),0),0))&amp;IF(COUNTIFS(案件一覧!$N$3:$N$62,C$3,案件一覧!$E$3:$E$62,"&lt;="&amp;$A81,案件一覧!$F$3:$F$62,"&gt;"&amp;$A81,案件一覧!$C$3:$C$62,"&lt;&gt;キャンセル")&gt;1," ◆重複!",""))</f>
        <v/>
      </c>
      <c r="D81" s="18" t="str">
        <f aca="false">IF(COUNTIFS(案件一覧!$N$3:$N$62,D$3,案件一覧!$E$3:$E$62,"&lt;="&amp;$A81,案件一覧!$F$3:$F$62,"&gt;"&amp;$A81,案件一覧!$C$3:$C$62,"&lt;&gt;キャンセル")=0,"",INDEX(案件一覧!$J$3:$J$62,MATCH(1,INDEX((案件一覧!$N$3:$N$62=D$3)*(案件一覧!$E$3:$E$62&lt;=$A81)*(案件一覧!$F$3:$F$62&gt;$A81)*(案件一覧!$C$3:$C$62&lt;&gt;"キャンセル"),0),0))&amp;IF(COUNTIFS(案件一覧!$N$3:$N$62,D$3,案件一覧!$E$3:$E$62,"&lt;="&amp;$A81,案件一覧!$F$3:$F$62,"&gt;"&amp;$A81,案件一覧!$C$3:$C$62,"&lt;&gt;キャンセル")&gt;1," ◆重複!",""))</f>
        <v/>
      </c>
      <c r="E81" s="18" t="str">
        <f aca="false">IF(COUNTIFS(案件一覧!$N$3:$N$62,E$3,案件一覧!$E$3:$E$62,"&lt;="&amp;$A81,案件一覧!$F$3:$F$62,"&gt;"&amp;$A81,案件一覧!$C$3:$C$62,"&lt;&gt;キャンセル")=0,"",INDEX(案件一覧!$J$3:$J$62,MATCH(1,INDEX((案件一覧!$N$3:$N$62=E$3)*(案件一覧!$E$3:$E$62&lt;=$A81)*(案件一覧!$F$3:$F$62&gt;$A81)*(案件一覧!$C$3:$C$62&lt;&gt;"キャンセル"),0),0))&amp;IF(COUNTIFS(案件一覧!$N$3:$N$62,E$3,案件一覧!$E$3:$E$62,"&lt;="&amp;$A81,案件一覧!$F$3:$F$62,"&gt;"&amp;$A81,案件一覧!$C$3:$C$62,"&lt;&gt;キャンセル")&gt;1," ◆重複!",""))</f>
        <v/>
      </c>
      <c r="F81" s="18" t="str">
        <f aca="false">IF(COUNTIFS(案件一覧!$N$3:$N$62,F$3,案件一覧!$E$3:$E$62,"&lt;="&amp;$A81,案件一覧!$F$3:$F$62,"&gt;"&amp;$A81,案件一覧!$C$3:$C$62,"&lt;&gt;キャンセル")=0,"",INDEX(案件一覧!$J$3:$J$62,MATCH(1,INDEX((案件一覧!$N$3:$N$62=F$3)*(案件一覧!$E$3:$E$62&lt;=$A81)*(案件一覧!$F$3:$F$62&gt;$A81)*(案件一覧!$C$3:$C$62&lt;&gt;"キャンセル"),0),0))&amp;IF(COUNTIFS(案件一覧!$N$3:$N$62,F$3,案件一覧!$E$3:$E$62,"&lt;="&amp;$A81,案件一覧!$F$3:$F$62,"&gt;"&amp;$A81,案件一覧!$C$3:$C$62,"&lt;&gt;キャンセル")&gt;1," ◆重複!",""))</f>
        <v/>
      </c>
      <c r="G81" s="18" t="str">
        <f aca="false">IF(COUNTIFS(案件一覧!$N$3:$N$62,G$3,案件一覧!$E$3:$E$62,"&lt;="&amp;$A81,案件一覧!$F$3:$F$62,"&gt;"&amp;$A81,案件一覧!$C$3:$C$62,"&lt;&gt;キャンセル")=0,"",INDEX(案件一覧!$J$3:$J$62,MATCH(1,INDEX((案件一覧!$N$3:$N$62=G$3)*(案件一覧!$E$3:$E$62&lt;=$A81)*(案件一覧!$F$3:$F$62&gt;$A81)*(案件一覧!$C$3:$C$62&lt;&gt;"キャンセル"),0),0))&amp;IF(COUNTIFS(案件一覧!$N$3:$N$62,G$3,案件一覧!$E$3:$E$62,"&lt;="&amp;$A81,案件一覧!$F$3:$F$62,"&gt;"&amp;$A81,案件一覧!$C$3:$C$62,"&lt;&gt;キャンセル")&gt;1," ◆重複!",""))</f>
        <v/>
      </c>
      <c r="H81" s="18" t="str">
        <f aca="false">IF(COUNTIFS(案件一覧!$N$3:$N$62,H$3,案件一覧!$E$3:$E$62,"&lt;="&amp;$A81,案件一覧!$F$3:$F$62,"&gt;"&amp;$A81,案件一覧!$C$3:$C$62,"&lt;&gt;キャンセル")=0,"",INDEX(案件一覧!$J$3:$J$62,MATCH(1,INDEX((案件一覧!$N$3:$N$62=H$3)*(案件一覧!$E$3:$E$62&lt;=$A81)*(案件一覧!$F$3:$F$62&gt;$A81)*(案件一覧!$C$3:$C$62&lt;&gt;"キャンセル"),0),0))&amp;IF(COUNTIFS(案件一覧!$N$3:$N$62,H$3,案件一覧!$E$3:$E$62,"&lt;="&amp;$A81,案件一覧!$F$3:$F$62,"&gt;"&amp;$A81,案件一覧!$C$3:$C$62,"&lt;&gt;キャンセル")&gt;1," ◆重複!",""))</f>
        <v/>
      </c>
    </row>
    <row r="82" customFormat="false" ht="15" hidden="false" customHeight="false" outlineLevel="0" collapsed="false">
      <c r="A82" s="16" t="n">
        <v>46282</v>
      </c>
      <c r="B82" s="17" t="s">
        <v>43</v>
      </c>
      <c r="C82" s="18" t="str">
        <f aca="false">IF(COUNTIFS(案件一覧!$N$3:$N$62,C$3,案件一覧!$E$3:$E$62,"&lt;="&amp;$A82,案件一覧!$F$3:$F$62,"&gt;"&amp;$A82,案件一覧!$C$3:$C$62,"&lt;&gt;キャンセル")=0,"",INDEX(案件一覧!$J$3:$J$62,MATCH(1,INDEX((案件一覧!$N$3:$N$62=C$3)*(案件一覧!$E$3:$E$62&lt;=$A82)*(案件一覧!$F$3:$F$62&gt;$A82)*(案件一覧!$C$3:$C$62&lt;&gt;"キャンセル"),0),0))&amp;IF(COUNTIFS(案件一覧!$N$3:$N$62,C$3,案件一覧!$E$3:$E$62,"&lt;="&amp;$A82,案件一覧!$F$3:$F$62,"&gt;"&amp;$A82,案件一覧!$C$3:$C$62,"&lt;&gt;キャンセル")&gt;1," ◆重複!",""))</f>
        <v/>
      </c>
      <c r="D82" s="18" t="str">
        <f aca="false">IF(COUNTIFS(案件一覧!$N$3:$N$62,D$3,案件一覧!$E$3:$E$62,"&lt;="&amp;$A82,案件一覧!$F$3:$F$62,"&gt;"&amp;$A82,案件一覧!$C$3:$C$62,"&lt;&gt;キャンセル")=0,"",INDEX(案件一覧!$J$3:$J$62,MATCH(1,INDEX((案件一覧!$N$3:$N$62=D$3)*(案件一覧!$E$3:$E$62&lt;=$A82)*(案件一覧!$F$3:$F$62&gt;$A82)*(案件一覧!$C$3:$C$62&lt;&gt;"キャンセル"),0),0))&amp;IF(COUNTIFS(案件一覧!$N$3:$N$62,D$3,案件一覧!$E$3:$E$62,"&lt;="&amp;$A82,案件一覧!$F$3:$F$62,"&gt;"&amp;$A82,案件一覧!$C$3:$C$62,"&lt;&gt;キャンセル")&gt;1," ◆重複!",""))</f>
        <v/>
      </c>
      <c r="E82" s="18" t="str">
        <f aca="false">IF(COUNTIFS(案件一覧!$N$3:$N$62,E$3,案件一覧!$E$3:$E$62,"&lt;="&amp;$A82,案件一覧!$F$3:$F$62,"&gt;"&amp;$A82,案件一覧!$C$3:$C$62,"&lt;&gt;キャンセル")=0,"",INDEX(案件一覧!$J$3:$J$62,MATCH(1,INDEX((案件一覧!$N$3:$N$62=E$3)*(案件一覧!$E$3:$E$62&lt;=$A82)*(案件一覧!$F$3:$F$62&gt;$A82)*(案件一覧!$C$3:$C$62&lt;&gt;"キャンセル"),0),0))&amp;IF(COUNTIFS(案件一覧!$N$3:$N$62,E$3,案件一覧!$E$3:$E$62,"&lt;="&amp;$A82,案件一覧!$F$3:$F$62,"&gt;"&amp;$A82,案件一覧!$C$3:$C$62,"&lt;&gt;キャンセル")&gt;1," ◆重複!",""))</f>
        <v/>
      </c>
      <c r="F82" s="18" t="str">
        <f aca="false">IF(COUNTIFS(案件一覧!$N$3:$N$62,F$3,案件一覧!$E$3:$E$62,"&lt;="&amp;$A82,案件一覧!$F$3:$F$62,"&gt;"&amp;$A82,案件一覧!$C$3:$C$62,"&lt;&gt;キャンセル")=0,"",INDEX(案件一覧!$J$3:$J$62,MATCH(1,INDEX((案件一覧!$N$3:$N$62=F$3)*(案件一覧!$E$3:$E$62&lt;=$A82)*(案件一覧!$F$3:$F$62&gt;$A82)*(案件一覧!$C$3:$C$62&lt;&gt;"キャンセル"),0),0))&amp;IF(COUNTIFS(案件一覧!$N$3:$N$62,F$3,案件一覧!$E$3:$E$62,"&lt;="&amp;$A82,案件一覧!$F$3:$F$62,"&gt;"&amp;$A82,案件一覧!$C$3:$C$62,"&lt;&gt;キャンセル")&gt;1," ◆重複!",""))</f>
        <v/>
      </c>
      <c r="G82" s="18" t="str">
        <f aca="false">IF(COUNTIFS(案件一覧!$N$3:$N$62,G$3,案件一覧!$E$3:$E$62,"&lt;="&amp;$A82,案件一覧!$F$3:$F$62,"&gt;"&amp;$A82,案件一覧!$C$3:$C$62,"&lt;&gt;キャンセル")=0,"",INDEX(案件一覧!$J$3:$J$62,MATCH(1,INDEX((案件一覧!$N$3:$N$62=G$3)*(案件一覧!$E$3:$E$62&lt;=$A82)*(案件一覧!$F$3:$F$62&gt;$A82)*(案件一覧!$C$3:$C$62&lt;&gt;"キャンセル"),0),0))&amp;IF(COUNTIFS(案件一覧!$N$3:$N$62,G$3,案件一覧!$E$3:$E$62,"&lt;="&amp;$A82,案件一覧!$F$3:$F$62,"&gt;"&amp;$A82,案件一覧!$C$3:$C$62,"&lt;&gt;キャンセル")&gt;1," ◆重複!",""))</f>
        <v/>
      </c>
      <c r="H82" s="18" t="str">
        <f aca="false">IF(COUNTIFS(案件一覧!$N$3:$N$62,H$3,案件一覧!$E$3:$E$62,"&lt;="&amp;$A82,案件一覧!$F$3:$F$62,"&gt;"&amp;$A82,案件一覧!$C$3:$C$62,"&lt;&gt;キャンセル")=0,"",INDEX(案件一覧!$J$3:$J$62,MATCH(1,INDEX((案件一覧!$N$3:$N$62=H$3)*(案件一覧!$E$3:$E$62&lt;=$A82)*(案件一覧!$F$3:$F$62&gt;$A82)*(案件一覧!$C$3:$C$62&lt;&gt;"キャンセル"),0),0))&amp;IF(COUNTIFS(案件一覧!$N$3:$N$62,H$3,案件一覧!$E$3:$E$62,"&lt;="&amp;$A82,案件一覧!$F$3:$F$62,"&gt;"&amp;$A82,案件一覧!$C$3:$C$62,"&lt;&gt;キャンセル")&gt;1," ◆重複!",""))</f>
        <v/>
      </c>
    </row>
    <row r="83" customFormat="false" ht="15" hidden="false" customHeight="false" outlineLevel="0" collapsed="false">
      <c r="A83" s="16" t="n">
        <v>46283</v>
      </c>
      <c r="B83" s="17" t="s">
        <v>44</v>
      </c>
      <c r="C83" s="18" t="str">
        <f aca="false">IF(COUNTIFS(案件一覧!$N$3:$N$62,C$3,案件一覧!$E$3:$E$62,"&lt;="&amp;$A83,案件一覧!$F$3:$F$62,"&gt;"&amp;$A83,案件一覧!$C$3:$C$62,"&lt;&gt;キャンセル")=0,"",INDEX(案件一覧!$J$3:$J$62,MATCH(1,INDEX((案件一覧!$N$3:$N$62=C$3)*(案件一覧!$E$3:$E$62&lt;=$A83)*(案件一覧!$F$3:$F$62&gt;$A83)*(案件一覧!$C$3:$C$62&lt;&gt;"キャンセル"),0),0))&amp;IF(COUNTIFS(案件一覧!$N$3:$N$62,C$3,案件一覧!$E$3:$E$62,"&lt;="&amp;$A83,案件一覧!$F$3:$F$62,"&gt;"&amp;$A83,案件一覧!$C$3:$C$62,"&lt;&gt;キャンセル")&gt;1," ◆重複!",""))</f>
        <v/>
      </c>
      <c r="D83" s="18" t="str">
        <f aca="false">IF(COUNTIFS(案件一覧!$N$3:$N$62,D$3,案件一覧!$E$3:$E$62,"&lt;="&amp;$A83,案件一覧!$F$3:$F$62,"&gt;"&amp;$A83,案件一覧!$C$3:$C$62,"&lt;&gt;キャンセル")=0,"",INDEX(案件一覧!$J$3:$J$62,MATCH(1,INDEX((案件一覧!$N$3:$N$62=D$3)*(案件一覧!$E$3:$E$62&lt;=$A83)*(案件一覧!$F$3:$F$62&gt;$A83)*(案件一覧!$C$3:$C$62&lt;&gt;"キャンセル"),0),0))&amp;IF(COUNTIFS(案件一覧!$N$3:$N$62,D$3,案件一覧!$E$3:$E$62,"&lt;="&amp;$A83,案件一覧!$F$3:$F$62,"&gt;"&amp;$A83,案件一覧!$C$3:$C$62,"&lt;&gt;キャンセル")&gt;1," ◆重複!",""))</f>
        <v/>
      </c>
      <c r="E83" s="18" t="str">
        <f aca="false">IF(COUNTIFS(案件一覧!$N$3:$N$62,E$3,案件一覧!$E$3:$E$62,"&lt;="&amp;$A83,案件一覧!$F$3:$F$62,"&gt;"&amp;$A83,案件一覧!$C$3:$C$62,"&lt;&gt;キャンセル")=0,"",INDEX(案件一覧!$J$3:$J$62,MATCH(1,INDEX((案件一覧!$N$3:$N$62=E$3)*(案件一覧!$E$3:$E$62&lt;=$A83)*(案件一覧!$F$3:$F$62&gt;$A83)*(案件一覧!$C$3:$C$62&lt;&gt;"キャンセル"),0),0))&amp;IF(COUNTIFS(案件一覧!$N$3:$N$62,E$3,案件一覧!$E$3:$E$62,"&lt;="&amp;$A83,案件一覧!$F$3:$F$62,"&gt;"&amp;$A83,案件一覧!$C$3:$C$62,"&lt;&gt;キャンセル")&gt;1," ◆重複!",""))</f>
        <v/>
      </c>
      <c r="F83" s="18" t="str">
        <f aca="false">IF(COUNTIFS(案件一覧!$N$3:$N$62,F$3,案件一覧!$E$3:$E$62,"&lt;="&amp;$A83,案件一覧!$F$3:$F$62,"&gt;"&amp;$A83,案件一覧!$C$3:$C$62,"&lt;&gt;キャンセル")=0,"",INDEX(案件一覧!$J$3:$J$62,MATCH(1,INDEX((案件一覧!$N$3:$N$62=F$3)*(案件一覧!$E$3:$E$62&lt;=$A83)*(案件一覧!$F$3:$F$62&gt;$A83)*(案件一覧!$C$3:$C$62&lt;&gt;"キャンセル"),0),0))&amp;IF(COUNTIFS(案件一覧!$N$3:$N$62,F$3,案件一覧!$E$3:$E$62,"&lt;="&amp;$A83,案件一覧!$F$3:$F$62,"&gt;"&amp;$A83,案件一覧!$C$3:$C$62,"&lt;&gt;キャンセル")&gt;1," ◆重複!",""))</f>
        <v/>
      </c>
      <c r="G83" s="18" t="str">
        <f aca="false">IF(COUNTIFS(案件一覧!$N$3:$N$62,G$3,案件一覧!$E$3:$E$62,"&lt;="&amp;$A83,案件一覧!$F$3:$F$62,"&gt;"&amp;$A83,案件一覧!$C$3:$C$62,"&lt;&gt;キャンセル")=0,"",INDEX(案件一覧!$J$3:$J$62,MATCH(1,INDEX((案件一覧!$N$3:$N$62=G$3)*(案件一覧!$E$3:$E$62&lt;=$A83)*(案件一覧!$F$3:$F$62&gt;$A83)*(案件一覧!$C$3:$C$62&lt;&gt;"キャンセル"),0),0))&amp;IF(COUNTIFS(案件一覧!$N$3:$N$62,G$3,案件一覧!$E$3:$E$62,"&lt;="&amp;$A83,案件一覧!$F$3:$F$62,"&gt;"&amp;$A83,案件一覧!$C$3:$C$62,"&lt;&gt;キャンセル")&gt;1," ◆重複!",""))</f>
        <v/>
      </c>
      <c r="H83" s="18" t="str">
        <f aca="false">IF(COUNTIFS(案件一覧!$N$3:$N$62,H$3,案件一覧!$E$3:$E$62,"&lt;="&amp;$A83,案件一覧!$F$3:$F$62,"&gt;"&amp;$A83,案件一覧!$C$3:$C$62,"&lt;&gt;キャンセル")=0,"",INDEX(案件一覧!$J$3:$J$62,MATCH(1,INDEX((案件一覧!$N$3:$N$62=H$3)*(案件一覧!$E$3:$E$62&lt;=$A83)*(案件一覧!$F$3:$F$62&gt;$A83)*(案件一覧!$C$3:$C$62&lt;&gt;"キャンセル"),0),0))&amp;IF(COUNTIFS(案件一覧!$N$3:$N$62,H$3,案件一覧!$E$3:$E$62,"&lt;="&amp;$A83,案件一覧!$F$3:$F$62,"&gt;"&amp;$A83,案件一覧!$C$3:$C$62,"&lt;&gt;キャンセル")&gt;1," ◆重複!",""))</f>
        <v/>
      </c>
    </row>
    <row r="84" customFormat="false" ht="15" hidden="false" customHeight="false" outlineLevel="0" collapsed="false">
      <c r="A84" s="19" t="n">
        <v>46284</v>
      </c>
      <c r="B84" s="20" t="s">
        <v>45</v>
      </c>
      <c r="C84" s="21" t="str">
        <f aca="false">IF(COUNTIFS(案件一覧!$N$3:$N$62,C$3,案件一覧!$E$3:$E$62,"&lt;="&amp;$A84,案件一覧!$F$3:$F$62,"&gt;"&amp;$A84,案件一覧!$C$3:$C$62,"&lt;&gt;キャンセル")=0,"",INDEX(案件一覧!$J$3:$J$62,MATCH(1,INDEX((案件一覧!$N$3:$N$62=C$3)*(案件一覧!$E$3:$E$62&lt;=$A84)*(案件一覧!$F$3:$F$62&gt;$A84)*(案件一覧!$C$3:$C$62&lt;&gt;"キャンセル"),0),0))&amp;IF(COUNTIFS(案件一覧!$N$3:$N$62,C$3,案件一覧!$E$3:$E$62,"&lt;="&amp;$A84,案件一覧!$F$3:$F$62,"&gt;"&amp;$A84,案件一覧!$C$3:$C$62,"&lt;&gt;キャンセル")&gt;1," ◆重複!",""))</f>
        <v/>
      </c>
      <c r="D84" s="21" t="str">
        <f aca="false">IF(COUNTIFS(案件一覧!$N$3:$N$62,D$3,案件一覧!$E$3:$E$62,"&lt;="&amp;$A84,案件一覧!$F$3:$F$62,"&gt;"&amp;$A84,案件一覧!$C$3:$C$62,"&lt;&gt;キャンセル")=0,"",INDEX(案件一覧!$J$3:$J$62,MATCH(1,INDEX((案件一覧!$N$3:$N$62=D$3)*(案件一覧!$E$3:$E$62&lt;=$A84)*(案件一覧!$F$3:$F$62&gt;$A84)*(案件一覧!$C$3:$C$62&lt;&gt;"キャンセル"),0),0))&amp;IF(COUNTIFS(案件一覧!$N$3:$N$62,D$3,案件一覧!$E$3:$E$62,"&lt;="&amp;$A84,案件一覧!$F$3:$F$62,"&gt;"&amp;$A84,案件一覧!$C$3:$C$62,"&lt;&gt;キャンセル")&gt;1," ◆重複!",""))</f>
        <v/>
      </c>
      <c r="E84" s="21" t="str">
        <f aca="false">IF(COUNTIFS(案件一覧!$N$3:$N$62,E$3,案件一覧!$E$3:$E$62,"&lt;="&amp;$A84,案件一覧!$F$3:$F$62,"&gt;"&amp;$A84,案件一覧!$C$3:$C$62,"&lt;&gt;キャンセル")=0,"",INDEX(案件一覧!$J$3:$J$62,MATCH(1,INDEX((案件一覧!$N$3:$N$62=E$3)*(案件一覧!$E$3:$E$62&lt;=$A84)*(案件一覧!$F$3:$F$62&gt;$A84)*(案件一覧!$C$3:$C$62&lt;&gt;"キャンセル"),0),0))&amp;IF(COUNTIFS(案件一覧!$N$3:$N$62,E$3,案件一覧!$E$3:$E$62,"&lt;="&amp;$A84,案件一覧!$F$3:$F$62,"&gt;"&amp;$A84,案件一覧!$C$3:$C$62,"&lt;&gt;キャンセル")&gt;1," ◆重複!",""))</f>
        <v/>
      </c>
      <c r="F84" s="21" t="str">
        <f aca="false">IF(COUNTIFS(案件一覧!$N$3:$N$62,F$3,案件一覧!$E$3:$E$62,"&lt;="&amp;$A84,案件一覧!$F$3:$F$62,"&gt;"&amp;$A84,案件一覧!$C$3:$C$62,"&lt;&gt;キャンセル")=0,"",INDEX(案件一覧!$J$3:$J$62,MATCH(1,INDEX((案件一覧!$N$3:$N$62=F$3)*(案件一覧!$E$3:$E$62&lt;=$A84)*(案件一覧!$F$3:$F$62&gt;$A84)*(案件一覧!$C$3:$C$62&lt;&gt;"キャンセル"),0),0))&amp;IF(COUNTIFS(案件一覧!$N$3:$N$62,F$3,案件一覧!$E$3:$E$62,"&lt;="&amp;$A84,案件一覧!$F$3:$F$62,"&gt;"&amp;$A84,案件一覧!$C$3:$C$62,"&lt;&gt;キャンセル")&gt;1," ◆重複!",""))</f>
        <v/>
      </c>
      <c r="G84" s="21" t="str">
        <f aca="false">IF(COUNTIFS(案件一覧!$N$3:$N$62,G$3,案件一覧!$E$3:$E$62,"&lt;="&amp;$A84,案件一覧!$F$3:$F$62,"&gt;"&amp;$A84,案件一覧!$C$3:$C$62,"&lt;&gt;キャンセル")=0,"",INDEX(案件一覧!$J$3:$J$62,MATCH(1,INDEX((案件一覧!$N$3:$N$62=G$3)*(案件一覧!$E$3:$E$62&lt;=$A84)*(案件一覧!$F$3:$F$62&gt;$A84)*(案件一覧!$C$3:$C$62&lt;&gt;"キャンセル"),0),0))&amp;IF(COUNTIFS(案件一覧!$N$3:$N$62,G$3,案件一覧!$E$3:$E$62,"&lt;="&amp;$A84,案件一覧!$F$3:$F$62,"&gt;"&amp;$A84,案件一覧!$C$3:$C$62,"&lt;&gt;キャンセル")&gt;1," ◆重複!",""))</f>
        <v/>
      </c>
      <c r="H84" s="21" t="str">
        <f aca="false">IF(COUNTIFS(案件一覧!$N$3:$N$62,H$3,案件一覧!$E$3:$E$62,"&lt;="&amp;$A84,案件一覧!$F$3:$F$62,"&gt;"&amp;$A84,案件一覧!$C$3:$C$62,"&lt;&gt;キャンセル")=0,"",INDEX(案件一覧!$J$3:$J$62,MATCH(1,INDEX((案件一覧!$N$3:$N$62=H$3)*(案件一覧!$E$3:$E$62&lt;=$A84)*(案件一覧!$F$3:$F$62&gt;$A84)*(案件一覧!$C$3:$C$62&lt;&gt;"キャンセル"),0),0))&amp;IF(COUNTIFS(案件一覧!$N$3:$N$62,H$3,案件一覧!$E$3:$E$62,"&lt;="&amp;$A84,案件一覧!$F$3:$F$62,"&gt;"&amp;$A84,案件一覧!$C$3:$C$62,"&lt;&gt;キャンセル")&gt;1," ◆重複!",""))</f>
        <v/>
      </c>
    </row>
    <row r="85" customFormat="false" ht="15" hidden="false" customHeight="false" outlineLevel="0" collapsed="false">
      <c r="A85" s="22" t="n">
        <v>46285</v>
      </c>
      <c r="B85" s="23" t="s">
        <v>46</v>
      </c>
      <c r="C85" s="24" t="str">
        <f aca="false">IF(COUNTIFS(案件一覧!$N$3:$N$62,C$3,案件一覧!$E$3:$E$62,"&lt;="&amp;$A85,案件一覧!$F$3:$F$62,"&gt;"&amp;$A85,案件一覧!$C$3:$C$62,"&lt;&gt;キャンセル")=0,"",INDEX(案件一覧!$J$3:$J$62,MATCH(1,INDEX((案件一覧!$N$3:$N$62=C$3)*(案件一覧!$E$3:$E$62&lt;=$A85)*(案件一覧!$F$3:$F$62&gt;$A85)*(案件一覧!$C$3:$C$62&lt;&gt;"キャンセル"),0),0))&amp;IF(COUNTIFS(案件一覧!$N$3:$N$62,C$3,案件一覧!$E$3:$E$62,"&lt;="&amp;$A85,案件一覧!$F$3:$F$62,"&gt;"&amp;$A85,案件一覧!$C$3:$C$62,"&lt;&gt;キャンセル")&gt;1," ◆重複!",""))</f>
        <v/>
      </c>
      <c r="D85" s="24" t="str">
        <f aca="false">IF(COUNTIFS(案件一覧!$N$3:$N$62,D$3,案件一覧!$E$3:$E$62,"&lt;="&amp;$A85,案件一覧!$F$3:$F$62,"&gt;"&amp;$A85,案件一覧!$C$3:$C$62,"&lt;&gt;キャンセル")=0,"",INDEX(案件一覧!$J$3:$J$62,MATCH(1,INDEX((案件一覧!$N$3:$N$62=D$3)*(案件一覧!$E$3:$E$62&lt;=$A85)*(案件一覧!$F$3:$F$62&gt;$A85)*(案件一覧!$C$3:$C$62&lt;&gt;"キャンセル"),0),0))&amp;IF(COUNTIFS(案件一覧!$N$3:$N$62,D$3,案件一覧!$E$3:$E$62,"&lt;="&amp;$A85,案件一覧!$F$3:$F$62,"&gt;"&amp;$A85,案件一覧!$C$3:$C$62,"&lt;&gt;キャンセル")&gt;1," ◆重複!",""))</f>
        <v/>
      </c>
      <c r="E85" s="24" t="str">
        <f aca="false">IF(COUNTIFS(案件一覧!$N$3:$N$62,E$3,案件一覧!$E$3:$E$62,"&lt;="&amp;$A85,案件一覧!$F$3:$F$62,"&gt;"&amp;$A85,案件一覧!$C$3:$C$62,"&lt;&gt;キャンセル")=0,"",INDEX(案件一覧!$J$3:$J$62,MATCH(1,INDEX((案件一覧!$N$3:$N$62=E$3)*(案件一覧!$E$3:$E$62&lt;=$A85)*(案件一覧!$F$3:$F$62&gt;$A85)*(案件一覧!$C$3:$C$62&lt;&gt;"キャンセル"),0),0))&amp;IF(COUNTIFS(案件一覧!$N$3:$N$62,E$3,案件一覧!$E$3:$E$62,"&lt;="&amp;$A85,案件一覧!$F$3:$F$62,"&gt;"&amp;$A85,案件一覧!$C$3:$C$62,"&lt;&gt;キャンセル")&gt;1," ◆重複!",""))</f>
        <v/>
      </c>
      <c r="F85" s="24" t="str">
        <f aca="false">IF(COUNTIFS(案件一覧!$N$3:$N$62,F$3,案件一覧!$E$3:$E$62,"&lt;="&amp;$A85,案件一覧!$F$3:$F$62,"&gt;"&amp;$A85,案件一覧!$C$3:$C$62,"&lt;&gt;キャンセル")=0,"",INDEX(案件一覧!$J$3:$J$62,MATCH(1,INDEX((案件一覧!$N$3:$N$62=F$3)*(案件一覧!$E$3:$E$62&lt;=$A85)*(案件一覧!$F$3:$F$62&gt;$A85)*(案件一覧!$C$3:$C$62&lt;&gt;"キャンセル"),0),0))&amp;IF(COUNTIFS(案件一覧!$N$3:$N$62,F$3,案件一覧!$E$3:$E$62,"&lt;="&amp;$A85,案件一覧!$F$3:$F$62,"&gt;"&amp;$A85,案件一覧!$C$3:$C$62,"&lt;&gt;キャンセル")&gt;1," ◆重複!",""))</f>
        <v/>
      </c>
      <c r="G85" s="24" t="str">
        <f aca="false">IF(COUNTIFS(案件一覧!$N$3:$N$62,G$3,案件一覧!$E$3:$E$62,"&lt;="&amp;$A85,案件一覧!$F$3:$F$62,"&gt;"&amp;$A85,案件一覧!$C$3:$C$62,"&lt;&gt;キャンセル")=0,"",INDEX(案件一覧!$J$3:$J$62,MATCH(1,INDEX((案件一覧!$N$3:$N$62=G$3)*(案件一覧!$E$3:$E$62&lt;=$A85)*(案件一覧!$F$3:$F$62&gt;$A85)*(案件一覧!$C$3:$C$62&lt;&gt;"キャンセル"),0),0))&amp;IF(COUNTIFS(案件一覧!$N$3:$N$62,G$3,案件一覧!$E$3:$E$62,"&lt;="&amp;$A85,案件一覧!$F$3:$F$62,"&gt;"&amp;$A85,案件一覧!$C$3:$C$62,"&lt;&gt;キャンセル")&gt;1," ◆重複!",""))</f>
        <v/>
      </c>
      <c r="H85" s="24" t="str">
        <f aca="false">IF(COUNTIFS(案件一覧!$N$3:$N$62,H$3,案件一覧!$E$3:$E$62,"&lt;="&amp;$A85,案件一覧!$F$3:$F$62,"&gt;"&amp;$A85,案件一覧!$C$3:$C$62,"&lt;&gt;キャンセル")=0,"",INDEX(案件一覧!$J$3:$J$62,MATCH(1,INDEX((案件一覧!$N$3:$N$62=H$3)*(案件一覧!$E$3:$E$62&lt;=$A85)*(案件一覧!$F$3:$F$62&gt;$A85)*(案件一覧!$C$3:$C$62&lt;&gt;"キャンセル"),0),0))&amp;IF(COUNTIFS(案件一覧!$N$3:$N$62,H$3,案件一覧!$E$3:$E$62,"&lt;="&amp;$A85,案件一覧!$F$3:$F$62,"&gt;"&amp;$A85,案件一覧!$C$3:$C$62,"&lt;&gt;キャンセル")&gt;1," ◆重複!",""))</f>
        <v/>
      </c>
    </row>
    <row r="86" customFormat="false" ht="15" hidden="false" customHeight="false" outlineLevel="0" collapsed="false">
      <c r="A86" s="16" t="n">
        <v>46286</v>
      </c>
      <c r="B86" s="17" t="s">
        <v>47</v>
      </c>
      <c r="C86" s="18" t="str">
        <f aca="false">IF(COUNTIFS(案件一覧!$N$3:$N$62,C$3,案件一覧!$E$3:$E$62,"&lt;="&amp;$A86,案件一覧!$F$3:$F$62,"&gt;"&amp;$A86,案件一覧!$C$3:$C$62,"&lt;&gt;キャンセル")=0,"",INDEX(案件一覧!$J$3:$J$62,MATCH(1,INDEX((案件一覧!$N$3:$N$62=C$3)*(案件一覧!$E$3:$E$62&lt;=$A86)*(案件一覧!$F$3:$F$62&gt;$A86)*(案件一覧!$C$3:$C$62&lt;&gt;"キャンセル"),0),0))&amp;IF(COUNTIFS(案件一覧!$N$3:$N$62,C$3,案件一覧!$E$3:$E$62,"&lt;="&amp;$A86,案件一覧!$F$3:$F$62,"&gt;"&amp;$A86,案件一覧!$C$3:$C$62,"&lt;&gt;キャンセル")&gt;1," ◆重複!",""))</f>
        <v/>
      </c>
      <c r="D86" s="18" t="str">
        <f aca="false">IF(COUNTIFS(案件一覧!$N$3:$N$62,D$3,案件一覧!$E$3:$E$62,"&lt;="&amp;$A86,案件一覧!$F$3:$F$62,"&gt;"&amp;$A86,案件一覧!$C$3:$C$62,"&lt;&gt;キャンセル")=0,"",INDEX(案件一覧!$J$3:$J$62,MATCH(1,INDEX((案件一覧!$N$3:$N$62=D$3)*(案件一覧!$E$3:$E$62&lt;=$A86)*(案件一覧!$F$3:$F$62&gt;$A86)*(案件一覧!$C$3:$C$62&lt;&gt;"キャンセル"),0),0))&amp;IF(COUNTIFS(案件一覧!$N$3:$N$62,D$3,案件一覧!$E$3:$E$62,"&lt;="&amp;$A86,案件一覧!$F$3:$F$62,"&gt;"&amp;$A86,案件一覧!$C$3:$C$62,"&lt;&gt;キャンセル")&gt;1," ◆重複!",""))</f>
        <v/>
      </c>
      <c r="E86" s="18" t="str">
        <f aca="false">IF(COUNTIFS(案件一覧!$N$3:$N$62,E$3,案件一覧!$E$3:$E$62,"&lt;="&amp;$A86,案件一覧!$F$3:$F$62,"&gt;"&amp;$A86,案件一覧!$C$3:$C$62,"&lt;&gt;キャンセル")=0,"",INDEX(案件一覧!$J$3:$J$62,MATCH(1,INDEX((案件一覧!$N$3:$N$62=E$3)*(案件一覧!$E$3:$E$62&lt;=$A86)*(案件一覧!$F$3:$F$62&gt;$A86)*(案件一覧!$C$3:$C$62&lt;&gt;"キャンセル"),0),0))&amp;IF(COUNTIFS(案件一覧!$N$3:$N$62,E$3,案件一覧!$E$3:$E$62,"&lt;="&amp;$A86,案件一覧!$F$3:$F$62,"&gt;"&amp;$A86,案件一覧!$C$3:$C$62,"&lt;&gt;キャンセル")&gt;1," ◆重複!",""))</f>
        <v/>
      </c>
      <c r="F86" s="18" t="str">
        <f aca="false">IF(COUNTIFS(案件一覧!$N$3:$N$62,F$3,案件一覧!$E$3:$E$62,"&lt;="&amp;$A86,案件一覧!$F$3:$F$62,"&gt;"&amp;$A86,案件一覧!$C$3:$C$62,"&lt;&gt;キャンセル")=0,"",INDEX(案件一覧!$J$3:$J$62,MATCH(1,INDEX((案件一覧!$N$3:$N$62=F$3)*(案件一覧!$E$3:$E$62&lt;=$A86)*(案件一覧!$F$3:$F$62&gt;$A86)*(案件一覧!$C$3:$C$62&lt;&gt;"キャンセル"),0),0))&amp;IF(COUNTIFS(案件一覧!$N$3:$N$62,F$3,案件一覧!$E$3:$E$62,"&lt;="&amp;$A86,案件一覧!$F$3:$F$62,"&gt;"&amp;$A86,案件一覧!$C$3:$C$62,"&lt;&gt;キャンセル")&gt;1," ◆重複!",""))</f>
        <v/>
      </c>
      <c r="G86" s="18" t="str">
        <f aca="false">IF(COUNTIFS(案件一覧!$N$3:$N$62,G$3,案件一覧!$E$3:$E$62,"&lt;="&amp;$A86,案件一覧!$F$3:$F$62,"&gt;"&amp;$A86,案件一覧!$C$3:$C$62,"&lt;&gt;キャンセル")=0,"",INDEX(案件一覧!$J$3:$J$62,MATCH(1,INDEX((案件一覧!$N$3:$N$62=G$3)*(案件一覧!$E$3:$E$62&lt;=$A86)*(案件一覧!$F$3:$F$62&gt;$A86)*(案件一覧!$C$3:$C$62&lt;&gt;"キャンセル"),0),0))&amp;IF(COUNTIFS(案件一覧!$N$3:$N$62,G$3,案件一覧!$E$3:$E$62,"&lt;="&amp;$A86,案件一覧!$F$3:$F$62,"&gt;"&amp;$A86,案件一覧!$C$3:$C$62,"&lt;&gt;キャンセル")&gt;1," ◆重複!",""))</f>
        <v/>
      </c>
      <c r="H86" s="18" t="str">
        <f aca="false">IF(COUNTIFS(案件一覧!$N$3:$N$62,H$3,案件一覧!$E$3:$E$62,"&lt;="&amp;$A86,案件一覧!$F$3:$F$62,"&gt;"&amp;$A86,案件一覧!$C$3:$C$62,"&lt;&gt;キャンセル")=0,"",INDEX(案件一覧!$J$3:$J$62,MATCH(1,INDEX((案件一覧!$N$3:$N$62=H$3)*(案件一覧!$E$3:$E$62&lt;=$A86)*(案件一覧!$F$3:$F$62&gt;$A86)*(案件一覧!$C$3:$C$62&lt;&gt;"キャンセル"),0),0))&amp;IF(COUNTIFS(案件一覧!$N$3:$N$62,H$3,案件一覧!$E$3:$E$62,"&lt;="&amp;$A86,案件一覧!$F$3:$F$62,"&gt;"&amp;$A86,案件一覧!$C$3:$C$62,"&lt;&gt;キャンセル")&gt;1," ◆重複!",""))</f>
        <v/>
      </c>
    </row>
    <row r="87" customFormat="false" ht="15" hidden="false" customHeight="false" outlineLevel="0" collapsed="false">
      <c r="A87" s="16" t="n">
        <v>46287</v>
      </c>
      <c r="B87" s="17" t="s">
        <v>48</v>
      </c>
      <c r="C87" s="18" t="str">
        <f aca="false">IF(COUNTIFS(案件一覧!$N$3:$N$62,C$3,案件一覧!$E$3:$E$62,"&lt;="&amp;$A87,案件一覧!$F$3:$F$62,"&gt;"&amp;$A87,案件一覧!$C$3:$C$62,"&lt;&gt;キャンセル")=0,"",INDEX(案件一覧!$J$3:$J$62,MATCH(1,INDEX((案件一覧!$N$3:$N$62=C$3)*(案件一覧!$E$3:$E$62&lt;=$A87)*(案件一覧!$F$3:$F$62&gt;$A87)*(案件一覧!$C$3:$C$62&lt;&gt;"キャンセル"),0),0))&amp;IF(COUNTIFS(案件一覧!$N$3:$N$62,C$3,案件一覧!$E$3:$E$62,"&lt;="&amp;$A87,案件一覧!$F$3:$F$62,"&gt;"&amp;$A87,案件一覧!$C$3:$C$62,"&lt;&gt;キャンセル")&gt;1," ◆重複!",""))</f>
        <v/>
      </c>
      <c r="D87" s="18" t="str">
        <f aca="false">IF(COUNTIFS(案件一覧!$N$3:$N$62,D$3,案件一覧!$E$3:$E$62,"&lt;="&amp;$A87,案件一覧!$F$3:$F$62,"&gt;"&amp;$A87,案件一覧!$C$3:$C$62,"&lt;&gt;キャンセル")=0,"",INDEX(案件一覧!$J$3:$J$62,MATCH(1,INDEX((案件一覧!$N$3:$N$62=D$3)*(案件一覧!$E$3:$E$62&lt;=$A87)*(案件一覧!$F$3:$F$62&gt;$A87)*(案件一覧!$C$3:$C$62&lt;&gt;"キャンセル"),0),0))&amp;IF(COUNTIFS(案件一覧!$N$3:$N$62,D$3,案件一覧!$E$3:$E$62,"&lt;="&amp;$A87,案件一覧!$F$3:$F$62,"&gt;"&amp;$A87,案件一覧!$C$3:$C$62,"&lt;&gt;キャンセル")&gt;1," ◆重複!",""))</f>
        <v/>
      </c>
      <c r="E87" s="18" t="str">
        <f aca="false">IF(COUNTIFS(案件一覧!$N$3:$N$62,E$3,案件一覧!$E$3:$E$62,"&lt;="&amp;$A87,案件一覧!$F$3:$F$62,"&gt;"&amp;$A87,案件一覧!$C$3:$C$62,"&lt;&gt;キャンセル")=0,"",INDEX(案件一覧!$J$3:$J$62,MATCH(1,INDEX((案件一覧!$N$3:$N$62=E$3)*(案件一覧!$E$3:$E$62&lt;=$A87)*(案件一覧!$F$3:$F$62&gt;$A87)*(案件一覧!$C$3:$C$62&lt;&gt;"キャンセル"),0),0))&amp;IF(COUNTIFS(案件一覧!$N$3:$N$62,E$3,案件一覧!$E$3:$E$62,"&lt;="&amp;$A87,案件一覧!$F$3:$F$62,"&gt;"&amp;$A87,案件一覧!$C$3:$C$62,"&lt;&gt;キャンセル")&gt;1," ◆重複!",""))</f>
        <v/>
      </c>
      <c r="F87" s="18" t="str">
        <f aca="false">IF(COUNTIFS(案件一覧!$N$3:$N$62,F$3,案件一覧!$E$3:$E$62,"&lt;="&amp;$A87,案件一覧!$F$3:$F$62,"&gt;"&amp;$A87,案件一覧!$C$3:$C$62,"&lt;&gt;キャンセル")=0,"",INDEX(案件一覧!$J$3:$J$62,MATCH(1,INDEX((案件一覧!$N$3:$N$62=F$3)*(案件一覧!$E$3:$E$62&lt;=$A87)*(案件一覧!$F$3:$F$62&gt;$A87)*(案件一覧!$C$3:$C$62&lt;&gt;"キャンセル"),0),0))&amp;IF(COUNTIFS(案件一覧!$N$3:$N$62,F$3,案件一覧!$E$3:$E$62,"&lt;="&amp;$A87,案件一覧!$F$3:$F$62,"&gt;"&amp;$A87,案件一覧!$C$3:$C$62,"&lt;&gt;キャンセル")&gt;1," ◆重複!",""))</f>
        <v/>
      </c>
      <c r="G87" s="18" t="str">
        <f aca="false">IF(COUNTIFS(案件一覧!$N$3:$N$62,G$3,案件一覧!$E$3:$E$62,"&lt;="&amp;$A87,案件一覧!$F$3:$F$62,"&gt;"&amp;$A87,案件一覧!$C$3:$C$62,"&lt;&gt;キャンセル")=0,"",INDEX(案件一覧!$J$3:$J$62,MATCH(1,INDEX((案件一覧!$N$3:$N$62=G$3)*(案件一覧!$E$3:$E$62&lt;=$A87)*(案件一覧!$F$3:$F$62&gt;$A87)*(案件一覧!$C$3:$C$62&lt;&gt;"キャンセル"),0),0))&amp;IF(COUNTIFS(案件一覧!$N$3:$N$62,G$3,案件一覧!$E$3:$E$62,"&lt;="&amp;$A87,案件一覧!$F$3:$F$62,"&gt;"&amp;$A87,案件一覧!$C$3:$C$62,"&lt;&gt;キャンセル")&gt;1," ◆重複!",""))</f>
        <v/>
      </c>
      <c r="H87" s="18" t="str">
        <f aca="false">IF(COUNTIFS(案件一覧!$N$3:$N$62,H$3,案件一覧!$E$3:$E$62,"&lt;="&amp;$A87,案件一覧!$F$3:$F$62,"&gt;"&amp;$A87,案件一覧!$C$3:$C$62,"&lt;&gt;キャンセル")=0,"",INDEX(案件一覧!$J$3:$J$62,MATCH(1,INDEX((案件一覧!$N$3:$N$62=H$3)*(案件一覧!$E$3:$E$62&lt;=$A87)*(案件一覧!$F$3:$F$62&gt;$A87)*(案件一覧!$C$3:$C$62&lt;&gt;"キャンセル"),0),0))&amp;IF(COUNTIFS(案件一覧!$N$3:$N$62,H$3,案件一覧!$E$3:$E$62,"&lt;="&amp;$A87,案件一覧!$F$3:$F$62,"&gt;"&amp;$A87,案件一覧!$C$3:$C$62,"&lt;&gt;キャンセル")&gt;1," ◆重複!",""))</f>
        <v/>
      </c>
    </row>
    <row r="88" customFormat="false" ht="15" hidden="false" customHeight="false" outlineLevel="0" collapsed="false">
      <c r="A88" s="16" t="n">
        <v>46288</v>
      </c>
      <c r="B88" s="17" t="s">
        <v>42</v>
      </c>
      <c r="C88" s="18" t="str">
        <f aca="false">IF(COUNTIFS(案件一覧!$N$3:$N$62,C$3,案件一覧!$E$3:$E$62,"&lt;="&amp;$A88,案件一覧!$F$3:$F$62,"&gt;"&amp;$A88,案件一覧!$C$3:$C$62,"&lt;&gt;キャンセル")=0,"",INDEX(案件一覧!$J$3:$J$62,MATCH(1,INDEX((案件一覧!$N$3:$N$62=C$3)*(案件一覧!$E$3:$E$62&lt;=$A88)*(案件一覧!$F$3:$F$62&gt;$A88)*(案件一覧!$C$3:$C$62&lt;&gt;"キャンセル"),0),0))&amp;IF(COUNTIFS(案件一覧!$N$3:$N$62,C$3,案件一覧!$E$3:$E$62,"&lt;="&amp;$A88,案件一覧!$F$3:$F$62,"&gt;"&amp;$A88,案件一覧!$C$3:$C$62,"&lt;&gt;キャンセル")&gt;1," ◆重複!",""))</f>
        <v/>
      </c>
      <c r="D88" s="18" t="str">
        <f aca="false">IF(COUNTIFS(案件一覧!$N$3:$N$62,D$3,案件一覧!$E$3:$E$62,"&lt;="&amp;$A88,案件一覧!$F$3:$F$62,"&gt;"&amp;$A88,案件一覧!$C$3:$C$62,"&lt;&gt;キャンセル")=0,"",INDEX(案件一覧!$J$3:$J$62,MATCH(1,INDEX((案件一覧!$N$3:$N$62=D$3)*(案件一覧!$E$3:$E$62&lt;=$A88)*(案件一覧!$F$3:$F$62&gt;$A88)*(案件一覧!$C$3:$C$62&lt;&gt;"キャンセル"),0),0))&amp;IF(COUNTIFS(案件一覧!$N$3:$N$62,D$3,案件一覧!$E$3:$E$62,"&lt;="&amp;$A88,案件一覧!$F$3:$F$62,"&gt;"&amp;$A88,案件一覧!$C$3:$C$62,"&lt;&gt;キャンセル")&gt;1," ◆重複!",""))</f>
        <v/>
      </c>
      <c r="E88" s="18" t="str">
        <f aca="false">IF(COUNTIFS(案件一覧!$N$3:$N$62,E$3,案件一覧!$E$3:$E$62,"&lt;="&amp;$A88,案件一覧!$F$3:$F$62,"&gt;"&amp;$A88,案件一覧!$C$3:$C$62,"&lt;&gt;キャンセル")=0,"",INDEX(案件一覧!$J$3:$J$62,MATCH(1,INDEX((案件一覧!$N$3:$N$62=E$3)*(案件一覧!$E$3:$E$62&lt;=$A88)*(案件一覧!$F$3:$F$62&gt;$A88)*(案件一覧!$C$3:$C$62&lt;&gt;"キャンセル"),0),0))&amp;IF(COUNTIFS(案件一覧!$N$3:$N$62,E$3,案件一覧!$E$3:$E$62,"&lt;="&amp;$A88,案件一覧!$F$3:$F$62,"&gt;"&amp;$A88,案件一覧!$C$3:$C$62,"&lt;&gt;キャンセル")&gt;1," ◆重複!",""))</f>
        <v/>
      </c>
      <c r="F88" s="18" t="str">
        <f aca="false">IF(COUNTIFS(案件一覧!$N$3:$N$62,F$3,案件一覧!$E$3:$E$62,"&lt;="&amp;$A88,案件一覧!$F$3:$F$62,"&gt;"&amp;$A88,案件一覧!$C$3:$C$62,"&lt;&gt;キャンセル")=0,"",INDEX(案件一覧!$J$3:$J$62,MATCH(1,INDEX((案件一覧!$N$3:$N$62=F$3)*(案件一覧!$E$3:$E$62&lt;=$A88)*(案件一覧!$F$3:$F$62&gt;$A88)*(案件一覧!$C$3:$C$62&lt;&gt;"キャンセル"),0),0))&amp;IF(COUNTIFS(案件一覧!$N$3:$N$62,F$3,案件一覧!$E$3:$E$62,"&lt;="&amp;$A88,案件一覧!$F$3:$F$62,"&gt;"&amp;$A88,案件一覧!$C$3:$C$62,"&lt;&gt;キャンセル")&gt;1," ◆重複!",""))</f>
        <v/>
      </c>
      <c r="G88" s="18" t="str">
        <f aca="false">IF(COUNTIFS(案件一覧!$N$3:$N$62,G$3,案件一覧!$E$3:$E$62,"&lt;="&amp;$A88,案件一覧!$F$3:$F$62,"&gt;"&amp;$A88,案件一覧!$C$3:$C$62,"&lt;&gt;キャンセル")=0,"",INDEX(案件一覧!$J$3:$J$62,MATCH(1,INDEX((案件一覧!$N$3:$N$62=G$3)*(案件一覧!$E$3:$E$62&lt;=$A88)*(案件一覧!$F$3:$F$62&gt;$A88)*(案件一覧!$C$3:$C$62&lt;&gt;"キャンセル"),0),0))&amp;IF(COUNTIFS(案件一覧!$N$3:$N$62,G$3,案件一覧!$E$3:$E$62,"&lt;="&amp;$A88,案件一覧!$F$3:$F$62,"&gt;"&amp;$A88,案件一覧!$C$3:$C$62,"&lt;&gt;キャンセル")&gt;1," ◆重複!",""))</f>
        <v/>
      </c>
      <c r="H88" s="18" t="str">
        <f aca="false">IF(COUNTIFS(案件一覧!$N$3:$N$62,H$3,案件一覧!$E$3:$E$62,"&lt;="&amp;$A88,案件一覧!$F$3:$F$62,"&gt;"&amp;$A88,案件一覧!$C$3:$C$62,"&lt;&gt;キャンセル")=0,"",INDEX(案件一覧!$J$3:$J$62,MATCH(1,INDEX((案件一覧!$N$3:$N$62=H$3)*(案件一覧!$E$3:$E$62&lt;=$A88)*(案件一覧!$F$3:$F$62&gt;$A88)*(案件一覧!$C$3:$C$62&lt;&gt;"キャンセル"),0),0))&amp;IF(COUNTIFS(案件一覧!$N$3:$N$62,H$3,案件一覧!$E$3:$E$62,"&lt;="&amp;$A88,案件一覧!$F$3:$F$62,"&gt;"&amp;$A88,案件一覧!$C$3:$C$62,"&lt;&gt;キャンセル")&gt;1," ◆重複!",""))</f>
        <v/>
      </c>
    </row>
    <row r="89" customFormat="false" ht="15" hidden="false" customHeight="false" outlineLevel="0" collapsed="false">
      <c r="A89" s="16" t="n">
        <v>46289</v>
      </c>
      <c r="B89" s="17" t="s">
        <v>43</v>
      </c>
      <c r="C89" s="18" t="str">
        <f aca="false">IF(COUNTIFS(案件一覧!$N$3:$N$62,C$3,案件一覧!$E$3:$E$62,"&lt;="&amp;$A89,案件一覧!$F$3:$F$62,"&gt;"&amp;$A89,案件一覧!$C$3:$C$62,"&lt;&gt;キャンセル")=0,"",INDEX(案件一覧!$J$3:$J$62,MATCH(1,INDEX((案件一覧!$N$3:$N$62=C$3)*(案件一覧!$E$3:$E$62&lt;=$A89)*(案件一覧!$F$3:$F$62&gt;$A89)*(案件一覧!$C$3:$C$62&lt;&gt;"キャンセル"),0),0))&amp;IF(COUNTIFS(案件一覧!$N$3:$N$62,C$3,案件一覧!$E$3:$E$62,"&lt;="&amp;$A89,案件一覧!$F$3:$F$62,"&gt;"&amp;$A89,案件一覧!$C$3:$C$62,"&lt;&gt;キャンセル")&gt;1," ◆重複!",""))</f>
        <v/>
      </c>
      <c r="D89" s="18" t="str">
        <f aca="false">IF(COUNTIFS(案件一覧!$N$3:$N$62,D$3,案件一覧!$E$3:$E$62,"&lt;="&amp;$A89,案件一覧!$F$3:$F$62,"&gt;"&amp;$A89,案件一覧!$C$3:$C$62,"&lt;&gt;キャンセル")=0,"",INDEX(案件一覧!$J$3:$J$62,MATCH(1,INDEX((案件一覧!$N$3:$N$62=D$3)*(案件一覧!$E$3:$E$62&lt;=$A89)*(案件一覧!$F$3:$F$62&gt;$A89)*(案件一覧!$C$3:$C$62&lt;&gt;"キャンセル"),0),0))&amp;IF(COUNTIFS(案件一覧!$N$3:$N$62,D$3,案件一覧!$E$3:$E$62,"&lt;="&amp;$A89,案件一覧!$F$3:$F$62,"&gt;"&amp;$A89,案件一覧!$C$3:$C$62,"&lt;&gt;キャンセル")&gt;1," ◆重複!",""))</f>
        <v/>
      </c>
      <c r="E89" s="18" t="str">
        <f aca="false">IF(COUNTIFS(案件一覧!$N$3:$N$62,E$3,案件一覧!$E$3:$E$62,"&lt;="&amp;$A89,案件一覧!$F$3:$F$62,"&gt;"&amp;$A89,案件一覧!$C$3:$C$62,"&lt;&gt;キャンセル")=0,"",INDEX(案件一覧!$J$3:$J$62,MATCH(1,INDEX((案件一覧!$N$3:$N$62=E$3)*(案件一覧!$E$3:$E$62&lt;=$A89)*(案件一覧!$F$3:$F$62&gt;$A89)*(案件一覧!$C$3:$C$62&lt;&gt;"キャンセル"),0),0))&amp;IF(COUNTIFS(案件一覧!$N$3:$N$62,E$3,案件一覧!$E$3:$E$62,"&lt;="&amp;$A89,案件一覧!$F$3:$F$62,"&gt;"&amp;$A89,案件一覧!$C$3:$C$62,"&lt;&gt;キャンセル")&gt;1," ◆重複!",""))</f>
        <v/>
      </c>
      <c r="F89" s="18" t="str">
        <f aca="false">IF(COUNTIFS(案件一覧!$N$3:$N$62,F$3,案件一覧!$E$3:$E$62,"&lt;="&amp;$A89,案件一覧!$F$3:$F$62,"&gt;"&amp;$A89,案件一覧!$C$3:$C$62,"&lt;&gt;キャンセル")=0,"",INDEX(案件一覧!$J$3:$J$62,MATCH(1,INDEX((案件一覧!$N$3:$N$62=F$3)*(案件一覧!$E$3:$E$62&lt;=$A89)*(案件一覧!$F$3:$F$62&gt;$A89)*(案件一覧!$C$3:$C$62&lt;&gt;"キャンセル"),0),0))&amp;IF(COUNTIFS(案件一覧!$N$3:$N$62,F$3,案件一覧!$E$3:$E$62,"&lt;="&amp;$A89,案件一覧!$F$3:$F$62,"&gt;"&amp;$A89,案件一覧!$C$3:$C$62,"&lt;&gt;キャンセル")&gt;1," ◆重複!",""))</f>
        <v/>
      </c>
      <c r="G89" s="18" t="str">
        <f aca="false">IF(COUNTIFS(案件一覧!$N$3:$N$62,G$3,案件一覧!$E$3:$E$62,"&lt;="&amp;$A89,案件一覧!$F$3:$F$62,"&gt;"&amp;$A89,案件一覧!$C$3:$C$62,"&lt;&gt;キャンセル")=0,"",INDEX(案件一覧!$J$3:$J$62,MATCH(1,INDEX((案件一覧!$N$3:$N$62=G$3)*(案件一覧!$E$3:$E$62&lt;=$A89)*(案件一覧!$F$3:$F$62&gt;$A89)*(案件一覧!$C$3:$C$62&lt;&gt;"キャンセル"),0),0))&amp;IF(COUNTIFS(案件一覧!$N$3:$N$62,G$3,案件一覧!$E$3:$E$62,"&lt;="&amp;$A89,案件一覧!$F$3:$F$62,"&gt;"&amp;$A89,案件一覧!$C$3:$C$62,"&lt;&gt;キャンセル")&gt;1," ◆重複!",""))</f>
        <v/>
      </c>
      <c r="H89" s="18" t="str">
        <f aca="false">IF(COUNTIFS(案件一覧!$N$3:$N$62,H$3,案件一覧!$E$3:$E$62,"&lt;="&amp;$A89,案件一覧!$F$3:$F$62,"&gt;"&amp;$A89,案件一覧!$C$3:$C$62,"&lt;&gt;キャンセル")=0,"",INDEX(案件一覧!$J$3:$J$62,MATCH(1,INDEX((案件一覧!$N$3:$N$62=H$3)*(案件一覧!$E$3:$E$62&lt;=$A89)*(案件一覧!$F$3:$F$62&gt;$A89)*(案件一覧!$C$3:$C$62&lt;&gt;"キャンセル"),0),0))&amp;IF(COUNTIFS(案件一覧!$N$3:$N$62,H$3,案件一覧!$E$3:$E$62,"&lt;="&amp;$A89,案件一覧!$F$3:$F$62,"&gt;"&amp;$A89,案件一覧!$C$3:$C$62,"&lt;&gt;キャンセル")&gt;1," ◆重複!",""))</f>
        <v/>
      </c>
    </row>
    <row r="90" customFormat="false" ht="15" hidden="false" customHeight="false" outlineLevel="0" collapsed="false">
      <c r="A90" s="16" t="n">
        <v>46290</v>
      </c>
      <c r="B90" s="17" t="s">
        <v>44</v>
      </c>
      <c r="C90" s="18" t="str">
        <f aca="false">IF(COUNTIFS(案件一覧!$N$3:$N$62,C$3,案件一覧!$E$3:$E$62,"&lt;="&amp;$A90,案件一覧!$F$3:$F$62,"&gt;"&amp;$A90,案件一覧!$C$3:$C$62,"&lt;&gt;キャンセル")=0,"",INDEX(案件一覧!$J$3:$J$62,MATCH(1,INDEX((案件一覧!$N$3:$N$62=C$3)*(案件一覧!$E$3:$E$62&lt;=$A90)*(案件一覧!$F$3:$F$62&gt;$A90)*(案件一覧!$C$3:$C$62&lt;&gt;"キャンセル"),0),0))&amp;IF(COUNTIFS(案件一覧!$N$3:$N$62,C$3,案件一覧!$E$3:$E$62,"&lt;="&amp;$A90,案件一覧!$F$3:$F$62,"&gt;"&amp;$A90,案件一覧!$C$3:$C$62,"&lt;&gt;キャンセル")&gt;1," ◆重複!",""))</f>
        <v/>
      </c>
      <c r="D90" s="18" t="str">
        <f aca="false">IF(COUNTIFS(案件一覧!$N$3:$N$62,D$3,案件一覧!$E$3:$E$62,"&lt;="&amp;$A90,案件一覧!$F$3:$F$62,"&gt;"&amp;$A90,案件一覧!$C$3:$C$62,"&lt;&gt;キャンセル")=0,"",INDEX(案件一覧!$J$3:$J$62,MATCH(1,INDEX((案件一覧!$N$3:$N$62=D$3)*(案件一覧!$E$3:$E$62&lt;=$A90)*(案件一覧!$F$3:$F$62&gt;$A90)*(案件一覧!$C$3:$C$62&lt;&gt;"キャンセル"),0),0))&amp;IF(COUNTIFS(案件一覧!$N$3:$N$62,D$3,案件一覧!$E$3:$E$62,"&lt;="&amp;$A90,案件一覧!$F$3:$F$62,"&gt;"&amp;$A90,案件一覧!$C$3:$C$62,"&lt;&gt;キャンセル")&gt;1," ◆重複!",""))</f>
        <v/>
      </c>
      <c r="E90" s="18" t="str">
        <f aca="false">IF(COUNTIFS(案件一覧!$N$3:$N$62,E$3,案件一覧!$E$3:$E$62,"&lt;="&amp;$A90,案件一覧!$F$3:$F$62,"&gt;"&amp;$A90,案件一覧!$C$3:$C$62,"&lt;&gt;キャンセル")=0,"",INDEX(案件一覧!$J$3:$J$62,MATCH(1,INDEX((案件一覧!$N$3:$N$62=E$3)*(案件一覧!$E$3:$E$62&lt;=$A90)*(案件一覧!$F$3:$F$62&gt;$A90)*(案件一覧!$C$3:$C$62&lt;&gt;"キャンセル"),0),0))&amp;IF(COUNTIFS(案件一覧!$N$3:$N$62,E$3,案件一覧!$E$3:$E$62,"&lt;="&amp;$A90,案件一覧!$F$3:$F$62,"&gt;"&amp;$A90,案件一覧!$C$3:$C$62,"&lt;&gt;キャンセル")&gt;1," ◆重複!",""))</f>
        <v/>
      </c>
      <c r="F90" s="18" t="str">
        <f aca="false">IF(COUNTIFS(案件一覧!$N$3:$N$62,F$3,案件一覧!$E$3:$E$62,"&lt;="&amp;$A90,案件一覧!$F$3:$F$62,"&gt;"&amp;$A90,案件一覧!$C$3:$C$62,"&lt;&gt;キャンセル")=0,"",INDEX(案件一覧!$J$3:$J$62,MATCH(1,INDEX((案件一覧!$N$3:$N$62=F$3)*(案件一覧!$E$3:$E$62&lt;=$A90)*(案件一覧!$F$3:$F$62&gt;$A90)*(案件一覧!$C$3:$C$62&lt;&gt;"キャンセル"),0),0))&amp;IF(COUNTIFS(案件一覧!$N$3:$N$62,F$3,案件一覧!$E$3:$E$62,"&lt;="&amp;$A90,案件一覧!$F$3:$F$62,"&gt;"&amp;$A90,案件一覧!$C$3:$C$62,"&lt;&gt;キャンセル")&gt;1," ◆重複!",""))</f>
        <v/>
      </c>
      <c r="G90" s="18" t="str">
        <f aca="false">IF(COUNTIFS(案件一覧!$N$3:$N$62,G$3,案件一覧!$E$3:$E$62,"&lt;="&amp;$A90,案件一覧!$F$3:$F$62,"&gt;"&amp;$A90,案件一覧!$C$3:$C$62,"&lt;&gt;キャンセル")=0,"",INDEX(案件一覧!$J$3:$J$62,MATCH(1,INDEX((案件一覧!$N$3:$N$62=G$3)*(案件一覧!$E$3:$E$62&lt;=$A90)*(案件一覧!$F$3:$F$62&gt;$A90)*(案件一覧!$C$3:$C$62&lt;&gt;"キャンセル"),0),0))&amp;IF(COUNTIFS(案件一覧!$N$3:$N$62,G$3,案件一覧!$E$3:$E$62,"&lt;="&amp;$A90,案件一覧!$F$3:$F$62,"&gt;"&amp;$A90,案件一覧!$C$3:$C$62,"&lt;&gt;キャンセル")&gt;1," ◆重複!",""))</f>
        <v/>
      </c>
      <c r="H90" s="18" t="str">
        <f aca="false">IF(COUNTIFS(案件一覧!$N$3:$N$62,H$3,案件一覧!$E$3:$E$62,"&lt;="&amp;$A90,案件一覧!$F$3:$F$62,"&gt;"&amp;$A90,案件一覧!$C$3:$C$62,"&lt;&gt;キャンセル")=0,"",INDEX(案件一覧!$J$3:$J$62,MATCH(1,INDEX((案件一覧!$N$3:$N$62=H$3)*(案件一覧!$E$3:$E$62&lt;=$A90)*(案件一覧!$F$3:$F$62&gt;$A90)*(案件一覧!$C$3:$C$62&lt;&gt;"キャンセル"),0),0))&amp;IF(COUNTIFS(案件一覧!$N$3:$N$62,H$3,案件一覧!$E$3:$E$62,"&lt;="&amp;$A90,案件一覧!$F$3:$F$62,"&gt;"&amp;$A90,案件一覧!$C$3:$C$62,"&lt;&gt;キャンセル")&gt;1," ◆重複!",""))</f>
        <v/>
      </c>
    </row>
    <row r="91" customFormat="false" ht="15" hidden="false" customHeight="false" outlineLevel="0" collapsed="false">
      <c r="A91" s="19" t="n">
        <v>46291</v>
      </c>
      <c r="B91" s="20" t="s">
        <v>45</v>
      </c>
      <c r="C91" s="21" t="str">
        <f aca="false">IF(COUNTIFS(案件一覧!$N$3:$N$62,C$3,案件一覧!$E$3:$E$62,"&lt;="&amp;$A91,案件一覧!$F$3:$F$62,"&gt;"&amp;$A91,案件一覧!$C$3:$C$62,"&lt;&gt;キャンセル")=0,"",INDEX(案件一覧!$J$3:$J$62,MATCH(1,INDEX((案件一覧!$N$3:$N$62=C$3)*(案件一覧!$E$3:$E$62&lt;=$A91)*(案件一覧!$F$3:$F$62&gt;$A91)*(案件一覧!$C$3:$C$62&lt;&gt;"キャンセル"),0),0))&amp;IF(COUNTIFS(案件一覧!$N$3:$N$62,C$3,案件一覧!$E$3:$E$62,"&lt;="&amp;$A91,案件一覧!$F$3:$F$62,"&gt;"&amp;$A91,案件一覧!$C$3:$C$62,"&lt;&gt;キャンセル")&gt;1," ◆重複!",""))</f>
        <v/>
      </c>
      <c r="D91" s="21" t="str">
        <f aca="false">IF(COUNTIFS(案件一覧!$N$3:$N$62,D$3,案件一覧!$E$3:$E$62,"&lt;="&amp;$A91,案件一覧!$F$3:$F$62,"&gt;"&amp;$A91,案件一覧!$C$3:$C$62,"&lt;&gt;キャンセル")=0,"",INDEX(案件一覧!$J$3:$J$62,MATCH(1,INDEX((案件一覧!$N$3:$N$62=D$3)*(案件一覧!$E$3:$E$62&lt;=$A91)*(案件一覧!$F$3:$F$62&gt;$A91)*(案件一覧!$C$3:$C$62&lt;&gt;"キャンセル"),0),0))&amp;IF(COUNTIFS(案件一覧!$N$3:$N$62,D$3,案件一覧!$E$3:$E$62,"&lt;="&amp;$A91,案件一覧!$F$3:$F$62,"&gt;"&amp;$A91,案件一覧!$C$3:$C$62,"&lt;&gt;キャンセル")&gt;1," ◆重複!",""))</f>
        <v/>
      </c>
      <c r="E91" s="21" t="str">
        <f aca="false">IF(COUNTIFS(案件一覧!$N$3:$N$62,E$3,案件一覧!$E$3:$E$62,"&lt;="&amp;$A91,案件一覧!$F$3:$F$62,"&gt;"&amp;$A91,案件一覧!$C$3:$C$62,"&lt;&gt;キャンセル")=0,"",INDEX(案件一覧!$J$3:$J$62,MATCH(1,INDEX((案件一覧!$N$3:$N$62=E$3)*(案件一覧!$E$3:$E$62&lt;=$A91)*(案件一覧!$F$3:$F$62&gt;$A91)*(案件一覧!$C$3:$C$62&lt;&gt;"キャンセル"),0),0))&amp;IF(COUNTIFS(案件一覧!$N$3:$N$62,E$3,案件一覧!$E$3:$E$62,"&lt;="&amp;$A91,案件一覧!$F$3:$F$62,"&gt;"&amp;$A91,案件一覧!$C$3:$C$62,"&lt;&gt;キャンセル")&gt;1," ◆重複!",""))</f>
        <v/>
      </c>
      <c r="F91" s="21" t="str">
        <f aca="false">IF(COUNTIFS(案件一覧!$N$3:$N$62,F$3,案件一覧!$E$3:$E$62,"&lt;="&amp;$A91,案件一覧!$F$3:$F$62,"&gt;"&amp;$A91,案件一覧!$C$3:$C$62,"&lt;&gt;キャンセル")=0,"",INDEX(案件一覧!$J$3:$J$62,MATCH(1,INDEX((案件一覧!$N$3:$N$62=F$3)*(案件一覧!$E$3:$E$62&lt;=$A91)*(案件一覧!$F$3:$F$62&gt;$A91)*(案件一覧!$C$3:$C$62&lt;&gt;"キャンセル"),0),0))&amp;IF(COUNTIFS(案件一覧!$N$3:$N$62,F$3,案件一覧!$E$3:$E$62,"&lt;="&amp;$A91,案件一覧!$F$3:$F$62,"&gt;"&amp;$A91,案件一覧!$C$3:$C$62,"&lt;&gt;キャンセル")&gt;1," ◆重複!",""))</f>
        <v/>
      </c>
      <c r="G91" s="21" t="str">
        <f aca="false">IF(COUNTIFS(案件一覧!$N$3:$N$62,G$3,案件一覧!$E$3:$E$62,"&lt;="&amp;$A91,案件一覧!$F$3:$F$62,"&gt;"&amp;$A91,案件一覧!$C$3:$C$62,"&lt;&gt;キャンセル")=0,"",INDEX(案件一覧!$J$3:$J$62,MATCH(1,INDEX((案件一覧!$N$3:$N$62=G$3)*(案件一覧!$E$3:$E$62&lt;=$A91)*(案件一覧!$F$3:$F$62&gt;$A91)*(案件一覧!$C$3:$C$62&lt;&gt;"キャンセル"),0),0))&amp;IF(COUNTIFS(案件一覧!$N$3:$N$62,G$3,案件一覧!$E$3:$E$62,"&lt;="&amp;$A91,案件一覧!$F$3:$F$62,"&gt;"&amp;$A91,案件一覧!$C$3:$C$62,"&lt;&gt;キャンセル")&gt;1," ◆重複!",""))</f>
        <v/>
      </c>
      <c r="H91" s="21" t="str">
        <f aca="false">IF(COUNTIFS(案件一覧!$N$3:$N$62,H$3,案件一覧!$E$3:$E$62,"&lt;="&amp;$A91,案件一覧!$F$3:$F$62,"&gt;"&amp;$A91,案件一覧!$C$3:$C$62,"&lt;&gt;キャンセル")=0,"",INDEX(案件一覧!$J$3:$J$62,MATCH(1,INDEX((案件一覧!$N$3:$N$62=H$3)*(案件一覧!$E$3:$E$62&lt;=$A91)*(案件一覧!$F$3:$F$62&gt;$A91)*(案件一覧!$C$3:$C$62&lt;&gt;"キャンセル"),0),0))&amp;IF(COUNTIFS(案件一覧!$N$3:$N$62,H$3,案件一覧!$E$3:$E$62,"&lt;="&amp;$A91,案件一覧!$F$3:$F$62,"&gt;"&amp;$A91,案件一覧!$C$3:$C$62,"&lt;&gt;キャンセル")&gt;1," ◆重複!",""))</f>
        <v/>
      </c>
    </row>
    <row r="92" customFormat="false" ht="15" hidden="false" customHeight="false" outlineLevel="0" collapsed="false">
      <c r="A92" s="22" t="n">
        <v>46292</v>
      </c>
      <c r="B92" s="23" t="s">
        <v>46</v>
      </c>
      <c r="C92" s="24" t="str">
        <f aca="false">IF(COUNTIFS(案件一覧!$N$3:$N$62,C$3,案件一覧!$E$3:$E$62,"&lt;="&amp;$A92,案件一覧!$F$3:$F$62,"&gt;"&amp;$A92,案件一覧!$C$3:$C$62,"&lt;&gt;キャンセル")=0,"",INDEX(案件一覧!$J$3:$J$62,MATCH(1,INDEX((案件一覧!$N$3:$N$62=C$3)*(案件一覧!$E$3:$E$62&lt;=$A92)*(案件一覧!$F$3:$F$62&gt;$A92)*(案件一覧!$C$3:$C$62&lt;&gt;"キャンセル"),0),0))&amp;IF(COUNTIFS(案件一覧!$N$3:$N$62,C$3,案件一覧!$E$3:$E$62,"&lt;="&amp;$A92,案件一覧!$F$3:$F$62,"&gt;"&amp;$A92,案件一覧!$C$3:$C$62,"&lt;&gt;キャンセル")&gt;1," ◆重複!",""))</f>
        <v/>
      </c>
      <c r="D92" s="24" t="str">
        <f aca="false">IF(COUNTIFS(案件一覧!$N$3:$N$62,D$3,案件一覧!$E$3:$E$62,"&lt;="&amp;$A92,案件一覧!$F$3:$F$62,"&gt;"&amp;$A92,案件一覧!$C$3:$C$62,"&lt;&gt;キャンセル")=0,"",INDEX(案件一覧!$J$3:$J$62,MATCH(1,INDEX((案件一覧!$N$3:$N$62=D$3)*(案件一覧!$E$3:$E$62&lt;=$A92)*(案件一覧!$F$3:$F$62&gt;$A92)*(案件一覧!$C$3:$C$62&lt;&gt;"キャンセル"),0),0))&amp;IF(COUNTIFS(案件一覧!$N$3:$N$62,D$3,案件一覧!$E$3:$E$62,"&lt;="&amp;$A92,案件一覧!$F$3:$F$62,"&gt;"&amp;$A92,案件一覧!$C$3:$C$62,"&lt;&gt;キャンセル")&gt;1," ◆重複!",""))</f>
        <v/>
      </c>
      <c r="E92" s="24" t="str">
        <f aca="false">IF(COUNTIFS(案件一覧!$N$3:$N$62,E$3,案件一覧!$E$3:$E$62,"&lt;="&amp;$A92,案件一覧!$F$3:$F$62,"&gt;"&amp;$A92,案件一覧!$C$3:$C$62,"&lt;&gt;キャンセル")=0,"",INDEX(案件一覧!$J$3:$J$62,MATCH(1,INDEX((案件一覧!$N$3:$N$62=E$3)*(案件一覧!$E$3:$E$62&lt;=$A92)*(案件一覧!$F$3:$F$62&gt;$A92)*(案件一覧!$C$3:$C$62&lt;&gt;"キャンセル"),0),0))&amp;IF(COUNTIFS(案件一覧!$N$3:$N$62,E$3,案件一覧!$E$3:$E$62,"&lt;="&amp;$A92,案件一覧!$F$3:$F$62,"&gt;"&amp;$A92,案件一覧!$C$3:$C$62,"&lt;&gt;キャンセル")&gt;1," ◆重複!",""))</f>
        <v/>
      </c>
      <c r="F92" s="24" t="str">
        <f aca="false">IF(COUNTIFS(案件一覧!$N$3:$N$62,F$3,案件一覧!$E$3:$E$62,"&lt;="&amp;$A92,案件一覧!$F$3:$F$62,"&gt;"&amp;$A92,案件一覧!$C$3:$C$62,"&lt;&gt;キャンセル")=0,"",INDEX(案件一覧!$J$3:$J$62,MATCH(1,INDEX((案件一覧!$N$3:$N$62=F$3)*(案件一覧!$E$3:$E$62&lt;=$A92)*(案件一覧!$F$3:$F$62&gt;$A92)*(案件一覧!$C$3:$C$62&lt;&gt;"キャンセル"),0),0))&amp;IF(COUNTIFS(案件一覧!$N$3:$N$62,F$3,案件一覧!$E$3:$E$62,"&lt;="&amp;$A92,案件一覧!$F$3:$F$62,"&gt;"&amp;$A92,案件一覧!$C$3:$C$62,"&lt;&gt;キャンセル")&gt;1," ◆重複!",""))</f>
        <v/>
      </c>
      <c r="G92" s="24" t="str">
        <f aca="false">IF(COUNTIFS(案件一覧!$N$3:$N$62,G$3,案件一覧!$E$3:$E$62,"&lt;="&amp;$A92,案件一覧!$F$3:$F$62,"&gt;"&amp;$A92,案件一覧!$C$3:$C$62,"&lt;&gt;キャンセル")=0,"",INDEX(案件一覧!$J$3:$J$62,MATCH(1,INDEX((案件一覧!$N$3:$N$62=G$3)*(案件一覧!$E$3:$E$62&lt;=$A92)*(案件一覧!$F$3:$F$62&gt;$A92)*(案件一覧!$C$3:$C$62&lt;&gt;"キャンセル"),0),0))&amp;IF(COUNTIFS(案件一覧!$N$3:$N$62,G$3,案件一覧!$E$3:$E$62,"&lt;="&amp;$A92,案件一覧!$F$3:$F$62,"&gt;"&amp;$A92,案件一覧!$C$3:$C$62,"&lt;&gt;キャンセル")&gt;1," ◆重複!",""))</f>
        <v/>
      </c>
      <c r="H92" s="24" t="str">
        <f aca="false">IF(COUNTIFS(案件一覧!$N$3:$N$62,H$3,案件一覧!$E$3:$E$62,"&lt;="&amp;$A92,案件一覧!$F$3:$F$62,"&gt;"&amp;$A92,案件一覧!$C$3:$C$62,"&lt;&gt;キャンセル")=0,"",INDEX(案件一覧!$J$3:$J$62,MATCH(1,INDEX((案件一覧!$N$3:$N$62=H$3)*(案件一覧!$E$3:$E$62&lt;=$A92)*(案件一覧!$F$3:$F$62&gt;$A92)*(案件一覧!$C$3:$C$62&lt;&gt;"キャンセル"),0),0))&amp;IF(COUNTIFS(案件一覧!$N$3:$N$62,H$3,案件一覧!$E$3:$E$62,"&lt;="&amp;$A92,案件一覧!$F$3:$F$62,"&gt;"&amp;$A92,案件一覧!$C$3:$C$62,"&lt;&gt;キャンセル")&gt;1," ◆重複!",""))</f>
        <v/>
      </c>
    </row>
    <row r="93" customFormat="false" ht="15" hidden="false" customHeight="false" outlineLevel="0" collapsed="false">
      <c r="A93" s="16" t="n">
        <v>46293</v>
      </c>
      <c r="B93" s="17" t="s">
        <v>47</v>
      </c>
      <c r="C93" s="18" t="str">
        <f aca="false">IF(COUNTIFS(案件一覧!$N$3:$N$62,C$3,案件一覧!$E$3:$E$62,"&lt;="&amp;$A93,案件一覧!$F$3:$F$62,"&gt;"&amp;$A93,案件一覧!$C$3:$C$62,"&lt;&gt;キャンセル")=0,"",INDEX(案件一覧!$J$3:$J$62,MATCH(1,INDEX((案件一覧!$N$3:$N$62=C$3)*(案件一覧!$E$3:$E$62&lt;=$A93)*(案件一覧!$F$3:$F$62&gt;$A93)*(案件一覧!$C$3:$C$62&lt;&gt;"キャンセル"),0),0))&amp;IF(COUNTIFS(案件一覧!$N$3:$N$62,C$3,案件一覧!$E$3:$E$62,"&lt;="&amp;$A93,案件一覧!$F$3:$F$62,"&gt;"&amp;$A93,案件一覧!$C$3:$C$62,"&lt;&gt;キャンセル")&gt;1," ◆重複!",""))</f>
        <v/>
      </c>
      <c r="D93" s="18" t="str">
        <f aca="false">IF(COUNTIFS(案件一覧!$N$3:$N$62,D$3,案件一覧!$E$3:$E$62,"&lt;="&amp;$A93,案件一覧!$F$3:$F$62,"&gt;"&amp;$A93,案件一覧!$C$3:$C$62,"&lt;&gt;キャンセル")=0,"",INDEX(案件一覧!$J$3:$J$62,MATCH(1,INDEX((案件一覧!$N$3:$N$62=D$3)*(案件一覧!$E$3:$E$62&lt;=$A93)*(案件一覧!$F$3:$F$62&gt;$A93)*(案件一覧!$C$3:$C$62&lt;&gt;"キャンセル"),0),0))&amp;IF(COUNTIFS(案件一覧!$N$3:$N$62,D$3,案件一覧!$E$3:$E$62,"&lt;="&amp;$A93,案件一覧!$F$3:$F$62,"&gt;"&amp;$A93,案件一覧!$C$3:$C$62,"&lt;&gt;キャンセル")&gt;1," ◆重複!",""))</f>
        <v/>
      </c>
      <c r="E93" s="18" t="str">
        <f aca="false">IF(COUNTIFS(案件一覧!$N$3:$N$62,E$3,案件一覧!$E$3:$E$62,"&lt;="&amp;$A93,案件一覧!$F$3:$F$62,"&gt;"&amp;$A93,案件一覧!$C$3:$C$62,"&lt;&gt;キャンセル")=0,"",INDEX(案件一覧!$J$3:$J$62,MATCH(1,INDEX((案件一覧!$N$3:$N$62=E$3)*(案件一覧!$E$3:$E$62&lt;=$A93)*(案件一覧!$F$3:$F$62&gt;$A93)*(案件一覧!$C$3:$C$62&lt;&gt;"キャンセル"),0),0))&amp;IF(COUNTIFS(案件一覧!$N$3:$N$62,E$3,案件一覧!$E$3:$E$62,"&lt;="&amp;$A93,案件一覧!$F$3:$F$62,"&gt;"&amp;$A93,案件一覧!$C$3:$C$62,"&lt;&gt;キャンセル")&gt;1," ◆重複!",""))</f>
        <v/>
      </c>
      <c r="F93" s="18" t="str">
        <f aca="false">IF(COUNTIFS(案件一覧!$N$3:$N$62,F$3,案件一覧!$E$3:$E$62,"&lt;="&amp;$A93,案件一覧!$F$3:$F$62,"&gt;"&amp;$A93,案件一覧!$C$3:$C$62,"&lt;&gt;キャンセル")=0,"",INDEX(案件一覧!$J$3:$J$62,MATCH(1,INDEX((案件一覧!$N$3:$N$62=F$3)*(案件一覧!$E$3:$E$62&lt;=$A93)*(案件一覧!$F$3:$F$62&gt;$A93)*(案件一覧!$C$3:$C$62&lt;&gt;"キャンセル"),0),0))&amp;IF(COUNTIFS(案件一覧!$N$3:$N$62,F$3,案件一覧!$E$3:$E$62,"&lt;="&amp;$A93,案件一覧!$F$3:$F$62,"&gt;"&amp;$A93,案件一覧!$C$3:$C$62,"&lt;&gt;キャンセル")&gt;1," ◆重複!",""))</f>
        <v/>
      </c>
      <c r="G93" s="18" t="str">
        <f aca="false">IF(COUNTIFS(案件一覧!$N$3:$N$62,G$3,案件一覧!$E$3:$E$62,"&lt;="&amp;$A93,案件一覧!$F$3:$F$62,"&gt;"&amp;$A93,案件一覧!$C$3:$C$62,"&lt;&gt;キャンセル")=0,"",INDEX(案件一覧!$J$3:$J$62,MATCH(1,INDEX((案件一覧!$N$3:$N$62=G$3)*(案件一覧!$E$3:$E$62&lt;=$A93)*(案件一覧!$F$3:$F$62&gt;$A93)*(案件一覧!$C$3:$C$62&lt;&gt;"キャンセル"),0),0))&amp;IF(COUNTIFS(案件一覧!$N$3:$N$62,G$3,案件一覧!$E$3:$E$62,"&lt;="&amp;$A93,案件一覧!$F$3:$F$62,"&gt;"&amp;$A93,案件一覧!$C$3:$C$62,"&lt;&gt;キャンセル")&gt;1," ◆重複!",""))</f>
        <v/>
      </c>
      <c r="H93" s="18" t="str">
        <f aca="false">IF(COUNTIFS(案件一覧!$N$3:$N$62,H$3,案件一覧!$E$3:$E$62,"&lt;="&amp;$A93,案件一覧!$F$3:$F$62,"&gt;"&amp;$A93,案件一覧!$C$3:$C$62,"&lt;&gt;キャンセル")=0,"",INDEX(案件一覧!$J$3:$J$62,MATCH(1,INDEX((案件一覧!$N$3:$N$62=H$3)*(案件一覧!$E$3:$E$62&lt;=$A93)*(案件一覧!$F$3:$F$62&gt;$A93)*(案件一覧!$C$3:$C$62&lt;&gt;"キャンセル"),0),0))&amp;IF(COUNTIFS(案件一覧!$N$3:$N$62,H$3,案件一覧!$E$3:$E$62,"&lt;="&amp;$A93,案件一覧!$F$3:$F$62,"&gt;"&amp;$A93,案件一覧!$C$3:$C$62,"&lt;&gt;キャンセル")&gt;1," ◆重複!",""))</f>
        <v/>
      </c>
    </row>
    <row r="94" customFormat="false" ht="15" hidden="false" customHeight="false" outlineLevel="0" collapsed="false">
      <c r="A94" s="16" t="n">
        <v>46294</v>
      </c>
      <c r="B94" s="17" t="s">
        <v>48</v>
      </c>
      <c r="C94" s="18" t="str">
        <f aca="false">IF(COUNTIFS(案件一覧!$N$3:$N$62,C$3,案件一覧!$E$3:$E$62,"&lt;="&amp;$A94,案件一覧!$F$3:$F$62,"&gt;"&amp;$A94,案件一覧!$C$3:$C$62,"&lt;&gt;キャンセル")=0,"",INDEX(案件一覧!$J$3:$J$62,MATCH(1,INDEX((案件一覧!$N$3:$N$62=C$3)*(案件一覧!$E$3:$E$62&lt;=$A94)*(案件一覧!$F$3:$F$62&gt;$A94)*(案件一覧!$C$3:$C$62&lt;&gt;"キャンセル"),0),0))&amp;IF(COUNTIFS(案件一覧!$N$3:$N$62,C$3,案件一覧!$E$3:$E$62,"&lt;="&amp;$A94,案件一覧!$F$3:$F$62,"&gt;"&amp;$A94,案件一覧!$C$3:$C$62,"&lt;&gt;キャンセル")&gt;1," ◆重複!",""))</f>
        <v/>
      </c>
      <c r="D94" s="18" t="str">
        <f aca="false">IF(COUNTIFS(案件一覧!$N$3:$N$62,D$3,案件一覧!$E$3:$E$62,"&lt;="&amp;$A94,案件一覧!$F$3:$F$62,"&gt;"&amp;$A94,案件一覧!$C$3:$C$62,"&lt;&gt;キャンセル")=0,"",INDEX(案件一覧!$J$3:$J$62,MATCH(1,INDEX((案件一覧!$N$3:$N$62=D$3)*(案件一覧!$E$3:$E$62&lt;=$A94)*(案件一覧!$F$3:$F$62&gt;$A94)*(案件一覧!$C$3:$C$62&lt;&gt;"キャンセル"),0),0))&amp;IF(COUNTIFS(案件一覧!$N$3:$N$62,D$3,案件一覧!$E$3:$E$62,"&lt;="&amp;$A94,案件一覧!$F$3:$F$62,"&gt;"&amp;$A94,案件一覧!$C$3:$C$62,"&lt;&gt;キャンセル")&gt;1," ◆重複!",""))</f>
        <v/>
      </c>
      <c r="E94" s="18" t="str">
        <f aca="false">IF(COUNTIFS(案件一覧!$N$3:$N$62,E$3,案件一覧!$E$3:$E$62,"&lt;="&amp;$A94,案件一覧!$F$3:$F$62,"&gt;"&amp;$A94,案件一覧!$C$3:$C$62,"&lt;&gt;キャンセル")=0,"",INDEX(案件一覧!$J$3:$J$62,MATCH(1,INDEX((案件一覧!$N$3:$N$62=E$3)*(案件一覧!$E$3:$E$62&lt;=$A94)*(案件一覧!$F$3:$F$62&gt;$A94)*(案件一覧!$C$3:$C$62&lt;&gt;"キャンセル"),0),0))&amp;IF(COUNTIFS(案件一覧!$N$3:$N$62,E$3,案件一覧!$E$3:$E$62,"&lt;="&amp;$A94,案件一覧!$F$3:$F$62,"&gt;"&amp;$A94,案件一覧!$C$3:$C$62,"&lt;&gt;キャンセル")&gt;1," ◆重複!",""))</f>
        <v/>
      </c>
      <c r="F94" s="18" t="str">
        <f aca="false">IF(COUNTIFS(案件一覧!$N$3:$N$62,F$3,案件一覧!$E$3:$E$62,"&lt;="&amp;$A94,案件一覧!$F$3:$F$62,"&gt;"&amp;$A94,案件一覧!$C$3:$C$62,"&lt;&gt;キャンセル")=0,"",INDEX(案件一覧!$J$3:$J$62,MATCH(1,INDEX((案件一覧!$N$3:$N$62=F$3)*(案件一覧!$E$3:$E$62&lt;=$A94)*(案件一覧!$F$3:$F$62&gt;$A94)*(案件一覧!$C$3:$C$62&lt;&gt;"キャンセル"),0),0))&amp;IF(COUNTIFS(案件一覧!$N$3:$N$62,F$3,案件一覧!$E$3:$E$62,"&lt;="&amp;$A94,案件一覧!$F$3:$F$62,"&gt;"&amp;$A94,案件一覧!$C$3:$C$62,"&lt;&gt;キャンセル")&gt;1," ◆重複!",""))</f>
        <v/>
      </c>
      <c r="G94" s="18" t="str">
        <f aca="false">IF(COUNTIFS(案件一覧!$N$3:$N$62,G$3,案件一覧!$E$3:$E$62,"&lt;="&amp;$A94,案件一覧!$F$3:$F$62,"&gt;"&amp;$A94,案件一覧!$C$3:$C$62,"&lt;&gt;キャンセル")=0,"",INDEX(案件一覧!$J$3:$J$62,MATCH(1,INDEX((案件一覧!$N$3:$N$62=G$3)*(案件一覧!$E$3:$E$62&lt;=$A94)*(案件一覧!$F$3:$F$62&gt;$A94)*(案件一覧!$C$3:$C$62&lt;&gt;"キャンセル"),0),0))&amp;IF(COUNTIFS(案件一覧!$N$3:$N$62,G$3,案件一覧!$E$3:$E$62,"&lt;="&amp;$A94,案件一覧!$F$3:$F$62,"&gt;"&amp;$A94,案件一覧!$C$3:$C$62,"&lt;&gt;キャンセル")&gt;1," ◆重複!",""))</f>
        <v/>
      </c>
      <c r="H94" s="18" t="str">
        <f aca="false">IF(COUNTIFS(案件一覧!$N$3:$N$62,H$3,案件一覧!$E$3:$E$62,"&lt;="&amp;$A94,案件一覧!$F$3:$F$62,"&gt;"&amp;$A94,案件一覧!$C$3:$C$62,"&lt;&gt;キャンセル")=0,"",INDEX(案件一覧!$J$3:$J$62,MATCH(1,INDEX((案件一覧!$N$3:$N$62=H$3)*(案件一覧!$E$3:$E$62&lt;=$A94)*(案件一覧!$F$3:$F$62&gt;$A94)*(案件一覧!$C$3:$C$62&lt;&gt;"キャンセル"),0),0))&amp;IF(COUNTIFS(案件一覧!$N$3:$N$62,H$3,案件一覧!$E$3:$E$62,"&lt;="&amp;$A94,案件一覧!$F$3:$F$62,"&gt;"&amp;$A94,案件一覧!$C$3:$C$62,"&lt;&gt;キャンセル")&gt;1," ◆重複!",""))</f>
        <v/>
      </c>
    </row>
    <row r="95" customFormat="false" ht="15" hidden="false" customHeight="false" outlineLevel="0" collapsed="false">
      <c r="A95" s="16" t="n">
        <v>46295</v>
      </c>
      <c r="B95" s="17" t="s">
        <v>42</v>
      </c>
      <c r="C95" s="18" t="str">
        <f aca="false">IF(COUNTIFS(案件一覧!$N$3:$N$62,C$3,案件一覧!$E$3:$E$62,"&lt;="&amp;$A95,案件一覧!$F$3:$F$62,"&gt;"&amp;$A95,案件一覧!$C$3:$C$62,"&lt;&gt;キャンセル")=0,"",INDEX(案件一覧!$J$3:$J$62,MATCH(1,INDEX((案件一覧!$N$3:$N$62=C$3)*(案件一覧!$E$3:$E$62&lt;=$A95)*(案件一覧!$F$3:$F$62&gt;$A95)*(案件一覧!$C$3:$C$62&lt;&gt;"キャンセル"),0),0))&amp;IF(COUNTIFS(案件一覧!$N$3:$N$62,C$3,案件一覧!$E$3:$E$62,"&lt;="&amp;$A95,案件一覧!$F$3:$F$62,"&gt;"&amp;$A95,案件一覧!$C$3:$C$62,"&lt;&gt;キャンセル")&gt;1," ◆重複!",""))</f>
        <v/>
      </c>
      <c r="D95" s="18" t="str">
        <f aca="false">IF(COUNTIFS(案件一覧!$N$3:$N$62,D$3,案件一覧!$E$3:$E$62,"&lt;="&amp;$A95,案件一覧!$F$3:$F$62,"&gt;"&amp;$A95,案件一覧!$C$3:$C$62,"&lt;&gt;キャンセル")=0,"",INDEX(案件一覧!$J$3:$J$62,MATCH(1,INDEX((案件一覧!$N$3:$N$62=D$3)*(案件一覧!$E$3:$E$62&lt;=$A95)*(案件一覧!$F$3:$F$62&gt;$A95)*(案件一覧!$C$3:$C$62&lt;&gt;"キャンセル"),0),0))&amp;IF(COUNTIFS(案件一覧!$N$3:$N$62,D$3,案件一覧!$E$3:$E$62,"&lt;="&amp;$A95,案件一覧!$F$3:$F$62,"&gt;"&amp;$A95,案件一覧!$C$3:$C$62,"&lt;&gt;キャンセル")&gt;1," ◆重複!",""))</f>
        <v/>
      </c>
      <c r="E95" s="18" t="str">
        <f aca="false">IF(COUNTIFS(案件一覧!$N$3:$N$62,E$3,案件一覧!$E$3:$E$62,"&lt;="&amp;$A95,案件一覧!$F$3:$F$62,"&gt;"&amp;$A95,案件一覧!$C$3:$C$62,"&lt;&gt;キャンセル")=0,"",INDEX(案件一覧!$J$3:$J$62,MATCH(1,INDEX((案件一覧!$N$3:$N$62=E$3)*(案件一覧!$E$3:$E$62&lt;=$A95)*(案件一覧!$F$3:$F$62&gt;$A95)*(案件一覧!$C$3:$C$62&lt;&gt;"キャンセル"),0),0))&amp;IF(COUNTIFS(案件一覧!$N$3:$N$62,E$3,案件一覧!$E$3:$E$62,"&lt;="&amp;$A95,案件一覧!$F$3:$F$62,"&gt;"&amp;$A95,案件一覧!$C$3:$C$62,"&lt;&gt;キャンセル")&gt;1," ◆重複!",""))</f>
        <v/>
      </c>
      <c r="F95" s="18" t="str">
        <f aca="false">IF(COUNTIFS(案件一覧!$N$3:$N$62,F$3,案件一覧!$E$3:$E$62,"&lt;="&amp;$A95,案件一覧!$F$3:$F$62,"&gt;"&amp;$A95,案件一覧!$C$3:$C$62,"&lt;&gt;キャンセル")=0,"",INDEX(案件一覧!$J$3:$J$62,MATCH(1,INDEX((案件一覧!$N$3:$N$62=F$3)*(案件一覧!$E$3:$E$62&lt;=$A95)*(案件一覧!$F$3:$F$62&gt;$A95)*(案件一覧!$C$3:$C$62&lt;&gt;"キャンセル"),0),0))&amp;IF(COUNTIFS(案件一覧!$N$3:$N$62,F$3,案件一覧!$E$3:$E$62,"&lt;="&amp;$A95,案件一覧!$F$3:$F$62,"&gt;"&amp;$A95,案件一覧!$C$3:$C$62,"&lt;&gt;キャンセル")&gt;1," ◆重複!",""))</f>
        <v/>
      </c>
      <c r="G95" s="18" t="str">
        <f aca="false">IF(COUNTIFS(案件一覧!$N$3:$N$62,G$3,案件一覧!$E$3:$E$62,"&lt;="&amp;$A95,案件一覧!$F$3:$F$62,"&gt;"&amp;$A95,案件一覧!$C$3:$C$62,"&lt;&gt;キャンセル")=0,"",INDEX(案件一覧!$J$3:$J$62,MATCH(1,INDEX((案件一覧!$N$3:$N$62=G$3)*(案件一覧!$E$3:$E$62&lt;=$A95)*(案件一覧!$F$3:$F$62&gt;$A95)*(案件一覧!$C$3:$C$62&lt;&gt;"キャンセル"),0),0))&amp;IF(COUNTIFS(案件一覧!$N$3:$N$62,G$3,案件一覧!$E$3:$E$62,"&lt;="&amp;$A95,案件一覧!$F$3:$F$62,"&gt;"&amp;$A95,案件一覧!$C$3:$C$62,"&lt;&gt;キャンセル")&gt;1," ◆重複!",""))</f>
        <v/>
      </c>
      <c r="H95" s="18" t="str">
        <f aca="false">IF(COUNTIFS(案件一覧!$N$3:$N$62,H$3,案件一覧!$E$3:$E$62,"&lt;="&amp;$A95,案件一覧!$F$3:$F$62,"&gt;"&amp;$A95,案件一覧!$C$3:$C$62,"&lt;&gt;キャンセル")=0,"",INDEX(案件一覧!$J$3:$J$62,MATCH(1,INDEX((案件一覧!$N$3:$N$62=H$3)*(案件一覧!$E$3:$E$62&lt;=$A95)*(案件一覧!$F$3:$F$62&gt;$A95)*(案件一覧!$C$3:$C$62&lt;&gt;"キャンセル"),0),0))&amp;IF(COUNTIFS(案件一覧!$N$3:$N$62,H$3,案件一覧!$E$3:$E$62,"&lt;="&amp;$A95,案件一覧!$F$3:$F$62,"&gt;"&amp;$A95,案件一覧!$C$3:$C$62,"&lt;&gt;キャンセル")&gt;1," ◆重複!",""))</f>
        <v/>
      </c>
    </row>
    <row r="96" customFormat="false" ht="15" hidden="false" customHeight="false" outlineLevel="0" collapsed="false">
      <c r="A96" s="16" t="n">
        <v>46296</v>
      </c>
      <c r="B96" s="17" t="s">
        <v>43</v>
      </c>
      <c r="C96" s="18" t="str">
        <f aca="false">IF(COUNTIFS(案件一覧!$N$3:$N$62,C$3,案件一覧!$E$3:$E$62,"&lt;="&amp;$A96,案件一覧!$F$3:$F$62,"&gt;"&amp;$A96,案件一覧!$C$3:$C$62,"&lt;&gt;キャンセル")=0,"",INDEX(案件一覧!$J$3:$J$62,MATCH(1,INDEX((案件一覧!$N$3:$N$62=C$3)*(案件一覧!$E$3:$E$62&lt;=$A96)*(案件一覧!$F$3:$F$62&gt;$A96)*(案件一覧!$C$3:$C$62&lt;&gt;"キャンセル"),0),0))&amp;IF(COUNTIFS(案件一覧!$N$3:$N$62,C$3,案件一覧!$E$3:$E$62,"&lt;="&amp;$A96,案件一覧!$F$3:$F$62,"&gt;"&amp;$A96,案件一覧!$C$3:$C$62,"&lt;&gt;キャンセル")&gt;1," ◆重複!",""))</f>
        <v/>
      </c>
      <c r="D96" s="18" t="str">
        <f aca="false">IF(COUNTIFS(案件一覧!$N$3:$N$62,D$3,案件一覧!$E$3:$E$62,"&lt;="&amp;$A96,案件一覧!$F$3:$F$62,"&gt;"&amp;$A96,案件一覧!$C$3:$C$62,"&lt;&gt;キャンセル")=0,"",INDEX(案件一覧!$J$3:$J$62,MATCH(1,INDEX((案件一覧!$N$3:$N$62=D$3)*(案件一覧!$E$3:$E$62&lt;=$A96)*(案件一覧!$F$3:$F$62&gt;$A96)*(案件一覧!$C$3:$C$62&lt;&gt;"キャンセル"),0),0))&amp;IF(COUNTIFS(案件一覧!$N$3:$N$62,D$3,案件一覧!$E$3:$E$62,"&lt;="&amp;$A96,案件一覧!$F$3:$F$62,"&gt;"&amp;$A96,案件一覧!$C$3:$C$62,"&lt;&gt;キャンセル")&gt;1," ◆重複!",""))</f>
        <v/>
      </c>
      <c r="E96" s="18" t="str">
        <f aca="false">IF(COUNTIFS(案件一覧!$N$3:$N$62,E$3,案件一覧!$E$3:$E$62,"&lt;="&amp;$A96,案件一覧!$F$3:$F$62,"&gt;"&amp;$A96,案件一覧!$C$3:$C$62,"&lt;&gt;キャンセル")=0,"",INDEX(案件一覧!$J$3:$J$62,MATCH(1,INDEX((案件一覧!$N$3:$N$62=E$3)*(案件一覧!$E$3:$E$62&lt;=$A96)*(案件一覧!$F$3:$F$62&gt;$A96)*(案件一覧!$C$3:$C$62&lt;&gt;"キャンセル"),0),0))&amp;IF(COUNTIFS(案件一覧!$N$3:$N$62,E$3,案件一覧!$E$3:$E$62,"&lt;="&amp;$A96,案件一覧!$F$3:$F$62,"&gt;"&amp;$A96,案件一覧!$C$3:$C$62,"&lt;&gt;キャンセル")&gt;1," ◆重複!",""))</f>
        <v/>
      </c>
      <c r="F96" s="18" t="str">
        <f aca="false">IF(COUNTIFS(案件一覧!$N$3:$N$62,F$3,案件一覧!$E$3:$E$62,"&lt;="&amp;$A96,案件一覧!$F$3:$F$62,"&gt;"&amp;$A96,案件一覧!$C$3:$C$62,"&lt;&gt;キャンセル")=0,"",INDEX(案件一覧!$J$3:$J$62,MATCH(1,INDEX((案件一覧!$N$3:$N$62=F$3)*(案件一覧!$E$3:$E$62&lt;=$A96)*(案件一覧!$F$3:$F$62&gt;$A96)*(案件一覧!$C$3:$C$62&lt;&gt;"キャンセル"),0),0))&amp;IF(COUNTIFS(案件一覧!$N$3:$N$62,F$3,案件一覧!$E$3:$E$62,"&lt;="&amp;$A96,案件一覧!$F$3:$F$62,"&gt;"&amp;$A96,案件一覧!$C$3:$C$62,"&lt;&gt;キャンセル")&gt;1," ◆重複!",""))</f>
        <v/>
      </c>
      <c r="G96" s="18" t="str">
        <f aca="false">IF(COUNTIFS(案件一覧!$N$3:$N$62,G$3,案件一覧!$E$3:$E$62,"&lt;="&amp;$A96,案件一覧!$F$3:$F$62,"&gt;"&amp;$A96,案件一覧!$C$3:$C$62,"&lt;&gt;キャンセル")=0,"",INDEX(案件一覧!$J$3:$J$62,MATCH(1,INDEX((案件一覧!$N$3:$N$62=G$3)*(案件一覧!$E$3:$E$62&lt;=$A96)*(案件一覧!$F$3:$F$62&gt;$A96)*(案件一覧!$C$3:$C$62&lt;&gt;"キャンセル"),0),0))&amp;IF(COUNTIFS(案件一覧!$N$3:$N$62,G$3,案件一覧!$E$3:$E$62,"&lt;="&amp;$A96,案件一覧!$F$3:$F$62,"&gt;"&amp;$A96,案件一覧!$C$3:$C$62,"&lt;&gt;キャンセル")&gt;1," ◆重複!",""))</f>
        <v/>
      </c>
      <c r="H96" s="18" t="str">
        <f aca="false">IF(COUNTIFS(案件一覧!$N$3:$N$62,H$3,案件一覧!$E$3:$E$62,"&lt;="&amp;$A96,案件一覧!$F$3:$F$62,"&gt;"&amp;$A96,案件一覧!$C$3:$C$62,"&lt;&gt;キャンセル")=0,"",INDEX(案件一覧!$J$3:$J$62,MATCH(1,INDEX((案件一覧!$N$3:$N$62=H$3)*(案件一覧!$E$3:$E$62&lt;=$A96)*(案件一覧!$F$3:$F$62&gt;$A96)*(案件一覧!$C$3:$C$62&lt;&gt;"キャンセル"),0),0))&amp;IF(COUNTIFS(案件一覧!$N$3:$N$62,H$3,案件一覧!$E$3:$E$62,"&lt;="&amp;$A96,案件一覧!$F$3:$F$62,"&gt;"&amp;$A96,案件一覧!$C$3:$C$62,"&lt;&gt;キャンセル")&gt;1," ◆重複!",""))</f>
        <v/>
      </c>
    </row>
    <row r="97" customFormat="false" ht="15" hidden="false" customHeight="false" outlineLevel="0" collapsed="false">
      <c r="A97" s="16" t="n">
        <v>46297</v>
      </c>
      <c r="B97" s="17" t="s">
        <v>44</v>
      </c>
      <c r="C97" s="18" t="str">
        <f aca="false">IF(COUNTIFS(案件一覧!$N$3:$N$62,C$3,案件一覧!$E$3:$E$62,"&lt;="&amp;$A97,案件一覧!$F$3:$F$62,"&gt;"&amp;$A97,案件一覧!$C$3:$C$62,"&lt;&gt;キャンセル")=0,"",INDEX(案件一覧!$J$3:$J$62,MATCH(1,INDEX((案件一覧!$N$3:$N$62=C$3)*(案件一覧!$E$3:$E$62&lt;=$A97)*(案件一覧!$F$3:$F$62&gt;$A97)*(案件一覧!$C$3:$C$62&lt;&gt;"キャンセル"),0),0))&amp;IF(COUNTIFS(案件一覧!$N$3:$N$62,C$3,案件一覧!$E$3:$E$62,"&lt;="&amp;$A97,案件一覧!$F$3:$F$62,"&gt;"&amp;$A97,案件一覧!$C$3:$C$62,"&lt;&gt;キャンセル")&gt;1," ◆重複!",""))</f>
        <v/>
      </c>
      <c r="D97" s="18" t="str">
        <f aca="false">IF(COUNTIFS(案件一覧!$N$3:$N$62,D$3,案件一覧!$E$3:$E$62,"&lt;="&amp;$A97,案件一覧!$F$3:$F$62,"&gt;"&amp;$A97,案件一覧!$C$3:$C$62,"&lt;&gt;キャンセル")=0,"",INDEX(案件一覧!$J$3:$J$62,MATCH(1,INDEX((案件一覧!$N$3:$N$62=D$3)*(案件一覧!$E$3:$E$62&lt;=$A97)*(案件一覧!$F$3:$F$62&gt;$A97)*(案件一覧!$C$3:$C$62&lt;&gt;"キャンセル"),0),0))&amp;IF(COUNTIFS(案件一覧!$N$3:$N$62,D$3,案件一覧!$E$3:$E$62,"&lt;="&amp;$A97,案件一覧!$F$3:$F$62,"&gt;"&amp;$A97,案件一覧!$C$3:$C$62,"&lt;&gt;キャンセル")&gt;1," ◆重複!",""))</f>
        <v/>
      </c>
      <c r="E97" s="18" t="str">
        <f aca="false">IF(COUNTIFS(案件一覧!$N$3:$N$62,E$3,案件一覧!$E$3:$E$62,"&lt;="&amp;$A97,案件一覧!$F$3:$F$62,"&gt;"&amp;$A97,案件一覧!$C$3:$C$62,"&lt;&gt;キャンセル")=0,"",INDEX(案件一覧!$J$3:$J$62,MATCH(1,INDEX((案件一覧!$N$3:$N$62=E$3)*(案件一覧!$E$3:$E$62&lt;=$A97)*(案件一覧!$F$3:$F$62&gt;$A97)*(案件一覧!$C$3:$C$62&lt;&gt;"キャンセル"),0),0))&amp;IF(COUNTIFS(案件一覧!$N$3:$N$62,E$3,案件一覧!$E$3:$E$62,"&lt;="&amp;$A97,案件一覧!$F$3:$F$62,"&gt;"&amp;$A97,案件一覧!$C$3:$C$62,"&lt;&gt;キャンセル")&gt;1," ◆重複!",""))</f>
        <v/>
      </c>
      <c r="F97" s="18" t="str">
        <f aca="false">IF(COUNTIFS(案件一覧!$N$3:$N$62,F$3,案件一覧!$E$3:$E$62,"&lt;="&amp;$A97,案件一覧!$F$3:$F$62,"&gt;"&amp;$A97,案件一覧!$C$3:$C$62,"&lt;&gt;キャンセル")=0,"",INDEX(案件一覧!$J$3:$J$62,MATCH(1,INDEX((案件一覧!$N$3:$N$62=F$3)*(案件一覧!$E$3:$E$62&lt;=$A97)*(案件一覧!$F$3:$F$62&gt;$A97)*(案件一覧!$C$3:$C$62&lt;&gt;"キャンセル"),0),0))&amp;IF(COUNTIFS(案件一覧!$N$3:$N$62,F$3,案件一覧!$E$3:$E$62,"&lt;="&amp;$A97,案件一覧!$F$3:$F$62,"&gt;"&amp;$A97,案件一覧!$C$3:$C$62,"&lt;&gt;キャンセル")&gt;1," ◆重複!",""))</f>
        <v/>
      </c>
      <c r="G97" s="18" t="str">
        <f aca="false">IF(COUNTIFS(案件一覧!$N$3:$N$62,G$3,案件一覧!$E$3:$E$62,"&lt;="&amp;$A97,案件一覧!$F$3:$F$62,"&gt;"&amp;$A97,案件一覧!$C$3:$C$62,"&lt;&gt;キャンセル")=0,"",INDEX(案件一覧!$J$3:$J$62,MATCH(1,INDEX((案件一覧!$N$3:$N$62=G$3)*(案件一覧!$E$3:$E$62&lt;=$A97)*(案件一覧!$F$3:$F$62&gt;$A97)*(案件一覧!$C$3:$C$62&lt;&gt;"キャンセル"),0),0))&amp;IF(COUNTIFS(案件一覧!$N$3:$N$62,G$3,案件一覧!$E$3:$E$62,"&lt;="&amp;$A97,案件一覧!$F$3:$F$62,"&gt;"&amp;$A97,案件一覧!$C$3:$C$62,"&lt;&gt;キャンセル")&gt;1," ◆重複!",""))</f>
        <v/>
      </c>
      <c r="H97" s="18" t="str">
        <f aca="false">IF(COUNTIFS(案件一覧!$N$3:$N$62,H$3,案件一覧!$E$3:$E$62,"&lt;="&amp;$A97,案件一覧!$F$3:$F$62,"&gt;"&amp;$A97,案件一覧!$C$3:$C$62,"&lt;&gt;キャンセル")=0,"",INDEX(案件一覧!$J$3:$J$62,MATCH(1,INDEX((案件一覧!$N$3:$N$62=H$3)*(案件一覧!$E$3:$E$62&lt;=$A97)*(案件一覧!$F$3:$F$62&gt;$A97)*(案件一覧!$C$3:$C$62&lt;&gt;"キャンセル"),0),0))&amp;IF(COUNTIFS(案件一覧!$N$3:$N$62,H$3,案件一覧!$E$3:$E$62,"&lt;="&amp;$A97,案件一覧!$F$3:$F$62,"&gt;"&amp;$A97,案件一覧!$C$3:$C$62,"&lt;&gt;キャンセル")&gt;1," ◆重複!",""))</f>
        <v/>
      </c>
    </row>
    <row r="98" customFormat="false" ht="15" hidden="false" customHeight="false" outlineLevel="0" collapsed="false">
      <c r="A98" s="19" t="n">
        <v>46298</v>
      </c>
      <c r="B98" s="20" t="s">
        <v>45</v>
      </c>
      <c r="C98" s="21" t="str">
        <f aca="false">IF(COUNTIFS(案件一覧!$N$3:$N$62,C$3,案件一覧!$E$3:$E$62,"&lt;="&amp;$A98,案件一覧!$F$3:$F$62,"&gt;"&amp;$A98,案件一覧!$C$3:$C$62,"&lt;&gt;キャンセル")=0,"",INDEX(案件一覧!$J$3:$J$62,MATCH(1,INDEX((案件一覧!$N$3:$N$62=C$3)*(案件一覧!$E$3:$E$62&lt;=$A98)*(案件一覧!$F$3:$F$62&gt;$A98)*(案件一覧!$C$3:$C$62&lt;&gt;"キャンセル"),0),0))&amp;IF(COUNTIFS(案件一覧!$N$3:$N$62,C$3,案件一覧!$E$3:$E$62,"&lt;="&amp;$A98,案件一覧!$F$3:$F$62,"&gt;"&amp;$A98,案件一覧!$C$3:$C$62,"&lt;&gt;キャンセル")&gt;1," ◆重複!",""))</f>
        <v/>
      </c>
      <c r="D98" s="21" t="str">
        <f aca="false">IF(COUNTIFS(案件一覧!$N$3:$N$62,D$3,案件一覧!$E$3:$E$62,"&lt;="&amp;$A98,案件一覧!$F$3:$F$62,"&gt;"&amp;$A98,案件一覧!$C$3:$C$62,"&lt;&gt;キャンセル")=0,"",INDEX(案件一覧!$J$3:$J$62,MATCH(1,INDEX((案件一覧!$N$3:$N$62=D$3)*(案件一覧!$E$3:$E$62&lt;=$A98)*(案件一覧!$F$3:$F$62&gt;$A98)*(案件一覧!$C$3:$C$62&lt;&gt;"キャンセル"),0),0))&amp;IF(COUNTIFS(案件一覧!$N$3:$N$62,D$3,案件一覧!$E$3:$E$62,"&lt;="&amp;$A98,案件一覧!$F$3:$F$62,"&gt;"&amp;$A98,案件一覧!$C$3:$C$62,"&lt;&gt;キャンセル")&gt;1," ◆重複!",""))</f>
        <v/>
      </c>
      <c r="E98" s="21" t="str">
        <f aca="false">IF(COUNTIFS(案件一覧!$N$3:$N$62,E$3,案件一覧!$E$3:$E$62,"&lt;="&amp;$A98,案件一覧!$F$3:$F$62,"&gt;"&amp;$A98,案件一覧!$C$3:$C$62,"&lt;&gt;キャンセル")=0,"",INDEX(案件一覧!$J$3:$J$62,MATCH(1,INDEX((案件一覧!$N$3:$N$62=E$3)*(案件一覧!$E$3:$E$62&lt;=$A98)*(案件一覧!$F$3:$F$62&gt;$A98)*(案件一覧!$C$3:$C$62&lt;&gt;"キャンセル"),0),0))&amp;IF(COUNTIFS(案件一覧!$N$3:$N$62,E$3,案件一覧!$E$3:$E$62,"&lt;="&amp;$A98,案件一覧!$F$3:$F$62,"&gt;"&amp;$A98,案件一覧!$C$3:$C$62,"&lt;&gt;キャンセル")&gt;1," ◆重複!",""))</f>
        <v/>
      </c>
      <c r="F98" s="21" t="str">
        <f aca="false">IF(COUNTIFS(案件一覧!$N$3:$N$62,F$3,案件一覧!$E$3:$E$62,"&lt;="&amp;$A98,案件一覧!$F$3:$F$62,"&gt;"&amp;$A98,案件一覧!$C$3:$C$62,"&lt;&gt;キャンセル")=0,"",INDEX(案件一覧!$J$3:$J$62,MATCH(1,INDEX((案件一覧!$N$3:$N$62=F$3)*(案件一覧!$E$3:$E$62&lt;=$A98)*(案件一覧!$F$3:$F$62&gt;$A98)*(案件一覧!$C$3:$C$62&lt;&gt;"キャンセル"),0),0))&amp;IF(COUNTIFS(案件一覧!$N$3:$N$62,F$3,案件一覧!$E$3:$E$62,"&lt;="&amp;$A98,案件一覧!$F$3:$F$62,"&gt;"&amp;$A98,案件一覧!$C$3:$C$62,"&lt;&gt;キャンセル")&gt;1," ◆重複!",""))</f>
        <v/>
      </c>
      <c r="G98" s="21" t="str">
        <f aca="false">IF(COUNTIFS(案件一覧!$N$3:$N$62,G$3,案件一覧!$E$3:$E$62,"&lt;="&amp;$A98,案件一覧!$F$3:$F$62,"&gt;"&amp;$A98,案件一覧!$C$3:$C$62,"&lt;&gt;キャンセル")=0,"",INDEX(案件一覧!$J$3:$J$62,MATCH(1,INDEX((案件一覧!$N$3:$N$62=G$3)*(案件一覧!$E$3:$E$62&lt;=$A98)*(案件一覧!$F$3:$F$62&gt;$A98)*(案件一覧!$C$3:$C$62&lt;&gt;"キャンセル"),0),0))&amp;IF(COUNTIFS(案件一覧!$N$3:$N$62,G$3,案件一覧!$E$3:$E$62,"&lt;="&amp;$A98,案件一覧!$F$3:$F$62,"&gt;"&amp;$A98,案件一覧!$C$3:$C$62,"&lt;&gt;キャンセル")&gt;1," ◆重複!",""))</f>
        <v/>
      </c>
      <c r="H98" s="21" t="str">
        <f aca="false">IF(COUNTIFS(案件一覧!$N$3:$N$62,H$3,案件一覧!$E$3:$E$62,"&lt;="&amp;$A98,案件一覧!$F$3:$F$62,"&gt;"&amp;$A98,案件一覧!$C$3:$C$62,"&lt;&gt;キャンセル")=0,"",INDEX(案件一覧!$J$3:$J$62,MATCH(1,INDEX((案件一覧!$N$3:$N$62=H$3)*(案件一覧!$E$3:$E$62&lt;=$A98)*(案件一覧!$F$3:$F$62&gt;$A98)*(案件一覧!$C$3:$C$62&lt;&gt;"キャンセル"),0),0))&amp;IF(COUNTIFS(案件一覧!$N$3:$N$62,H$3,案件一覧!$E$3:$E$62,"&lt;="&amp;$A98,案件一覧!$F$3:$F$62,"&gt;"&amp;$A98,案件一覧!$C$3:$C$62,"&lt;&gt;キャンセル")&gt;1," ◆重複!",""))</f>
        <v/>
      </c>
    </row>
    <row r="99" customFormat="false" ht="15" hidden="false" customHeight="false" outlineLevel="0" collapsed="false">
      <c r="A99" s="22" t="n">
        <v>46299</v>
      </c>
      <c r="B99" s="23" t="s">
        <v>46</v>
      </c>
      <c r="C99" s="24" t="str">
        <f aca="false">IF(COUNTIFS(案件一覧!$N$3:$N$62,C$3,案件一覧!$E$3:$E$62,"&lt;="&amp;$A99,案件一覧!$F$3:$F$62,"&gt;"&amp;$A99,案件一覧!$C$3:$C$62,"&lt;&gt;キャンセル")=0,"",INDEX(案件一覧!$J$3:$J$62,MATCH(1,INDEX((案件一覧!$N$3:$N$62=C$3)*(案件一覧!$E$3:$E$62&lt;=$A99)*(案件一覧!$F$3:$F$62&gt;$A99)*(案件一覧!$C$3:$C$62&lt;&gt;"キャンセル"),0),0))&amp;IF(COUNTIFS(案件一覧!$N$3:$N$62,C$3,案件一覧!$E$3:$E$62,"&lt;="&amp;$A99,案件一覧!$F$3:$F$62,"&gt;"&amp;$A99,案件一覧!$C$3:$C$62,"&lt;&gt;キャンセル")&gt;1," ◆重複!",""))</f>
        <v/>
      </c>
      <c r="D99" s="24" t="str">
        <f aca="false">IF(COUNTIFS(案件一覧!$N$3:$N$62,D$3,案件一覧!$E$3:$E$62,"&lt;="&amp;$A99,案件一覧!$F$3:$F$62,"&gt;"&amp;$A99,案件一覧!$C$3:$C$62,"&lt;&gt;キャンセル")=0,"",INDEX(案件一覧!$J$3:$J$62,MATCH(1,INDEX((案件一覧!$N$3:$N$62=D$3)*(案件一覧!$E$3:$E$62&lt;=$A99)*(案件一覧!$F$3:$F$62&gt;$A99)*(案件一覧!$C$3:$C$62&lt;&gt;"キャンセル"),0),0))&amp;IF(COUNTIFS(案件一覧!$N$3:$N$62,D$3,案件一覧!$E$3:$E$62,"&lt;="&amp;$A99,案件一覧!$F$3:$F$62,"&gt;"&amp;$A99,案件一覧!$C$3:$C$62,"&lt;&gt;キャンセル")&gt;1," ◆重複!",""))</f>
        <v/>
      </c>
      <c r="E99" s="24" t="str">
        <f aca="false">IF(COUNTIFS(案件一覧!$N$3:$N$62,E$3,案件一覧!$E$3:$E$62,"&lt;="&amp;$A99,案件一覧!$F$3:$F$62,"&gt;"&amp;$A99,案件一覧!$C$3:$C$62,"&lt;&gt;キャンセル")=0,"",INDEX(案件一覧!$J$3:$J$62,MATCH(1,INDEX((案件一覧!$N$3:$N$62=E$3)*(案件一覧!$E$3:$E$62&lt;=$A99)*(案件一覧!$F$3:$F$62&gt;$A99)*(案件一覧!$C$3:$C$62&lt;&gt;"キャンセル"),0),0))&amp;IF(COUNTIFS(案件一覧!$N$3:$N$62,E$3,案件一覧!$E$3:$E$62,"&lt;="&amp;$A99,案件一覧!$F$3:$F$62,"&gt;"&amp;$A99,案件一覧!$C$3:$C$62,"&lt;&gt;キャンセル")&gt;1," ◆重複!",""))</f>
        <v/>
      </c>
      <c r="F99" s="24" t="str">
        <f aca="false">IF(COUNTIFS(案件一覧!$N$3:$N$62,F$3,案件一覧!$E$3:$E$62,"&lt;="&amp;$A99,案件一覧!$F$3:$F$62,"&gt;"&amp;$A99,案件一覧!$C$3:$C$62,"&lt;&gt;キャンセル")=0,"",INDEX(案件一覧!$J$3:$J$62,MATCH(1,INDEX((案件一覧!$N$3:$N$62=F$3)*(案件一覧!$E$3:$E$62&lt;=$A99)*(案件一覧!$F$3:$F$62&gt;$A99)*(案件一覧!$C$3:$C$62&lt;&gt;"キャンセル"),0),0))&amp;IF(COUNTIFS(案件一覧!$N$3:$N$62,F$3,案件一覧!$E$3:$E$62,"&lt;="&amp;$A99,案件一覧!$F$3:$F$62,"&gt;"&amp;$A99,案件一覧!$C$3:$C$62,"&lt;&gt;キャンセル")&gt;1," ◆重複!",""))</f>
        <v/>
      </c>
      <c r="G99" s="24" t="str">
        <f aca="false">IF(COUNTIFS(案件一覧!$N$3:$N$62,G$3,案件一覧!$E$3:$E$62,"&lt;="&amp;$A99,案件一覧!$F$3:$F$62,"&gt;"&amp;$A99,案件一覧!$C$3:$C$62,"&lt;&gt;キャンセル")=0,"",INDEX(案件一覧!$J$3:$J$62,MATCH(1,INDEX((案件一覧!$N$3:$N$62=G$3)*(案件一覧!$E$3:$E$62&lt;=$A99)*(案件一覧!$F$3:$F$62&gt;$A99)*(案件一覧!$C$3:$C$62&lt;&gt;"キャンセル"),0),0))&amp;IF(COUNTIFS(案件一覧!$N$3:$N$62,G$3,案件一覧!$E$3:$E$62,"&lt;="&amp;$A99,案件一覧!$F$3:$F$62,"&gt;"&amp;$A99,案件一覧!$C$3:$C$62,"&lt;&gt;キャンセル")&gt;1," ◆重複!",""))</f>
        <v/>
      </c>
      <c r="H99" s="24" t="str">
        <f aca="false">IF(COUNTIFS(案件一覧!$N$3:$N$62,H$3,案件一覧!$E$3:$E$62,"&lt;="&amp;$A99,案件一覧!$F$3:$F$62,"&gt;"&amp;$A99,案件一覧!$C$3:$C$62,"&lt;&gt;キャンセル")=0,"",INDEX(案件一覧!$J$3:$J$62,MATCH(1,INDEX((案件一覧!$N$3:$N$62=H$3)*(案件一覧!$E$3:$E$62&lt;=$A99)*(案件一覧!$F$3:$F$62&gt;$A99)*(案件一覧!$C$3:$C$62&lt;&gt;"キャンセル"),0),0))&amp;IF(COUNTIFS(案件一覧!$N$3:$N$62,H$3,案件一覧!$E$3:$E$62,"&lt;="&amp;$A99,案件一覧!$F$3:$F$62,"&gt;"&amp;$A99,案件一覧!$C$3:$C$62,"&lt;&gt;キャンセル")&gt;1," ◆重複!",""))</f>
        <v/>
      </c>
    </row>
    <row r="100" customFormat="false" ht="15" hidden="false" customHeight="false" outlineLevel="0" collapsed="false">
      <c r="A100" s="16" t="n">
        <v>46300</v>
      </c>
      <c r="B100" s="17" t="s">
        <v>47</v>
      </c>
      <c r="C100" s="18" t="str">
        <f aca="false">IF(COUNTIFS(案件一覧!$N$3:$N$62,C$3,案件一覧!$E$3:$E$62,"&lt;="&amp;$A100,案件一覧!$F$3:$F$62,"&gt;"&amp;$A100,案件一覧!$C$3:$C$62,"&lt;&gt;キャンセル")=0,"",INDEX(案件一覧!$J$3:$J$62,MATCH(1,INDEX((案件一覧!$N$3:$N$62=C$3)*(案件一覧!$E$3:$E$62&lt;=$A100)*(案件一覧!$F$3:$F$62&gt;$A100)*(案件一覧!$C$3:$C$62&lt;&gt;"キャンセル"),0),0))&amp;IF(COUNTIFS(案件一覧!$N$3:$N$62,C$3,案件一覧!$E$3:$E$62,"&lt;="&amp;$A100,案件一覧!$F$3:$F$62,"&gt;"&amp;$A100,案件一覧!$C$3:$C$62,"&lt;&gt;キャンセル")&gt;1," ◆重複!",""))</f>
        <v/>
      </c>
      <c r="D100" s="18" t="str">
        <f aca="false">IF(COUNTIFS(案件一覧!$N$3:$N$62,D$3,案件一覧!$E$3:$E$62,"&lt;="&amp;$A100,案件一覧!$F$3:$F$62,"&gt;"&amp;$A100,案件一覧!$C$3:$C$62,"&lt;&gt;キャンセル")=0,"",INDEX(案件一覧!$J$3:$J$62,MATCH(1,INDEX((案件一覧!$N$3:$N$62=D$3)*(案件一覧!$E$3:$E$62&lt;=$A100)*(案件一覧!$F$3:$F$62&gt;$A100)*(案件一覧!$C$3:$C$62&lt;&gt;"キャンセル"),0),0))&amp;IF(COUNTIFS(案件一覧!$N$3:$N$62,D$3,案件一覧!$E$3:$E$62,"&lt;="&amp;$A100,案件一覧!$F$3:$F$62,"&gt;"&amp;$A100,案件一覧!$C$3:$C$62,"&lt;&gt;キャンセル")&gt;1," ◆重複!",""))</f>
        <v/>
      </c>
      <c r="E100" s="18" t="str">
        <f aca="false">IF(COUNTIFS(案件一覧!$N$3:$N$62,E$3,案件一覧!$E$3:$E$62,"&lt;="&amp;$A100,案件一覧!$F$3:$F$62,"&gt;"&amp;$A100,案件一覧!$C$3:$C$62,"&lt;&gt;キャンセル")=0,"",INDEX(案件一覧!$J$3:$J$62,MATCH(1,INDEX((案件一覧!$N$3:$N$62=E$3)*(案件一覧!$E$3:$E$62&lt;=$A100)*(案件一覧!$F$3:$F$62&gt;$A100)*(案件一覧!$C$3:$C$62&lt;&gt;"キャンセル"),0),0))&amp;IF(COUNTIFS(案件一覧!$N$3:$N$62,E$3,案件一覧!$E$3:$E$62,"&lt;="&amp;$A100,案件一覧!$F$3:$F$62,"&gt;"&amp;$A100,案件一覧!$C$3:$C$62,"&lt;&gt;キャンセル")&gt;1," ◆重複!",""))</f>
        <v/>
      </c>
      <c r="F100" s="18" t="str">
        <f aca="false">IF(COUNTIFS(案件一覧!$N$3:$N$62,F$3,案件一覧!$E$3:$E$62,"&lt;="&amp;$A100,案件一覧!$F$3:$F$62,"&gt;"&amp;$A100,案件一覧!$C$3:$C$62,"&lt;&gt;キャンセル")=0,"",INDEX(案件一覧!$J$3:$J$62,MATCH(1,INDEX((案件一覧!$N$3:$N$62=F$3)*(案件一覧!$E$3:$E$62&lt;=$A100)*(案件一覧!$F$3:$F$62&gt;$A100)*(案件一覧!$C$3:$C$62&lt;&gt;"キャンセル"),0),0))&amp;IF(COUNTIFS(案件一覧!$N$3:$N$62,F$3,案件一覧!$E$3:$E$62,"&lt;="&amp;$A100,案件一覧!$F$3:$F$62,"&gt;"&amp;$A100,案件一覧!$C$3:$C$62,"&lt;&gt;キャンセル")&gt;1," ◆重複!",""))</f>
        <v/>
      </c>
      <c r="G100" s="18" t="str">
        <f aca="false">IF(COUNTIFS(案件一覧!$N$3:$N$62,G$3,案件一覧!$E$3:$E$62,"&lt;="&amp;$A100,案件一覧!$F$3:$F$62,"&gt;"&amp;$A100,案件一覧!$C$3:$C$62,"&lt;&gt;キャンセル")=0,"",INDEX(案件一覧!$J$3:$J$62,MATCH(1,INDEX((案件一覧!$N$3:$N$62=G$3)*(案件一覧!$E$3:$E$62&lt;=$A100)*(案件一覧!$F$3:$F$62&gt;$A100)*(案件一覧!$C$3:$C$62&lt;&gt;"キャンセル"),0),0))&amp;IF(COUNTIFS(案件一覧!$N$3:$N$62,G$3,案件一覧!$E$3:$E$62,"&lt;="&amp;$A100,案件一覧!$F$3:$F$62,"&gt;"&amp;$A100,案件一覧!$C$3:$C$62,"&lt;&gt;キャンセル")&gt;1," ◆重複!",""))</f>
        <v/>
      </c>
      <c r="H100" s="18" t="str">
        <f aca="false">IF(COUNTIFS(案件一覧!$N$3:$N$62,H$3,案件一覧!$E$3:$E$62,"&lt;="&amp;$A100,案件一覧!$F$3:$F$62,"&gt;"&amp;$A100,案件一覧!$C$3:$C$62,"&lt;&gt;キャンセル")=0,"",INDEX(案件一覧!$J$3:$J$62,MATCH(1,INDEX((案件一覧!$N$3:$N$62=H$3)*(案件一覧!$E$3:$E$62&lt;=$A100)*(案件一覧!$F$3:$F$62&gt;$A100)*(案件一覧!$C$3:$C$62&lt;&gt;"キャンセル"),0),0))&amp;IF(COUNTIFS(案件一覧!$N$3:$N$62,H$3,案件一覧!$E$3:$E$62,"&lt;="&amp;$A100,案件一覧!$F$3:$F$62,"&gt;"&amp;$A100,案件一覧!$C$3:$C$62,"&lt;&gt;キャンセル")&gt;1," ◆重複!",""))</f>
        <v/>
      </c>
    </row>
    <row r="101" customFormat="false" ht="15" hidden="false" customHeight="false" outlineLevel="0" collapsed="false">
      <c r="A101" s="16" t="n">
        <v>46301</v>
      </c>
      <c r="B101" s="17" t="s">
        <v>48</v>
      </c>
      <c r="C101" s="18" t="str">
        <f aca="false">IF(COUNTIFS(案件一覧!$N$3:$N$62,C$3,案件一覧!$E$3:$E$62,"&lt;="&amp;$A101,案件一覧!$F$3:$F$62,"&gt;"&amp;$A101,案件一覧!$C$3:$C$62,"&lt;&gt;キャンセル")=0,"",INDEX(案件一覧!$J$3:$J$62,MATCH(1,INDEX((案件一覧!$N$3:$N$62=C$3)*(案件一覧!$E$3:$E$62&lt;=$A101)*(案件一覧!$F$3:$F$62&gt;$A101)*(案件一覧!$C$3:$C$62&lt;&gt;"キャンセル"),0),0))&amp;IF(COUNTIFS(案件一覧!$N$3:$N$62,C$3,案件一覧!$E$3:$E$62,"&lt;="&amp;$A101,案件一覧!$F$3:$F$62,"&gt;"&amp;$A101,案件一覧!$C$3:$C$62,"&lt;&gt;キャンセル")&gt;1," ◆重複!",""))</f>
        <v/>
      </c>
      <c r="D101" s="18" t="str">
        <f aca="false">IF(COUNTIFS(案件一覧!$N$3:$N$62,D$3,案件一覧!$E$3:$E$62,"&lt;="&amp;$A101,案件一覧!$F$3:$F$62,"&gt;"&amp;$A101,案件一覧!$C$3:$C$62,"&lt;&gt;キャンセル")=0,"",INDEX(案件一覧!$J$3:$J$62,MATCH(1,INDEX((案件一覧!$N$3:$N$62=D$3)*(案件一覧!$E$3:$E$62&lt;=$A101)*(案件一覧!$F$3:$F$62&gt;$A101)*(案件一覧!$C$3:$C$62&lt;&gt;"キャンセル"),0),0))&amp;IF(COUNTIFS(案件一覧!$N$3:$N$62,D$3,案件一覧!$E$3:$E$62,"&lt;="&amp;$A101,案件一覧!$F$3:$F$62,"&gt;"&amp;$A101,案件一覧!$C$3:$C$62,"&lt;&gt;キャンセル")&gt;1," ◆重複!",""))</f>
        <v/>
      </c>
      <c r="E101" s="18" t="str">
        <f aca="false">IF(COUNTIFS(案件一覧!$N$3:$N$62,E$3,案件一覧!$E$3:$E$62,"&lt;="&amp;$A101,案件一覧!$F$3:$F$62,"&gt;"&amp;$A101,案件一覧!$C$3:$C$62,"&lt;&gt;キャンセル")=0,"",INDEX(案件一覧!$J$3:$J$62,MATCH(1,INDEX((案件一覧!$N$3:$N$62=E$3)*(案件一覧!$E$3:$E$62&lt;=$A101)*(案件一覧!$F$3:$F$62&gt;$A101)*(案件一覧!$C$3:$C$62&lt;&gt;"キャンセル"),0),0))&amp;IF(COUNTIFS(案件一覧!$N$3:$N$62,E$3,案件一覧!$E$3:$E$62,"&lt;="&amp;$A101,案件一覧!$F$3:$F$62,"&gt;"&amp;$A101,案件一覧!$C$3:$C$62,"&lt;&gt;キャンセル")&gt;1," ◆重複!",""))</f>
        <v/>
      </c>
      <c r="F101" s="18" t="str">
        <f aca="false">IF(COUNTIFS(案件一覧!$N$3:$N$62,F$3,案件一覧!$E$3:$E$62,"&lt;="&amp;$A101,案件一覧!$F$3:$F$62,"&gt;"&amp;$A101,案件一覧!$C$3:$C$62,"&lt;&gt;キャンセル")=0,"",INDEX(案件一覧!$J$3:$J$62,MATCH(1,INDEX((案件一覧!$N$3:$N$62=F$3)*(案件一覧!$E$3:$E$62&lt;=$A101)*(案件一覧!$F$3:$F$62&gt;$A101)*(案件一覧!$C$3:$C$62&lt;&gt;"キャンセル"),0),0))&amp;IF(COUNTIFS(案件一覧!$N$3:$N$62,F$3,案件一覧!$E$3:$E$62,"&lt;="&amp;$A101,案件一覧!$F$3:$F$62,"&gt;"&amp;$A101,案件一覧!$C$3:$C$62,"&lt;&gt;キャンセル")&gt;1," ◆重複!",""))</f>
        <v/>
      </c>
      <c r="G101" s="18" t="str">
        <f aca="false">IF(COUNTIFS(案件一覧!$N$3:$N$62,G$3,案件一覧!$E$3:$E$62,"&lt;="&amp;$A101,案件一覧!$F$3:$F$62,"&gt;"&amp;$A101,案件一覧!$C$3:$C$62,"&lt;&gt;キャンセル")=0,"",INDEX(案件一覧!$J$3:$J$62,MATCH(1,INDEX((案件一覧!$N$3:$N$62=G$3)*(案件一覧!$E$3:$E$62&lt;=$A101)*(案件一覧!$F$3:$F$62&gt;$A101)*(案件一覧!$C$3:$C$62&lt;&gt;"キャンセル"),0),0))&amp;IF(COUNTIFS(案件一覧!$N$3:$N$62,G$3,案件一覧!$E$3:$E$62,"&lt;="&amp;$A101,案件一覧!$F$3:$F$62,"&gt;"&amp;$A101,案件一覧!$C$3:$C$62,"&lt;&gt;キャンセル")&gt;1," ◆重複!",""))</f>
        <v/>
      </c>
      <c r="H101" s="18" t="str">
        <f aca="false">IF(COUNTIFS(案件一覧!$N$3:$N$62,H$3,案件一覧!$E$3:$E$62,"&lt;="&amp;$A101,案件一覧!$F$3:$F$62,"&gt;"&amp;$A101,案件一覧!$C$3:$C$62,"&lt;&gt;キャンセル")=0,"",INDEX(案件一覧!$J$3:$J$62,MATCH(1,INDEX((案件一覧!$N$3:$N$62=H$3)*(案件一覧!$E$3:$E$62&lt;=$A101)*(案件一覧!$F$3:$F$62&gt;$A101)*(案件一覧!$C$3:$C$62&lt;&gt;"キャンセル"),0),0))&amp;IF(COUNTIFS(案件一覧!$N$3:$N$62,H$3,案件一覧!$E$3:$E$62,"&lt;="&amp;$A101,案件一覧!$F$3:$F$62,"&gt;"&amp;$A101,案件一覧!$C$3:$C$62,"&lt;&gt;キャンセル")&gt;1," ◆重複!",""))</f>
        <v/>
      </c>
    </row>
    <row r="102" customFormat="false" ht="15" hidden="false" customHeight="false" outlineLevel="0" collapsed="false">
      <c r="A102" s="16" t="n">
        <v>46302</v>
      </c>
      <c r="B102" s="17" t="s">
        <v>42</v>
      </c>
      <c r="C102" s="18" t="str">
        <f aca="false">IF(COUNTIFS(案件一覧!$N$3:$N$62,C$3,案件一覧!$E$3:$E$62,"&lt;="&amp;$A102,案件一覧!$F$3:$F$62,"&gt;"&amp;$A102,案件一覧!$C$3:$C$62,"&lt;&gt;キャンセル")=0,"",INDEX(案件一覧!$J$3:$J$62,MATCH(1,INDEX((案件一覧!$N$3:$N$62=C$3)*(案件一覧!$E$3:$E$62&lt;=$A102)*(案件一覧!$F$3:$F$62&gt;$A102)*(案件一覧!$C$3:$C$62&lt;&gt;"キャンセル"),0),0))&amp;IF(COUNTIFS(案件一覧!$N$3:$N$62,C$3,案件一覧!$E$3:$E$62,"&lt;="&amp;$A102,案件一覧!$F$3:$F$62,"&gt;"&amp;$A102,案件一覧!$C$3:$C$62,"&lt;&gt;キャンセル")&gt;1," ◆重複!",""))</f>
        <v/>
      </c>
      <c r="D102" s="18" t="str">
        <f aca="false">IF(COUNTIFS(案件一覧!$N$3:$N$62,D$3,案件一覧!$E$3:$E$62,"&lt;="&amp;$A102,案件一覧!$F$3:$F$62,"&gt;"&amp;$A102,案件一覧!$C$3:$C$62,"&lt;&gt;キャンセル")=0,"",INDEX(案件一覧!$J$3:$J$62,MATCH(1,INDEX((案件一覧!$N$3:$N$62=D$3)*(案件一覧!$E$3:$E$62&lt;=$A102)*(案件一覧!$F$3:$F$62&gt;$A102)*(案件一覧!$C$3:$C$62&lt;&gt;"キャンセル"),0),0))&amp;IF(COUNTIFS(案件一覧!$N$3:$N$62,D$3,案件一覧!$E$3:$E$62,"&lt;="&amp;$A102,案件一覧!$F$3:$F$62,"&gt;"&amp;$A102,案件一覧!$C$3:$C$62,"&lt;&gt;キャンセル")&gt;1," ◆重複!",""))</f>
        <v/>
      </c>
      <c r="E102" s="18" t="str">
        <f aca="false">IF(COUNTIFS(案件一覧!$N$3:$N$62,E$3,案件一覧!$E$3:$E$62,"&lt;="&amp;$A102,案件一覧!$F$3:$F$62,"&gt;"&amp;$A102,案件一覧!$C$3:$C$62,"&lt;&gt;キャンセル")=0,"",INDEX(案件一覧!$J$3:$J$62,MATCH(1,INDEX((案件一覧!$N$3:$N$62=E$3)*(案件一覧!$E$3:$E$62&lt;=$A102)*(案件一覧!$F$3:$F$62&gt;$A102)*(案件一覧!$C$3:$C$62&lt;&gt;"キャンセル"),0),0))&amp;IF(COUNTIFS(案件一覧!$N$3:$N$62,E$3,案件一覧!$E$3:$E$62,"&lt;="&amp;$A102,案件一覧!$F$3:$F$62,"&gt;"&amp;$A102,案件一覧!$C$3:$C$62,"&lt;&gt;キャンセル")&gt;1," ◆重複!",""))</f>
        <v/>
      </c>
      <c r="F102" s="18" t="str">
        <f aca="false">IF(COUNTIFS(案件一覧!$N$3:$N$62,F$3,案件一覧!$E$3:$E$62,"&lt;="&amp;$A102,案件一覧!$F$3:$F$62,"&gt;"&amp;$A102,案件一覧!$C$3:$C$62,"&lt;&gt;キャンセル")=0,"",INDEX(案件一覧!$J$3:$J$62,MATCH(1,INDEX((案件一覧!$N$3:$N$62=F$3)*(案件一覧!$E$3:$E$62&lt;=$A102)*(案件一覧!$F$3:$F$62&gt;$A102)*(案件一覧!$C$3:$C$62&lt;&gt;"キャンセル"),0),0))&amp;IF(COUNTIFS(案件一覧!$N$3:$N$62,F$3,案件一覧!$E$3:$E$62,"&lt;="&amp;$A102,案件一覧!$F$3:$F$62,"&gt;"&amp;$A102,案件一覧!$C$3:$C$62,"&lt;&gt;キャンセル")&gt;1," ◆重複!",""))</f>
        <v/>
      </c>
      <c r="G102" s="18" t="str">
        <f aca="false">IF(COUNTIFS(案件一覧!$N$3:$N$62,G$3,案件一覧!$E$3:$E$62,"&lt;="&amp;$A102,案件一覧!$F$3:$F$62,"&gt;"&amp;$A102,案件一覧!$C$3:$C$62,"&lt;&gt;キャンセル")=0,"",INDEX(案件一覧!$J$3:$J$62,MATCH(1,INDEX((案件一覧!$N$3:$N$62=G$3)*(案件一覧!$E$3:$E$62&lt;=$A102)*(案件一覧!$F$3:$F$62&gt;$A102)*(案件一覧!$C$3:$C$62&lt;&gt;"キャンセル"),0),0))&amp;IF(COUNTIFS(案件一覧!$N$3:$N$62,G$3,案件一覧!$E$3:$E$62,"&lt;="&amp;$A102,案件一覧!$F$3:$F$62,"&gt;"&amp;$A102,案件一覧!$C$3:$C$62,"&lt;&gt;キャンセル")&gt;1," ◆重複!",""))</f>
        <v/>
      </c>
      <c r="H102" s="18" t="str">
        <f aca="false">IF(COUNTIFS(案件一覧!$N$3:$N$62,H$3,案件一覧!$E$3:$E$62,"&lt;="&amp;$A102,案件一覧!$F$3:$F$62,"&gt;"&amp;$A102,案件一覧!$C$3:$C$62,"&lt;&gt;キャンセル")=0,"",INDEX(案件一覧!$J$3:$J$62,MATCH(1,INDEX((案件一覧!$N$3:$N$62=H$3)*(案件一覧!$E$3:$E$62&lt;=$A102)*(案件一覧!$F$3:$F$62&gt;$A102)*(案件一覧!$C$3:$C$62&lt;&gt;"キャンセル"),0),0))&amp;IF(COUNTIFS(案件一覧!$N$3:$N$62,H$3,案件一覧!$E$3:$E$62,"&lt;="&amp;$A102,案件一覧!$F$3:$F$62,"&gt;"&amp;$A102,案件一覧!$C$3:$C$62,"&lt;&gt;キャンセル")&gt;1," ◆重複!",""))</f>
        <v/>
      </c>
    </row>
    <row r="103" customFormat="false" ht="15" hidden="false" customHeight="false" outlineLevel="0" collapsed="false">
      <c r="A103" s="16" t="n">
        <v>46303</v>
      </c>
      <c r="B103" s="17" t="s">
        <v>43</v>
      </c>
      <c r="C103" s="18" t="str">
        <f aca="false">IF(COUNTIFS(案件一覧!$N$3:$N$62,C$3,案件一覧!$E$3:$E$62,"&lt;="&amp;$A103,案件一覧!$F$3:$F$62,"&gt;"&amp;$A103,案件一覧!$C$3:$C$62,"&lt;&gt;キャンセル")=0,"",INDEX(案件一覧!$J$3:$J$62,MATCH(1,INDEX((案件一覧!$N$3:$N$62=C$3)*(案件一覧!$E$3:$E$62&lt;=$A103)*(案件一覧!$F$3:$F$62&gt;$A103)*(案件一覧!$C$3:$C$62&lt;&gt;"キャンセル"),0),0))&amp;IF(COUNTIFS(案件一覧!$N$3:$N$62,C$3,案件一覧!$E$3:$E$62,"&lt;="&amp;$A103,案件一覧!$F$3:$F$62,"&gt;"&amp;$A103,案件一覧!$C$3:$C$62,"&lt;&gt;キャンセル")&gt;1," ◆重複!",""))</f>
        <v/>
      </c>
      <c r="D103" s="18" t="str">
        <f aca="false">IF(COUNTIFS(案件一覧!$N$3:$N$62,D$3,案件一覧!$E$3:$E$62,"&lt;="&amp;$A103,案件一覧!$F$3:$F$62,"&gt;"&amp;$A103,案件一覧!$C$3:$C$62,"&lt;&gt;キャンセル")=0,"",INDEX(案件一覧!$J$3:$J$62,MATCH(1,INDEX((案件一覧!$N$3:$N$62=D$3)*(案件一覧!$E$3:$E$62&lt;=$A103)*(案件一覧!$F$3:$F$62&gt;$A103)*(案件一覧!$C$3:$C$62&lt;&gt;"キャンセル"),0),0))&amp;IF(COUNTIFS(案件一覧!$N$3:$N$62,D$3,案件一覧!$E$3:$E$62,"&lt;="&amp;$A103,案件一覧!$F$3:$F$62,"&gt;"&amp;$A103,案件一覧!$C$3:$C$62,"&lt;&gt;キャンセル")&gt;1," ◆重複!",""))</f>
        <v/>
      </c>
      <c r="E103" s="18" t="str">
        <f aca="false">IF(COUNTIFS(案件一覧!$N$3:$N$62,E$3,案件一覧!$E$3:$E$62,"&lt;="&amp;$A103,案件一覧!$F$3:$F$62,"&gt;"&amp;$A103,案件一覧!$C$3:$C$62,"&lt;&gt;キャンセル")=0,"",INDEX(案件一覧!$J$3:$J$62,MATCH(1,INDEX((案件一覧!$N$3:$N$62=E$3)*(案件一覧!$E$3:$E$62&lt;=$A103)*(案件一覧!$F$3:$F$62&gt;$A103)*(案件一覧!$C$3:$C$62&lt;&gt;"キャンセル"),0),0))&amp;IF(COUNTIFS(案件一覧!$N$3:$N$62,E$3,案件一覧!$E$3:$E$62,"&lt;="&amp;$A103,案件一覧!$F$3:$F$62,"&gt;"&amp;$A103,案件一覧!$C$3:$C$62,"&lt;&gt;キャンセル")&gt;1," ◆重複!",""))</f>
        <v/>
      </c>
      <c r="F103" s="18" t="str">
        <f aca="false">IF(COUNTIFS(案件一覧!$N$3:$N$62,F$3,案件一覧!$E$3:$E$62,"&lt;="&amp;$A103,案件一覧!$F$3:$F$62,"&gt;"&amp;$A103,案件一覧!$C$3:$C$62,"&lt;&gt;キャンセル")=0,"",INDEX(案件一覧!$J$3:$J$62,MATCH(1,INDEX((案件一覧!$N$3:$N$62=F$3)*(案件一覧!$E$3:$E$62&lt;=$A103)*(案件一覧!$F$3:$F$62&gt;$A103)*(案件一覧!$C$3:$C$62&lt;&gt;"キャンセル"),0),0))&amp;IF(COUNTIFS(案件一覧!$N$3:$N$62,F$3,案件一覧!$E$3:$E$62,"&lt;="&amp;$A103,案件一覧!$F$3:$F$62,"&gt;"&amp;$A103,案件一覧!$C$3:$C$62,"&lt;&gt;キャンセル")&gt;1," ◆重複!",""))</f>
        <v/>
      </c>
      <c r="G103" s="18" t="str">
        <f aca="false">IF(COUNTIFS(案件一覧!$N$3:$N$62,G$3,案件一覧!$E$3:$E$62,"&lt;="&amp;$A103,案件一覧!$F$3:$F$62,"&gt;"&amp;$A103,案件一覧!$C$3:$C$62,"&lt;&gt;キャンセル")=0,"",INDEX(案件一覧!$J$3:$J$62,MATCH(1,INDEX((案件一覧!$N$3:$N$62=G$3)*(案件一覧!$E$3:$E$62&lt;=$A103)*(案件一覧!$F$3:$F$62&gt;$A103)*(案件一覧!$C$3:$C$62&lt;&gt;"キャンセル"),0),0))&amp;IF(COUNTIFS(案件一覧!$N$3:$N$62,G$3,案件一覧!$E$3:$E$62,"&lt;="&amp;$A103,案件一覧!$F$3:$F$62,"&gt;"&amp;$A103,案件一覧!$C$3:$C$62,"&lt;&gt;キャンセル")&gt;1," ◆重複!",""))</f>
        <v/>
      </c>
      <c r="H103" s="18" t="str">
        <f aca="false">IF(COUNTIFS(案件一覧!$N$3:$N$62,H$3,案件一覧!$E$3:$E$62,"&lt;="&amp;$A103,案件一覧!$F$3:$F$62,"&gt;"&amp;$A103,案件一覧!$C$3:$C$62,"&lt;&gt;キャンセル")=0,"",INDEX(案件一覧!$J$3:$J$62,MATCH(1,INDEX((案件一覧!$N$3:$N$62=H$3)*(案件一覧!$E$3:$E$62&lt;=$A103)*(案件一覧!$F$3:$F$62&gt;$A103)*(案件一覧!$C$3:$C$62&lt;&gt;"キャンセル"),0),0))&amp;IF(COUNTIFS(案件一覧!$N$3:$N$62,H$3,案件一覧!$E$3:$E$62,"&lt;="&amp;$A103,案件一覧!$F$3:$F$62,"&gt;"&amp;$A103,案件一覧!$C$3:$C$62,"&lt;&gt;キャンセル")&gt;1," ◆重複!",""))</f>
        <v/>
      </c>
    </row>
    <row r="104" customFormat="false" ht="15" hidden="false" customHeight="false" outlineLevel="0" collapsed="false">
      <c r="A104" s="16" t="n">
        <v>46304</v>
      </c>
      <c r="B104" s="17" t="s">
        <v>44</v>
      </c>
      <c r="C104" s="18" t="str">
        <f aca="false">IF(COUNTIFS(案件一覧!$N$3:$N$62,C$3,案件一覧!$E$3:$E$62,"&lt;="&amp;$A104,案件一覧!$F$3:$F$62,"&gt;"&amp;$A104,案件一覧!$C$3:$C$62,"&lt;&gt;キャンセル")=0,"",INDEX(案件一覧!$J$3:$J$62,MATCH(1,INDEX((案件一覧!$N$3:$N$62=C$3)*(案件一覧!$E$3:$E$62&lt;=$A104)*(案件一覧!$F$3:$F$62&gt;$A104)*(案件一覧!$C$3:$C$62&lt;&gt;"キャンセル"),0),0))&amp;IF(COUNTIFS(案件一覧!$N$3:$N$62,C$3,案件一覧!$E$3:$E$62,"&lt;="&amp;$A104,案件一覧!$F$3:$F$62,"&gt;"&amp;$A104,案件一覧!$C$3:$C$62,"&lt;&gt;キャンセル")&gt;1," ◆重複!",""))</f>
        <v/>
      </c>
      <c r="D104" s="18" t="str">
        <f aca="false">IF(COUNTIFS(案件一覧!$N$3:$N$62,D$3,案件一覧!$E$3:$E$62,"&lt;="&amp;$A104,案件一覧!$F$3:$F$62,"&gt;"&amp;$A104,案件一覧!$C$3:$C$62,"&lt;&gt;キャンセル")=0,"",INDEX(案件一覧!$J$3:$J$62,MATCH(1,INDEX((案件一覧!$N$3:$N$62=D$3)*(案件一覧!$E$3:$E$62&lt;=$A104)*(案件一覧!$F$3:$F$62&gt;$A104)*(案件一覧!$C$3:$C$62&lt;&gt;"キャンセル"),0),0))&amp;IF(COUNTIFS(案件一覧!$N$3:$N$62,D$3,案件一覧!$E$3:$E$62,"&lt;="&amp;$A104,案件一覧!$F$3:$F$62,"&gt;"&amp;$A104,案件一覧!$C$3:$C$62,"&lt;&gt;キャンセル")&gt;1," ◆重複!",""))</f>
        <v/>
      </c>
      <c r="E104" s="18" t="str">
        <f aca="false">IF(COUNTIFS(案件一覧!$N$3:$N$62,E$3,案件一覧!$E$3:$E$62,"&lt;="&amp;$A104,案件一覧!$F$3:$F$62,"&gt;"&amp;$A104,案件一覧!$C$3:$C$62,"&lt;&gt;キャンセル")=0,"",INDEX(案件一覧!$J$3:$J$62,MATCH(1,INDEX((案件一覧!$N$3:$N$62=E$3)*(案件一覧!$E$3:$E$62&lt;=$A104)*(案件一覧!$F$3:$F$62&gt;$A104)*(案件一覧!$C$3:$C$62&lt;&gt;"キャンセル"),0),0))&amp;IF(COUNTIFS(案件一覧!$N$3:$N$62,E$3,案件一覧!$E$3:$E$62,"&lt;="&amp;$A104,案件一覧!$F$3:$F$62,"&gt;"&amp;$A104,案件一覧!$C$3:$C$62,"&lt;&gt;キャンセル")&gt;1," ◆重複!",""))</f>
        <v/>
      </c>
      <c r="F104" s="18" t="str">
        <f aca="false">IF(COUNTIFS(案件一覧!$N$3:$N$62,F$3,案件一覧!$E$3:$E$62,"&lt;="&amp;$A104,案件一覧!$F$3:$F$62,"&gt;"&amp;$A104,案件一覧!$C$3:$C$62,"&lt;&gt;キャンセル")=0,"",INDEX(案件一覧!$J$3:$J$62,MATCH(1,INDEX((案件一覧!$N$3:$N$62=F$3)*(案件一覧!$E$3:$E$62&lt;=$A104)*(案件一覧!$F$3:$F$62&gt;$A104)*(案件一覧!$C$3:$C$62&lt;&gt;"キャンセル"),0),0))&amp;IF(COUNTIFS(案件一覧!$N$3:$N$62,F$3,案件一覧!$E$3:$E$62,"&lt;="&amp;$A104,案件一覧!$F$3:$F$62,"&gt;"&amp;$A104,案件一覧!$C$3:$C$62,"&lt;&gt;キャンセル")&gt;1," ◆重複!",""))</f>
        <v/>
      </c>
      <c r="G104" s="18" t="str">
        <f aca="false">IF(COUNTIFS(案件一覧!$N$3:$N$62,G$3,案件一覧!$E$3:$E$62,"&lt;="&amp;$A104,案件一覧!$F$3:$F$62,"&gt;"&amp;$A104,案件一覧!$C$3:$C$62,"&lt;&gt;キャンセル")=0,"",INDEX(案件一覧!$J$3:$J$62,MATCH(1,INDEX((案件一覧!$N$3:$N$62=G$3)*(案件一覧!$E$3:$E$62&lt;=$A104)*(案件一覧!$F$3:$F$62&gt;$A104)*(案件一覧!$C$3:$C$62&lt;&gt;"キャンセル"),0),0))&amp;IF(COUNTIFS(案件一覧!$N$3:$N$62,G$3,案件一覧!$E$3:$E$62,"&lt;="&amp;$A104,案件一覧!$F$3:$F$62,"&gt;"&amp;$A104,案件一覧!$C$3:$C$62,"&lt;&gt;キャンセル")&gt;1," ◆重複!",""))</f>
        <v/>
      </c>
      <c r="H104" s="18" t="str">
        <f aca="false">IF(COUNTIFS(案件一覧!$N$3:$N$62,H$3,案件一覧!$E$3:$E$62,"&lt;="&amp;$A104,案件一覧!$F$3:$F$62,"&gt;"&amp;$A104,案件一覧!$C$3:$C$62,"&lt;&gt;キャンセル")=0,"",INDEX(案件一覧!$J$3:$J$62,MATCH(1,INDEX((案件一覧!$N$3:$N$62=H$3)*(案件一覧!$E$3:$E$62&lt;=$A104)*(案件一覧!$F$3:$F$62&gt;$A104)*(案件一覧!$C$3:$C$62&lt;&gt;"キャンセル"),0),0))&amp;IF(COUNTIFS(案件一覧!$N$3:$N$62,H$3,案件一覧!$E$3:$E$62,"&lt;="&amp;$A104,案件一覧!$F$3:$F$62,"&gt;"&amp;$A104,案件一覧!$C$3:$C$62,"&lt;&gt;キャンセル")&gt;1," ◆重複!",""))</f>
        <v/>
      </c>
    </row>
    <row r="105" customFormat="false" ht="15" hidden="false" customHeight="false" outlineLevel="0" collapsed="false">
      <c r="A105" s="19" t="n">
        <v>46305</v>
      </c>
      <c r="B105" s="20" t="s">
        <v>45</v>
      </c>
      <c r="C105" s="21" t="str">
        <f aca="false">IF(COUNTIFS(案件一覧!$N$3:$N$62,C$3,案件一覧!$E$3:$E$62,"&lt;="&amp;$A105,案件一覧!$F$3:$F$62,"&gt;"&amp;$A105,案件一覧!$C$3:$C$62,"&lt;&gt;キャンセル")=0,"",INDEX(案件一覧!$J$3:$J$62,MATCH(1,INDEX((案件一覧!$N$3:$N$62=C$3)*(案件一覧!$E$3:$E$62&lt;=$A105)*(案件一覧!$F$3:$F$62&gt;$A105)*(案件一覧!$C$3:$C$62&lt;&gt;"キャンセル"),0),0))&amp;IF(COUNTIFS(案件一覧!$N$3:$N$62,C$3,案件一覧!$E$3:$E$62,"&lt;="&amp;$A105,案件一覧!$F$3:$F$62,"&gt;"&amp;$A105,案件一覧!$C$3:$C$62,"&lt;&gt;キャンセル")&gt;1," ◆重複!",""))</f>
        <v/>
      </c>
      <c r="D105" s="21" t="str">
        <f aca="false">IF(COUNTIFS(案件一覧!$N$3:$N$62,D$3,案件一覧!$E$3:$E$62,"&lt;="&amp;$A105,案件一覧!$F$3:$F$62,"&gt;"&amp;$A105,案件一覧!$C$3:$C$62,"&lt;&gt;キャンセル")=0,"",INDEX(案件一覧!$J$3:$J$62,MATCH(1,INDEX((案件一覧!$N$3:$N$62=D$3)*(案件一覧!$E$3:$E$62&lt;=$A105)*(案件一覧!$F$3:$F$62&gt;$A105)*(案件一覧!$C$3:$C$62&lt;&gt;"キャンセル"),0),0))&amp;IF(COUNTIFS(案件一覧!$N$3:$N$62,D$3,案件一覧!$E$3:$E$62,"&lt;="&amp;$A105,案件一覧!$F$3:$F$62,"&gt;"&amp;$A105,案件一覧!$C$3:$C$62,"&lt;&gt;キャンセル")&gt;1," ◆重複!",""))</f>
        <v/>
      </c>
      <c r="E105" s="21" t="str">
        <f aca="false">IF(COUNTIFS(案件一覧!$N$3:$N$62,E$3,案件一覧!$E$3:$E$62,"&lt;="&amp;$A105,案件一覧!$F$3:$F$62,"&gt;"&amp;$A105,案件一覧!$C$3:$C$62,"&lt;&gt;キャンセル")=0,"",INDEX(案件一覧!$J$3:$J$62,MATCH(1,INDEX((案件一覧!$N$3:$N$62=E$3)*(案件一覧!$E$3:$E$62&lt;=$A105)*(案件一覧!$F$3:$F$62&gt;$A105)*(案件一覧!$C$3:$C$62&lt;&gt;"キャンセル"),0),0))&amp;IF(COUNTIFS(案件一覧!$N$3:$N$62,E$3,案件一覧!$E$3:$E$62,"&lt;="&amp;$A105,案件一覧!$F$3:$F$62,"&gt;"&amp;$A105,案件一覧!$C$3:$C$62,"&lt;&gt;キャンセル")&gt;1," ◆重複!",""))</f>
        <v/>
      </c>
      <c r="F105" s="21" t="str">
        <f aca="false">IF(COUNTIFS(案件一覧!$N$3:$N$62,F$3,案件一覧!$E$3:$E$62,"&lt;="&amp;$A105,案件一覧!$F$3:$F$62,"&gt;"&amp;$A105,案件一覧!$C$3:$C$62,"&lt;&gt;キャンセル")=0,"",INDEX(案件一覧!$J$3:$J$62,MATCH(1,INDEX((案件一覧!$N$3:$N$62=F$3)*(案件一覧!$E$3:$E$62&lt;=$A105)*(案件一覧!$F$3:$F$62&gt;$A105)*(案件一覧!$C$3:$C$62&lt;&gt;"キャンセル"),0),0))&amp;IF(COUNTIFS(案件一覧!$N$3:$N$62,F$3,案件一覧!$E$3:$E$62,"&lt;="&amp;$A105,案件一覧!$F$3:$F$62,"&gt;"&amp;$A105,案件一覧!$C$3:$C$62,"&lt;&gt;キャンセル")&gt;1," ◆重複!",""))</f>
        <v/>
      </c>
      <c r="G105" s="21" t="str">
        <f aca="false">IF(COUNTIFS(案件一覧!$N$3:$N$62,G$3,案件一覧!$E$3:$E$62,"&lt;="&amp;$A105,案件一覧!$F$3:$F$62,"&gt;"&amp;$A105,案件一覧!$C$3:$C$62,"&lt;&gt;キャンセル")=0,"",INDEX(案件一覧!$J$3:$J$62,MATCH(1,INDEX((案件一覧!$N$3:$N$62=G$3)*(案件一覧!$E$3:$E$62&lt;=$A105)*(案件一覧!$F$3:$F$62&gt;$A105)*(案件一覧!$C$3:$C$62&lt;&gt;"キャンセル"),0),0))&amp;IF(COUNTIFS(案件一覧!$N$3:$N$62,G$3,案件一覧!$E$3:$E$62,"&lt;="&amp;$A105,案件一覧!$F$3:$F$62,"&gt;"&amp;$A105,案件一覧!$C$3:$C$62,"&lt;&gt;キャンセル")&gt;1," ◆重複!",""))</f>
        <v/>
      </c>
      <c r="H105" s="21" t="str">
        <f aca="false">IF(COUNTIFS(案件一覧!$N$3:$N$62,H$3,案件一覧!$E$3:$E$62,"&lt;="&amp;$A105,案件一覧!$F$3:$F$62,"&gt;"&amp;$A105,案件一覧!$C$3:$C$62,"&lt;&gt;キャンセル")=0,"",INDEX(案件一覧!$J$3:$J$62,MATCH(1,INDEX((案件一覧!$N$3:$N$62=H$3)*(案件一覧!$E$3:$E$62&lt;=$A105)*(案件一覧!$F$3:$F$62&gt;$A105)*(案件一覧!$C$3:$C$62&lt;&gt;"キャンセル"),0),0))&amp;IF(COUNTIFS(案件一覧!$N$3:$N$62,H$3,案件一覧!$E$3:$E$62,"&lt;="&amp;$A105,案件一覧!$F$3:$F$62,"&gt;"&amp;$A105,案件一覧!$C$3:$C$62,"&lt;&gt;キャンセル")&gt;1," ◆重複!",""))</f>
        <v/>
      </c>
    </row>
    <row r="106" customFormat="false" ht="15" hidden="false" customHeight="false" outlineLevel="0" collapsed="false">
      <c r="A106" s="22" t="n">
        <v>46306</v>
      </c>
      <c r="B106" s="23" t="s">
        <v>46</v>
      </c>
      <c r="C106" s="24" t="str">
        <f aca="false">IF(COUNTIFS(案件一覧!$N$3:$N$62,C$3,案件一覧!$E$3:$E$62,"&lt;="&amp;$A106,案件一覧!$F$3:$F$62,"&gt;"&amp;$A106,案件一覧!$C$3:$C$62,"&lt;&gt;キャンセル")=0,"",INDEX(案件一覧!$J$3:$J$62,MATCH(1,INDEX((案件一覧!$N$3:$N$62=C$3)*(案件一覧!$E$3:$E$62&lt;=$A106)*(案件一覧!$F$3:$F$62&gt;$A106)*(案件一覧!$C$3:$C$62&lt;&gt;"キャンセル"),0),0))&amp;IF(COUNTIFS(案件一覧!$N$3:$N$62,C$3,案件一覧!$E$3:$E$62,"&lt;="&amp;$A106,案件一覧!$F$3:$F$62,"&gt;"&amp;$A106,案件一覧!$C$3:$C$62,"&lt;&gt;キャンセル")&gt;1," ◆重複!",""))</f>
        <v/>
      </c>
      <c r="D106" s="24" t="str">
        <f aca="false">IF(COUNTIFS(案件一覧!$N$3:$N$62,D$3,案件一覧!$E$3:$E$62,"&lt;="&amp;$A106,案件一覧!$F$3:$F$62,"&gt;"&amp;$A106,案件一覧!$C$3:$C$62,"&lt;&gt;キャンセル")=0,"",INDEX(案件一覧!$J$3:$J$62,MATCH(1,INDEX((案件一覧!$N$3:$N$62=D$3)*(案件一覧!$E$3:$E$62&lt;=$A106)*(案件一覧!$F$3:$F$62&gt;$A106)*(案件一覧!$C$3:$C$62&lt;&gt;"キャンセル"),0),0))&amp;IF(COUNTIFS(案件一覧!$N$3:$N$62,D$3,案件一覧!$E$3:$E$62,"&lt;="&amp;$A106,案件一覧!$F$3:$F$62,"&gt;"&amp;$A106,案件一覧!$C$3:$C$62,"&lt;&gt;キャンセル")&gt;1," ◆重複!",""))</f>
        <v/>
      </c>
      <c r="E106" s="24" t="str">
        <f aca="false">IF(COUNTIFS(案件一覧!$N$3:$N$62,E$3,案件一覧!$E$3:$E$62,"&lt;="&amp;$A106,案件一覧!$F$3:$F$62,"&gt;"&amp;$A106,案件一覧!$C$3:$C$62,"&lt;&gt;キャンセル")=0,"",INDEX(案件一覧!$J$3:$J$62,MATCH(1,INDEX((案件一覧!$N$3:$N$62=E$3)*(案件一覧!$E$3:$E$62&lt;=$A106)*(案件一覧!$F$3:$F$62&gt;$A106)*(案件一覧!$C$3:$C$62&lt;&gt;"キャンセル"),0),0))&amp;IF(COUNTIFS(案件一覧!$N$3:$N$62,E$3,案件一覧!$E$3:$E$62,"&lt;="&amp;$A106,案件一覧!$F$3:$F$62,"&gt;"&amp;$A106,案件一覧!$C$3:$C$62,"&lt;&gt;キャンセル")&gt;1," ◆重複!",""))</f>
        <v/>
      </c>
      <c r="F106" s="24" t="str">
        <f aca="false">IF(COUNTIFS(案件一覧!$N$3:$N$62,F$3,案件一覧!$E$3:$E$62,"&lt;="&amp;$A106,案件一覧!$F$3:$F$62,"&gt;"&amp;$A106,案件一覧!$C$3:$C$62,"&lt;&gt;キャンセル")=0,"",INDEX(案件一覧!$J$3:$J$62,MATCH(1,INDEX((案件一覧!$N$3:$N$62=F$3)*(案件一覧!$E$3:$E$62&lt;=$A106)*(案件一覧!$F$3:$F$62&gt;$A106)*(案件一覧!$C$3:$C$62&lt;&gt;"キャンセル"),0),0))&amp;IF(COUNTIFS(案件一覧!$N$3:$N$62,F$3,案件一覧!$E$3:$E$62,"&lt;="&amp;$A106,案件一覧!$F$3:$F$62,"&gt;"&amp;$A106,案件一覧!$C$3:$C$62,"&lt;&gt;キャンセル")&gt;1," ◆重複!",""))</f>
        <v/>
      </c>
      <c r="G106" s="24" t="str">
        <f aca="false">IF(COUNTIFS(案件一覧!$N$3:$N$62,G$3,案件一覧!$E$3:$E$62,"&lt;="&amp;$A106,案件一覧!$F$3:$F$62,"&gt;"&amp;$A106,案件一覧!$C$3:$C$62,"&lt;&gt;キャンセル")=0,"",INDEX(案件一覧!$J$3:$J$62,MATCH(1,INDEX((案件一覧!$N$3:$N$62=G$3)*(案件一覧!$E$3:$E$62&lt;=$A106)*(案件一覧!$F$3:$F$62&gt;$A106)*(案件一覧!$C$3:$C$62&lt;&gt;"キャンセル"),0),0))&amp;IF(COUNTIFS(案件一覧!$N$3:$N$62,G$3,案件一覧!$E$3:$E$62,"&lt;="&amp;$A106,案件一覧!$F$3:$F$62,"&gt;"&amp;$A106,案件一覧!$C$3:$C$62,"&lt;&gt;キャンセル")&gt;1," ◆重複!",""))</f>
        <v/>
      </c>
      <c r="H106" s="24" t="str">
        <f aca="false">IF(COUNTIFS(案件一覧!$N$3:$N$62,H$3,案件一覧!$E$3:$E$62,"&lt;="&amp;$A106,案件一覧!$F$3:$F$62,"&gt;"&amp;$A106,案件一覧!$C$3:$C$62,"&lt;&gt;キャンセル")=0,"",INDEX(案件一覧!$J$3:$J$62,MATCH(1,INDEX((案件一覧!$N$3:$N$62=H$3)*(案件一覧!$E$3:$E$62&lt;=$A106)*(案件一覧!$F$3:$F$62&gt;$A106)*(案件一覧!$C$3:$C$62&lt;&gt;"キャンセル"),0),0))&amp;IF(COUNTIFS(案件一覧!$N$3:$N$62,H$3,案件一覧!$E$3:$E$62,"&lt;="&amp;$A106,案件一覧!$F$3:$F$62,"&gt;"&amp;$A106,案件一覧!$C$3:$C$62,"&lt;&gt;キャンセル")&gt;1," ◆重複!",""))</f>
        <v/>
      </c>
    </row>
    <row r="107" customFormat="false" ht="15" hidden="false" customHeight="false" outlineLevel="0" collapsed="false">
      <c r="A107" s="16" t="n">
        <v>46307</v>
      </c>
      <c r="B107" s="17" t="s">
        <v>47</v>
      </c>
      <c r="C107" s="18" t="str">
        <f aca="false">IF(COUNTIFS(案件一覧!$N$3:$N$62,C$3,案件一覧!$E$3:$E$62,"&lt;="&amp;$A107,案件一覧!$F$3:$F$62,"&gt;"&amp;$A107,案件一覧!$C$3:$C$62,"&lt;&gt;キャンセル")=0,"",INDEX(案件一覧!$J$3:$J$62,MATCH(1,INDEX((案件一覧!$N$3:$N$62=C$3)*(案件一覧!$E$3:$E$62&lt;=$A107)*(案件一覧!$F$3:$F$62&gt;$A107)*(案件一覧!$C$3:$C$62&lt;&gt;"キャンセル"),0),0))&amp;IF(COUNTIFS(案件一覧!$N$3:$N$62,C$3,案件一覧!$E$3:$E$62,"&lt;="&amp;$A107,案件一覧!$F$3:$F$62,"&gt;"&amp;$A107,案件一覧!$C$3:$C$62,"&lt;&gt;キャンセル")&gt;1," ◆重複!",""))</f>
        <v/>
      </c>
      <c r="D107" s="18" t="str">
        <f aca="false">IF(COUNTIFS(案件一覧!$N$3:$N$62,D$3,案件一覧!$E$3:$E$62,"&lt;="&amp;$A107,案件一覧!$F$3:$F$62,"&gt;"&amp;$A107,案件一覧!$C$3:$C$62,"&lt;&gt;キャンセル")=0,"",INDEX(案件一覧!$J$3:$J$62,MATCH(1,INDEX((案件一覧!$N$3:$N$62=D$3)*(案件一覧!$E$3:$E$62&lt;=$A107)*(案件一覧!$F$3:$F$62&gt;$A107)*(案件一覧!$C$3:$C$62&lt;&gt;"キャンセル"),0),0))&amp;IF(COUNTIFS(案件一覧!$N$3:$N$62,D$3,案件一覧!$E$3:$E$62,"&lt;="&amp;$A107,案件一覧!$F$3:$F$62,"&gt;"&amp;$A107,案件一覧!$C$3:$C$62,"&lt;&gt;キャンセル")&gt;1," ◆重複!",""))</f>
        <v/>
      </c>
      <c r="E107" s="18" t="str">
        <f aca="false">IF(COUNTIFS(案件一覧!$N$3:$N$62,E$3,案件一覧!$E$3:$E$62,"&lt;="&amp;$A107,案件一覧!$F$3:$F$62,"&gt;"&amp;$A107,案件一覧!$C$3:$C$62,"&lt;&gt;キャンセル")=0,"",INDEX(案件一覧!$J$3:$J$62,MATCH(1,INDEX((案件一覧!$N$3:$N$62=E$3)*(案件一覧!$E$3:$E$62&lt;=$A107)*(案件一覧!$F$3:$F$62&gt;$A107)*(案件一覧!$C$3:$C$62&lt;&gt;"キャンセル"),0),0))&amp;IF(COUNTIFS(案件一覧!$N$3:$N$62,E$3,案件一覧!$E$3:$E$62,"&lt;="&amp;$A107,案件一覧!$F$3:$F$62,"&gt;"&amp;$A107,案件一覧!$C$3:$C$62,"&lt;&gt;キャンセル")&gt;1," ◆重複!",""))</f>
        <v/>
      </c>
      <c r="F107" s="18" t="str">
        <f aca="false">IF(COUNTIFS(案件一覧!$N$3:$N$62,F$3,案件一覧!$E$3:$E$62,"&lt;="&amp;$A107,案件一覧!$F$3:$F$62,"&gt;"&amp;$A107,案件一覧!$C$3:$C$62,"&lt;&gt;キャンセル")=0,"",INDEX(案件一覧!$J$3:$J$62,MATCH(1,INDEX((案件一覧!$N$3:$N$62=F$3)*(案件一覧!$E$3:$E$62&lt;=$A107)*(案件一覧!$F$3:$F$62&gt;$A107)*(案件一覧!$C$3:$C$62&lt;&gt;"キャンセル"),0),0))&amp;IF(COUNTIFS(案件一覧!$N$3:$N$62,F$3,案件一覧!$E$3:$E$62,"&lt;="&amp;$A107,案件一覧!$F$3:$F$62,"&gt;"&amp;$A107,案件一覧!$C$3:$C$62,"&lt;&gt;キャンセル")&gt;1," ◆重複!",""))</f>
        <v/>
      </c>
      <c r="G107" s="18" t="str">
        <f aca="false">IF(COUNTIFS(案件一覧!$N$3:$N$62,G$3,案件一覧!$E$3:$E$62,"&lt;="&amp;$A107,案件一覧!$F$3:$F$62,"&gt;"&amp;$A107,案件一覧!$C$3:$C$62,"&lt;&gt;キャンセル")=0,"",INDEX(案件一覧!$J$3:$J$62,MATCH(1,INDEX((案件一覧!$N$3:$N$62=G$3)*(案件一覧!$E$3:$E$62&lt;=$A107)*(案件一覧!$F$3:$F$62&gt;$A107)*(案件一覧!$C$3:$C$62&lt;&gt;"キャンセル"),0),0))&amp;IF(COUNTIFS(案件一覧!$N$3:$N$62,G$3,案件一覧!$E$3:$E$62,"&lt;="&amp;$A107,案件一覧!$F$3:$F$62,"&gt;"&amp;$A107,案件一覧!$C$3:$C$62,"&lt;&gt;キャンセル")&gt;1," ◆重複!",""))</f>
        <v/>
      </c>
      <c r="H107" s="18" t="str">
        <f aca="false">IF(COUNTIFS(案件一覧!$N$3:$N$62,H$3,案件一覧!$E$3:$E$62,"&lt;="&amp;$A107,案件一覧!$F$3:$F$62,"&gt;"&amp;$A107,案件一覧!$C$3:$C$62,"&lt;&gt;キャンセル")=0,"",INDEX(案件一覧!$J$3:$J$62,MATCH(1,INDEX((案件一覧!$N$3:$N$62=H$3)*(案件一覧!$E$3:$E$62&lt;=$A107)*(案件一覧!$F$3:$F$62&gt;$A107)*(案件一覧!$C$3:$C$62&lt;&gt;"キャンセル"),0),0))&amp;IF(COUNTIFS(案件一覧!$N$3:$N$62,H$3,案件一覧!$E$3:$E$62,"&lt;="&amp;$A107,案件一覧!$F$3:$F$62,"&gt;"&amp;$A107,案件一覧!$C$3:$C$62,"&lt;&gt;キャンセル")&gt;1," ◆重複!",""))</f>
        <v/>
      </c>
    </row>
    <row r="108" customFormat="false" ht="15" hidden="false" customHeight="false" outlineLevel="0" collapsed="false">
      <c r="A108" s="16" t="n">
        <v>46308</v>
      </c>
      <c r="B108" s="17" t="s">
        <v>48</v>
      </c>
      <c r="C108" s="18" t="str">
        <f aca="false">IF(COUNTIFS(案件一覧!$N$3:$N$62,C$3,案件一覧!$E$3:$E$62,"&lt;="&amp;$A108,案件一覧!$F$3:$F$62,"&gt;"&amp;$A108,案件一覧!$C$3:$C$62,"&lt;&gt;キャンセル")=0,"",INDEX(案件一覧!$J$3:$J$62,MATCH(1,INDEX((案件一覧!$N$3:$N$62=C$3)*(案件一覧!$E$3:$E$62&lt;=$A108)*(案件一覧!$F$3:$F$62&gt;$A108)*(案件一覧!$C$3:$C$62&lt;&gt;"キャンセル"),0),0))&amp;IF(COUNTIFS(案件一覧!$N$3:$N$62,C$3,案件一覧!$E$3:$E$62,"&lt;="&amp;$A108,案件一覧!$F$3:$F$62,"&gt;"&amp;$A108,案件一覧!$C$3:$C$62,"&lt;&gt;キャンセル")&gt;1," ◆重複!",""))</f>
        <v/>
      </c>
      <c r="D108" s="18" t="str">
        <f aca="false">IF(COUNTIFS(案件一覧!$N$3:$N$62,D$3,案件一覧!$E$3:$E$62,"&lt;="&amp;$A108,案件一覧!$F$3:$F$62,"&gt;"&amp;$A108,案件一覧!$C$3:$C$62,"&lt;&gt;キャンセル")=0,"",INDEX(案件一覧!$J$3:$J$62,MATCH(1,INDEX((案件一覧!$N$3:$N$62=D$3)*(案件一覧!$E$3:$E$62&lt;=$A108)*(案件一覧!$F$3:$F$62&gt;$A108)*(案件一覧!$C$3:$C$62&lt;&gt;"キャンセル"),0),0))&amp;IF(COUNTIFS(案件一覧!$N$3:$N$62,D$3,案件一覧!$E$3:$E$62,"&lt;="&amp;$A108,案件一覧!$F$3:$F$62,"&gt;"&amp;$A108,案件一覧!$C$3:$C$62,"&lt;&gt;キャンセル")&gt;1," ◆重複!",""))</f>
        <v/>
      </c>
      <c r="E108" s="18" t="str">
        <f aca="false">IF(COUNTIFS(案件一覧!$N$3:$N$62,E$3,案件一覧!$E$3:$E$62,"&lt;="&amp;$A108,案件一覧!$F$3:$F$62,"&gt;"&amp;$A108,案件一覧!$C$3:$C$62,"&lt;&gt;キャンセル")=0,"",INDEX(案件一覧!$J$3:$J$62,MATCH(1,INDEX((案件一覧!$N$3:$N$62=E$3)*(案件一覧!$E$3:$E$62&lt;=$A108)*(案件一覧!$F$3:$F$62&gt;$A108)*(案件一覧!$C$3:$C$62&lt;&gt;"キャンセル"),0),0))&amp;IF(COUNTIFS(案件一覧!$N$3:$N$62,E$3,案件一覧!$E$3:$E$62,"&lt;="&amp;$A108,案件一覧!$F$3:$F$62,"&gt;"&amp;$A108,案件一覧!$C$3:$C$62,"&lt;&gt;キャンセル")&gt;1," ◆重複!",""))</f>
        <v/>
      </c>
      <c r="F108" s="18" t="str">
        <f aca="false">IF(COUNTIFS(案件一覧!$N$3:$N$62,F$3,案件一覧!$E$3:$E$62,"&lt;="&amp;$A108,案件一覧!$F$3:$F$62,"&gt;"&amp;$A108,案件一覧!$C$3:$C$62,"&lt;&gt;キャンセル")=0,"",INDEX(案件一覧!$J$3:$J$62,MATCH(1,INDEX((案件一覧!$N$3:$N$62=F$3)*(案件一覧!$E$3:$E$62&lt;=$A108)*(案件一覧!$F$3:$F$62&gt;$A108)*(案件一覧!$C$3:$C$62&lt;&gt;"キャンセル"),0),0))&amp;IF(COUNTIFS(案件一覧!$N$3:$N$62,F$3,案件一覧!$E$3:$E$62,"&lt;="&amp;$A108,案件一覧!$F$3:$F$62,"&gt;"&amp;$A108,案件一覧!$C$3:$C$62,"&lt;&gt;キャンセル")&gt;1," ◆重複!",""))</f>
        <v/>
      </c>
      <c r="G108" s="18" t="str">
        <f aca="false">IF(COUNTIFS(案件一覧!$N$3:$N$62,G$3,案件一覧!$E$3:$E$62,"&lt;="&amp;$A108,案件一覧!$F$3:$F$62,"&gt;"&amp;$A108,案件一覧!$C$3:$C$62,"&lt;&gt;キャンセル")=0,"",INDEX(案件一覧!$J$3:$J$62,MATCH(1,INDEX((案件一覧!$N$3:$N$62=G$3)*(案件一覧!$E$3:$E$62&lt;=$A108)*(案件一覧!$F$3:$F$62&gt;$A108)*(案件一覧!$C$3:$C$62&lt;&gt;"キャンセル"),0),0))&amp;IF(COUNTIFS(案件一覧!$N$3:$N$62,G$3,案件一覧!$E$3:$E$62,"&lt;="&amp;$A108,案件一覧!$F$3:$F$62,"&gt;"&amp;$A108,案件一覧!$C$3:$C$62,"&lt;&gt;キャンセル")&gt;1," ◆重複!",""))</f>
        <v/>
      </c>
      <c r="H108" s="18" t="str">
        <f aca="false">IF(COUNTIFS(案件一覧!$N$3:$N$62,H$3,案件一覧!$E$3:$E$62,"&lt;="&amp;$A108,案件一覧!$F$3:$F$62,"&gt;"&amp;$A108,案件一覧!$C$3:$C$62,"&lt;&gt;キャンセル")=0,"",INDEX(案件一覧!$J$3:$J$62,MATCH(1,INDEX((案件一覧!$N$3:$N$62=H$3)*(案件一覧!$E$3:$E$62&lt;=$A108)*(案件一覧!$F$3:$F$62&gt;$A108)*(案件一覧!$C$3:$C$62&lt;&gt;"キャンセル"),0),0))&amp;IF(COUNTIFS(案件一覧!$N$3:$N$62,H$3,案件一覧!$E$3:$E$62,"&lt;="&amp;$A108,案件一覧!$F$3:$F$62,"&gt;"&amp;$A108,案件一覧!$C$3:$C$62,"&lt;&gt;キャンセル")&gt;1," ◆重複!",""))</f>
        <v/>
      </c>
    </row>
    <row r="109" customFormat="false" ht="15" hidden="false" customHeight="false" outlineLevel="0" collapsed="false">
      <c r="A109" s="16" t="n">
        <v>46309</v>
      </c>
      <c r="B109" s="17" t="s">
        <v>42</v>
      </c>
      <c r="C109" s="18" t="str">
        <f aca="false">IF(COUNTIFS(案件一覧!$N$3:$N$62,C$3,案件一覧!$E$3:$E$62,"&lt;="&amp;$A109,案件一覧!$F$3:$F$62,"&gt;"&amp;$A109,案件一覧!$C$3:$C$62,"&lt;&gt;キャンセル")=0,"",INDEX(案件一覧!$J$3:$J$62,MATCH(1,INDEX((案件一覧!$N$3:$N$62=C$3)*(案件一覧!$E$3:$E$62&lt;=$A109)*(案件一覧!$F$3:$F$62&gt;$A109)*(案件一覧!$C$3:$C$62&lt;&gt;"キャンセル"),0),0))&amp;IF(COUNTIFS(案件一覧!$N$3:$N$62,C$3,案件一覧!$E$3:$E$62,"&lt;="&amp;$A109,案件一覧!$F$3:$F$62,"&gt;"&amp;$A109,案件一覧!$C$3:$C$62,"&lt;&gt;キャンセル")&gt;1," ◆重複!",""))</f>
        <v/>
      </c>
      <c r="D109" s="18" t="str">
        <f aca="false">IF(COUNTIFS(案件一覧!$N$3:$N$62,D$3,案件一覧!$E$3:$E$62,"&lt;="&amp;$A109,案件一覧!$F$3:$F$62,"&gt;"&amp;$A109,案件一覧!$C$3:$C$62,"&lt;&gt;キャンセル")=0,"",INDEX(案件一覧!$J$3:$J$62,MATCH(1,INDEX((案件一覧!$N$3:$N$62=D$3)*(案件一覧!$E$3:$E$62&lt;=$A109)*(案件一覧!$F$3:$F$62&gt;$A109)*(案件一覧!$C$3:$C$62&lt;&gt;"キャンセル"),0),0))&amp;IF(COUNTIFS(案件一覧!$N$3:$N$62,D$3,案件一覧!$E$3:$E$62,"&lt;="&amp;$A109,案件一覧!$F$3:$F$62,"&gt;"&amp;$A109,案件一覧!$C$3:$C$62,"&lt;&gt;キャンセル")&gt;1," ◆重複!",""))</f>
        <v/>
      </c>
      <c r="E109" s="18" t="str">
        <f aca="false">IF(COUNTIFS(案件一覧!$N$3:$N$62,E$3,案件一覧!$E$3:$E$62,"&lt;="&amp;$A109,案件一覧!$F$3:$F$62,"&gt;"&amp;$A109,案件一覧!$C$3:$C$62,"&lt;&gt;キャンセル")=0,"",INDEX(案件一覧!$J$3:$J$62,MATCH(1,INDEX((案件一覧!$N$3:$N$62=E$3)*(案件一覧!$E$3:$E$62&lt;=$A109)*(案件一覧!$F$3:$F$62&gt;$A109)*(案件一覧!$C$3:$C$62&lt;&gt;"キャンセル"),0),0))&amp;IF(COUNTIFS(案件一覧!$N$3:$N$62,E$3,案件一覧!$E$3:$E$62,"&lt;="&amp;$A109,案件一覧!$F$3:$F$62,"&gt;"&amp;$A109,案件一覧!$C$3:$C$62,"&lt;&gt;キャンセル")&gt;1," ◆重複!",""))</f>
        <v/>
      </c>
      <c r="F109" s="18" t="str">
        <f aca="false">IF(COUNTIFS(案件一覧!$N$3:$N$62,F$3,案件一覧!$E$3:$E$62,"&lt;="&amp;$A109,案件一覧!$F$3:$F$62,"&gt;"&amp;$A109,案件一覧!$C$3:$C$62,"&lt;&gt;キャンセル")=0,"",INDEX(案件一覧!$J$3:$J$62,MATCH(1,INDEX((案件一覧!$N$3:$N$62=F$3)*(案件一覧!$E$3:$E$62&lt;=$A109)*(案件一覧!$F$3:$F$62&gt;$A109)*(案件一覧!$C$3:$C$62&lt;&gt;"キャンセル"),0),0))&amp;IF(COUNTIFS(案件一覧!$N$3:$N$62,F$3,案件一覧!$E$3:$E$62,"&lt;="&amp;$A109,案件一覧!$F$3:$F$62,"&gt;"&amp;$A109,案件一覧!$C$3:$C$62,"&lt;&gt;キャンセル")&gt;1," ◆重複!",""))</f>
        <v/>
      </c>
      <c r="G109" s="18" t="str">
        <f aca="false">IF(COUNTIFS(案件一覧!$N$3:$N$62,G$3,案件一覧!$E$3:$E$62,"&lt;="&amp;$A109,案件一覧!$F$3:$F$62,"&gt;"&amp;$A109,案件一覧!$C$3:$C$62,"&lt;&gt;キャンセル")=0,"",INDEX(案件一覧!$J$3:$J$62,MATCH(1,INDEX((案件一覧!$N$3:$N$62=G$3)*(案件一覧!$E$3:$E$62&lt;=$A109)*(案件一覧!$F$3:$F$62&gt;$A109)*(案件一覧!$C$3:$C$62&lt;&gt;"キャンセル"),0),0))&amp;IF(COUNTIFS(案件一覧!$N$3:$N$62,G$3,案件一覧!$E$3:$E$62,"&lt;="&amp;$A109,案件一覧!$F$3:$F$62,"&gt;"&amp;$A109,案件一覧!$C$3:$C$62,"&lt;&gt;キャンセル")&gt;1," ◆重複!",""))</f>
        <v/>
      </c>
      <c r="H109" s="18" t="str">
        <f aca="false">IF(COUNTIFS(案件一覧!$N$3:$N$62,H$3,案件一覧!$E$3:$E$62,"&lt;="&amp;$A109,案件一覧!$F$3:$F$62,"&gt;"&amp;$A109,案件一覧!$C$3:$C$62,"&lt;&gt;キャンセル")=0,"",INDEX(案件一覧!$J$3:$J$62,MATCH(1,INDEX((案件一覧!$N$3:$N$62=H$3)*(案件一覧!$E$3:$E$62&lt;=$A109)*(案件一覧!$F$3:$F$62&gt;$A109)*(案件一覧!$C$3:$C$62&lt;&gt;"キャンセル"),0),0))&amp;IF(COUNTIFS(案件一覧!$N$3:$N$62,H$3,案件一覧!$E$3:$E$62,"&lt;="&amp;$A109,案件一覧!$F$3:$F$62,"&gt;"&amp;$A109,案件一覧!$C$3:$C$62,"&lt;&gt;キャンセル")&gt;1," ◆重複!",""))</f>
        <v/>
      </c>
    </row>
    <row r="110" customFormat="false" ht="15" hidden="false" customHeight="false" outlineLevel="0" collapsed="false">
      <c r="A110" s="16" t="n">
        <v>46310</v>
      </c>
      <c r="B110" s="17" t="s">
        <v>43</v>
      </c>
      <c r="C110" s="18" t="str">
        <f aca="false">IF(COUNTIFS(案件一覧!$N$3:$N$62,C$3,案件一覧!$E$3:$E$62,"&lt;="&amp;$A110,案件一覧!$F$3:$F$62,"&gt;"&amp;$A110,案件一覧!$C$3:$C$62,"&lt;&gt;キャンセル")=0,"",INDEX(案件一覧!$J$3:$J$62,MATCH(1,INDEX((案件一覧!$N$3:$N$62=C$3)*(案件一覧!$E$3:$E$62&lt;=$A110)*(案件一覧!$F$3:$F$62&gt;$A110)*(案件一覧!$C$3:$C$62&lt;&gt;"キャンセル"),0),0))&amp;IF(COUNTIFS(案件一覧!$N$3:$N$62,C$3,案件一覧!$E$3:$E$62,"&lt;="&amp;$A110,案件一覧!$F$3:$F$62,"&gt;"&amp;$A110,案件一覧!$C$3:$C$62,"&lt;&gt;キャンセル")&gt;1," ◆重複!",""))</f>
        <v/>
      </c>
      <c r="D110" s="18" t="str">
        <f aca="false">IF(COUNTIFS(案件一覧!$N$3:$N$62,D$3,案件一覧!$E$3:$E$62,"&lt;="&amp;$A110,案件一覧!$F$3:$F$62,"&gt;"&amp;$A110,案件一覧!$C$3:$C$62,"&lt;&gt;キャンセル")=0,"",INDEX(案件一覧!$J$3:$J$62,MATCH(1,INDEX((案件一覧!$N$3:$N$62=D$3)*(案件一覧!$E$3:$E$62&lt;=$A110)*(案件一覧!$F$3:$F$62&gt;$A110)*(案件一覧!$C$3:$C$62&lt;&gt;"キャンセル"),0),0))&amp;IF(COUNTIFS(案件一覧!$N$3:$N$62,D$3,案件一覧!$E$3:$E$62,"&lt;="&amp;$A110,案件一覧!$F$3:$F$62,"&gt;"&amp;$A110,案件一覧!$C$3:$C$62,"&lt;&gt;キャンセル")&gt;1," ◆重複!",""))</f>
        <v/>
      </c>
      <c r="E110" s="18" t="str">
        <f aca="false">IF(COUNTIFS(案件一覧!$N$3:$N$62,E$3,案件一覧!$E$3:$E$62,"&lt;="&amp;$A110,案件一覧!$F$3:$F$62,"&gt;"&amp;$A110,案件一覧!$C$3:$C$62,"&lt;&gt;キャンセル")=0,"",INDEX(案件一覧!$J$3:$J$62,MATCH(1,INDEX((案件一覧!$N$3:$N$62=E$3)*(案件一覧!$E$3:$E$62&lt;=$A110)*(案件一覧!$F$3:$F$62&gt;$A110)*(案件一覧!$C$3:$C$62&lt;&gt;"キャンセル"),0),0))&amp;IF(COUNTIFS(案件一覧!$N$3:$N$62,E$3,案件一覧!$E$3:$E$62,"&lt;="&amp;$A110,案件一覧!$F$3:$F$62,"&gt;"&amp;$A110,案件一覧!$C$3:$C$62,"&lt;&gt;キャンセル")&gt;1," ◆重複!",""))</f>
        <v/>
      </c>
      <c r="F110" s="18" t="str">
        <f aca="false">IF(COUNTIFS(案件一覧!$N$3:$N$62,F$3,案件一覧!$E$3:$E$62,"&lt;="&amp;$A110,案件一覧!$F$3:$F$62,"&gt;"&amp;$A110,案件一覧!$C$3:$C$62,"&lt;&gt;キャンセル")=0,"",INDEX(案件一覧!$J$3:$J$62,MATCH(1,INDEX((案件一覧!$N$3:$N$62=F$3)*(案件一覧!$E$3:$E$62&lt;=$A110)*(案件一覧!$F$3:$F$62&gt;$A110)*(案件一覧!$C$3:$C$62&lt;&gt;"キャンセル"),0),0))&amp;IF(COUNTIFS(案件一覧!$N$3:$N$62,F$3,案件一覧!$E$3:$E$62,"&lt;="&amp;$A110,案件一覧!$F$3:$F$62,"&gt;"&amp;$A110,案件一覧!$C$3:$C$62,"&lt;&gt;キャンセル")&gt;1," ◆重複!",""))</f>
        <v/>
      </c>
      <c r="G110" s="18" t="str">
        <f aca="false">IF(COUNTIFS(案件一覧!$N$3:$N$62,G$3,案件一覧!$E$3:$E$62,"&lt;="&amp;$A110,案件一覧!$F$3:$F$62,"&gt;"&amp;$A110,案件一覧!$C$3:$C$62,"&lt;&gt;キャンセル")=0,"",INDEX(案件一覧!$J$3:$J$62,MATCH(1,INDEX((案件一覧!$N$3:$N$62=G$3)*(案件一覧!$E$3:$E$62&lt;=$A110)*(案件一覧!$F$3:$F$62&gt;$A110)*(案件一覧!$C$3:$C$62&lt;&gt;"キャンセル"),0),0))&amp;IF(COUNTIFS(案件一覧!$N$3:$N$62,G$3,案件一覧!$E$3:$E$62,"&lt;="&amp;$A110,案件一覧!$F$3:$F$62,"&gt;"&amp;$A110,案件一覧!$C$3:$C$62,"&lt;&gt;キャンセル")&gt;1," ◆重複!",""))</f>
        <v/>
      </c>
      <c r="H110" s="18" t="str">
        <f aca="false">IF(COUNTIFS(案件一覧!$N$3:$N$62,H$3,案件一覧!$E$3:$E$62,"&lt;="&amp;$A110,案件一覧!$F$3:$F$62,"&gt;"&amp;$A110,案件一覧!$C$3:$C$62,"&lt;&gt;キャンセル")=0,"",INDEX(案件一覧!$J$3:$J$62,MATCH(1,INDEX((案件一覧!$N$3:$N$62=H$3)*(案件一覧!$E$3:$E$62&lt;=$A110)*(案件一覧!$F$3:$F$62&gt;$A110)*(案件一覧!$C$3:$C$62&lt;&gt;"キャンセル"),0),0))&amp;IF(COUNTIFS(案件一覧!$N$3:$N$62,H$3,案件一覧!$E$3:$E$62,"&lt;="&amp;$A110,案件一覧!$F$3:$F$62,"&gt;"&amp;$A110,案件一覧!$C$3:$C$62,"&lt;&gt;キャンセル")&gt;1," ◆重複!",""))</f>
        <v/>
      </c>
    </row>
    <row r="111" customFormat="false" ht="15" hidden="false" customHeight="false" outlineLevel="0" collapsed="false">
      <c r="A111" s="16" t="n">
        <v>46311</v>
      </c>
      <c r="B111" s="17" t="s">
        <v>44</v>
      </c>
      <c r="C111" s="18" t="str">
        <f aca="false">IF(COUNTIFS(案件一覧!$N$3:$N$62,C$3,案件一覧!$E$3:$E$62,"&lt;="&amp;$A111,案件一覧!$F$3:$F$62,"&gt;"&amp;$A111,案件一覧!$C$3:$C$62,"&lt;&gt;キャンセル")=0,"",INDEX(案件一覧!$J$3:$J$62,MATCH(1,INDEX((案件一覧!$N$3:$N$62=C$3)*(案件一覧!$E$3:$E$62&lt;=$A111)*(案件一覧!$F$3:$F$62&gt;$A111)*(案件一覧!$C$3:$C$62&lt;&gt;"キャンセル"),0),0))&amp;IF(COUNTIFS(案件一覧!$N$3:$N$62,C$3,案件一覧!$E$3:$E$62,"&lt;="&amp;$A111,案件一覧!$F$3:$F$62,"&gt;"&amp;$A111,案件一覧!$C$3:$C$62,"&lt;&gt;キャンセル")&gt;1," ◆重複!",""))</f>
        <v/>
      </c>
      <c r="D111" s="18" t="str">
        <f aca="false">IF(COUNTIFS(案件一覧!$N$3:$N$62,D$3,案件一覧!$E$3:$E$62,"&lt;="&amp;$A111,案件一覧!$F$3:$F$62,"&gt;"&amp;$A111,案件一覧!$C$3:$C$62,"&lt;&gt;キャンセル")=0,"",INDEX(案件一覧!$J$3:$J$62,MATCH(1,INDEX((案件一覧!$N$3:$N$62=D$3)*(案件一覧!$E$3:$E$62&lt;=$A111)*(案件一覧!$F$3:$F$62&gt;$A111)*(案件一覧!$C$3:$C$62&lt;&gt;"キャンセル"),0),0))&amp;IF(COUNTIFS(案件一覧!$N$3:$N$62,D$3,案件一覧!$E$3:$E$62,"&lt;="&amp;$A111,案件一覧!$F$3:$F$62,"&gt;"&amp;$A111,案件一覧!$C$3:$C$62,"&lt;&gt;キャンセル")&gt;1," ◆重複!",""))</f>
        <v/>
      </c>
      <c r="E111" s="18" t="str">
        <f aca="false">IF(COUNTIFS(案件一覧!$N$3:$N$62,E$3,案件一覧!$E$3:$E$62,"&lt;="&amp;$A111,案件一覧!$F$3:$F$62,"&gt;"&amp;$A111,案件一覧!$C$3:$C$62,"&lt;&gt;キャンセル")=0,"",INDEX(案件一覧!$J$3:$J$62,MATCH(1,INDEX((案件一覧!$N$3:$N$62=E$3)*(案件一覧!$E$3:$E$62&lt;=$A111)*(案件一覧!$F$3:$F$62&gt;$A111)*(案件一覧!$C$3:$C$62&lt;&gt;"キャンセル"),0),0))&amp;IF(COUNTIFS(案件一覧!$N$3:$N$62,E$3,案件一覧!$E$3:$E$62,"&lt;="&amp;$A111,案件一覧!$F$3:$F$62,"&gt;"&amp;$A111,案件一覧!$C$3:$C$62,"&lt;&gt;キャンセル")&gt;1," ◆重複!",""))</f>
        <v/>
      </c>
      <c r="F111" s="18" t="str">
        <f aca="false">IF(COUNTIFS(案件一覧!$N$3:$N$62,F$3,案件一覧!$E$3:$E$62,"&lt;="&amp;$A111,案件一覧!$F$3:$F$62,"&gt;"&amp;$A111,案件一覧!$C$3:$C$62,"&lt;&gt;キャンセル")=0,"",INDEX(案件一覧!$J$3:$J$62,MATCH(1,INDEX((案件一覧!$N$3:$N$62=F$3)*(案件一覧!$E$3:$E$62&lt;=$A111)*(案件一覧!$F$3:$F$62&gt;$A111)*(案件一覧!$C$3:$C$62&lt;&gt;"キャンセル"),0),0))&amp;IF(COUNTIFS(案件一覧!$N$3:$N$62,F$3,案件一覧!$E$3:$E$62,"&lt;="&amp;$A111,案件一覧!$F$3:$F$62,"&gt;"&amp;$A111,案件一覧!$C$3:$C$62,"&lt;&gt;キャンセル")&gt;1," ◆重複!",""))</f>
        <v/>
      </c>
      <c r="G111" s="18" t="str">
        <f aca="false">IF(COUNTIFS(案件一覧!$N$3:$N$62,G$3,案件一覧!$E$3:$E$62,"&lt;="&amp;$A111,案件一覧!$F$3:$F$62,"&gt;"&amp;$A111,案件一覧!$C$3:$C$62,"&lt;&gt;キャンセル")=0,"",INDEX(案件一覧!$J$3:$J$62,MATCH(1,INDEX((案件一覧!$N$3:$N$62=G$3)*(案件一覧!$E$3:$E$62&lt;=$A111)*(案件一覧!$F$3:$F$62&gt;$A111)*(案件一覧!$C$3:$C$62&lt;&gt;"キャンセル"),0),0))&amp;IF(COUNTIFS(案件一覧!$N$3:$N$62,G$3,案件一覧!$E$3:$E$62,"&lt;="&amp;$A111,案件一覧!$F$3:$F$62,"&gt;"&amp;$A111,案件一覧!$C$3:$C$62,"&lt;&gt;キャンセル")&gt;1," ◆重複!",""))</f>
        <v/>
      </c>
      <c r="H111" s="18" t="str">
        <f aca="false">IF(COUNTIFS(案件一覧!$N$3:$N$62,H$3,案件一覧!$E$3:$E$62,"&lt;="&amp;$A111,案件一覧!$F$3:$F$62,"&gt;"&amp;$A111,案件一覧!$C$3:$C$62,"&lt;&gt;キャンセル")=0,"",INDEX(案件一覧!$J$3:$J$62,MATCH(1,INDEX((案件一覧!$N$3:$N$62=H$3)*(案件一覧!$E$3:$E$62&lt;=$A111)*(案件一覧!$F$3:$F$62&gt;$A111)*(案件一覧!$C$3:$C$62&lt;&gt;"キャンセル"),0),0))&amp;IF(COUNTIFS(案件一覧!$N$3:$N$62,H$3,案件一覧!$E$3:$E$62,"&lt;="&amp;$A111,案件一覧!$F$3:$F$62,"&gt;"&amp;$A111,案件一覧!$C$3:$C$62,"&lt;&gt;キャンセル")&gt;1," ◆重複!",""))</f>
        <v/>
      </c>
    </row>
    <row r="112" customFormat="false" ht="15" hidden="false" customHeight="false" outlineLevel="0" collapsed="false">
      <c r="A112" s="19" t="n">
        <v>46312</v>
      </c>
      <c r="B112" s="20" t="s">
        <v>45</v>
      </c>
      <c r="C112" s="21" t="str">
        <f aca="false">IF(COUNTIFS(案件一覧!$N$3:$N$62,C$3,案件一覧!$E$3:$E$62,"&lt;="&amp;$A112,案件一覧!$F$3:$F$62,"&gt;"&amp;$A112,案件一覧!$C$3:$C$62,"&lt;&gt;キャンセル")=0,"",INDEX(案件一覧!$J$3:$J$62,MATCH(1,INDEX((案件一覧!$N$3:$N$62=C$3)*(案件一覧!$E$3:$E$62&lt;=$A112)*(案件一覧!$F$3:$F$62&gt;$A112)*(案件一覧!$C$3:$C$62&lt;&gt;"キャンセル"),0),0))&amp;IF(COUNTIFS(案件一覧!$N$3:$N$62,C$3,案件一覧!$E$3:$E$62,"&lt;="&amp;$A112,案件一覧!$F$3:$F$62,"&gt;"&amp;$A112,案件一覧!$C$3:$C$62,"&lt;&gt;キャンセル")&gt;1," ◆重複!",""))</f>
        <v/>
      </c>
      <c r="D112" s="21" t="str">
        <f aca="false">IF(COUNTIFS(案件一覧!$N$3:$N$62,D$3,案件一覧!$E$3:$E$62,"&lt;="&amp;$A112,案件一覧!$F$3:$F$62,"&gt;"&amp;$A112,案件一覧!$C$3:$C$62,"&lt;&gt;キャンセル")=0,"",INDEX(案件一覧!$J$3:$J$62,MATCH(1,INDEX((案件一覧!$N$3:$N$62=D$3)*(案件一覧!$E$3:$E$62&lt;=$A112)*(案件一覧!$F$3:$F$62&gt;$A112)*(案件一覧!$C$3:$C$62&lt;&gt;"キャンセル"),0),0))&amp;IF(COUNTIFS(案件一覧!$N$3:$N$62,D$3,案件一覧!$E$3:$E$62,"&lt;="&amp;$A112,案件一覧!$F$3:$F$62,"&gt;"&amp;$A112,案件一覧!$C$3:$C$62,"&lt;&gt;キャンセル")&gt;1," ◆重複!",""))</f>
        <v/>
      </c>
      <c r="E112" s="21" t="str">
        <f aca="false">IF(COUNTIFS(案件一覧!$N$3:$N$62,E$3,案件一覧!$E$3:$E$62,"&lt;="&amp;$A112,案件一覧!$F$3:$F$62,"&gt;"&amp;$A112,案件一覧!$C$3:$C$62,"&lt;&gt;キャンセル")=0,"",INDEX(案件一覧!$J$3:$J$62,MATCH(1,INDEX((案件一覧!$N$3:$N$62=E$3)*(案件一覧!$E$3:$E$62&lt;=$A112)*(案件一覧!$F$3:$F$62&gt;$A112)*(案件一覧!$C$3:$C$62&lt;&gt;"キャンセル"),0),0))&amp;IF(COUNTIFS(案件一覧!$N$3:$N$62,E$3,案件一覧!$E$3:$E$62,"&lt;="&amp;$A112,案件一覧!$F$3:$F$62,"&gt;"&amp;$A112,案件一覧!$C$3:$C$62,"&lt;&gt;キャンセル")&gt;1," ◆重複!",""))</f>
        <v/>
      </c>
      <c r="F112" s="21" t="str">
        <f aca="false">IF(COUNTIFS(案件一覧!$N$3:$N$62,F$3,案件一覧!$E$3:$E$62,"&lt;="&amp;$A112,案件一覧!$F$3:$F$62,"&gt;"&amp;$A112,案件一覧!$C$3:$C$62,"&lt;&gt;キャンセル")=0,"",INDEX(案件一覧!$J$3:$J$62,MATCH(1,INDEX((案件一覧!$N$3:$N$62=F$3)*(案件一覧!$E$3:$E$62&lt;=$A112)*(案件一覧!$F$3:$F$62&gt;$A112)*(案件一覧!$C$3:$C$62&lt;&gt;"キャンセル"),0),0))&amp;IF(COUNTIFS(案件一覧!$N$3:$N$62,F$3,案件一覧!$E$3:$E$62,"&lt;="&amp;$A112,案件一覧!$F$3:$F$62,"&gt;"&amp;$A112,案件一覧!$C$3:$C$62,"&lt;&gt;キャンセル")&gt;1," ◆重複!",""))</f>
        <v/>
      </c>
      <c r="G112" s="21" t="str">
        <f aca="false">IF(COUNTIFS(案件一覧!$N$3:$N$62,G$3,案件一覧!$E$3:$E$62,"&lt;="&amp;$A112,案件一覧!$F$3:$F$62,"&gt;"&amp;$A112,案件一覧!$C$3:$C$62,"&lt;&gt;キャンセル")=0,"",INDEX(案件一覧!$J$3:$J$62,MATCH(1,INDEX((案件一覧!$N$3:$N$62=G$3)*(案件一覧!$E$3:$E$62&lt;=$A112)*(案件一覧!$F$3:$F$62&gt;$A112)*(案件一覧!$C$3:$C$62&lt;&gt;"キャンセル"),0),0))&amp;IF(COUNTIFS(案件一覧!$N$3:$N$62,G$3,案件一覧!$E$3:$E$62,"&lt;="&amp;$A112,案件一覧!$F$3:$F$62,"&gt;"&amp;$A112,案件一覧!$C$3:$C$62,"&lt;&gt;キャンセル")&gt;1," ◆重複!",""))</f>
        <v/>
      </c>
      <c r="H112" s="21" t="str">
        <f aca="false">IF(COUNTIFS(案件一覧!$N$3:$N$62,H$3,案件一覧!$E$3:$E$62,"&lt;="&amp;$A112,案件一覧!$F$3:$F$62,"&gt;"&amp;$A112,案件一覧!$C$3:$C$62,"&lt;&gt;キャンセル")=0,"",INDEX(案件一覧!$J$3:$J$62,MATCH(1,INDEX((案件一覧!$N$3:$N$62=H$3)*(案件一覧!$E$3:$E$62&lt;=$A112)*(案件一覧!$F$3:$F$62&gt;$A112)*(案件一覧!$C$3:$C$62&lt;&gt;"キャンセル"),0),0))&amp;IF(COUNTIFS(案件一覧!$N$3:$N$62,H$3,案件一覧!$E$3:$E$62,"&lt;="&amp;$A112,案件一覧!$F$3:$F$62,"&gt;"&amp;$A112,案件一覧!$C$3:$C$62,"&lt;&gt;キャンセル")&gt;1," ◆重複!",""))</f>
        <v/>
      </c>
    </row>
    <row r="113" customFormat="false" ht="15" hidden="false" customHeight="false" outlineLevel="0" collapsed="false">
      <c r="A113" s="22" t="n">
        <v>46313</v>
      </c>
      <c r="B113" s="23" t="s">
        <v>46</v>
      </c>
      <c r="C113" s="24" t="str">
        <f aca="false">IF(COUNTIFS(案件一覧!$N$3:$N$62,C$3,案件一覧!$E$3:$E$62,"&lt;="&amp;$A113,案件一覧!$F$3:$F$62,"&gt;"&amp;$A113,案件一覧!$C$3:$C$62,"&lt;&gt;キャンセル")=0,"",INDEX(案件一覧!$J$3:$J$62,MATCH(1,INDEX((案件一覧!$N$3:$N$62=C$3)*(案件一覧!$E$3:$E$62&lt;=$A113)*(案件一覧!$F$3:$F$62&gt;$A113)*(案件一覧!$C$3:$C$62&lt;&gt;"キャンセル"),0),0))&amp;IF(COUNTIFS(案件一覧!$N$3:$N$62,C$3,案件一覧!$E$3:$E$62,"&lt;="&amp;$A113,案件一覧!$F$3:$F$62,"&gt;"&amp;$A113,案件一覧!$C$3:$C$62,"&lt;&gt;キャンセル")&gt;1," ◆重複!",""))</f>
        <v/>
      </c>
      <c r="D113" s="24" t="str">
        <f aca="false">IF(COUNTIFS(案件一覧!$N$3:$N$62,D$3,案件一覧!$E$3:$E$62,"&lt;="&amp;$A113,案件一覧!$F$3:$F$62,"&gt;"&amp;$A113,案件一覧!$C$3:$C$62,"&lt;&gt;キャンセル")=0,"",INDEX(案件一覧!$J$3:$J$62,MATCH(1,INDEX((案件一覧!$N$3:$N$62=D$3)*(案件一覧!$E$3:$E$62&lt;=$A113)*(案件一覧!$F$3:$F$62&gt;$A113)*(案件一覧!$C$3:$C$62&lt;&gt;"キャンセル"),0),0))&amp;IF(COUNTIFS(案件一覧!$N$3:$N$62,D$3,案件一覧!$E$3:$E$62,"&lt;="&amp;$A113,案件一覧!$F$3:$F$62,"&gt;"&amp;$A113,案件一覧!$C$3:$C$62,"&lt;&gt;キャンセル")&gt;1," ◆重複!",""))</f>
        <v/>
      </c>
      <c r="E113" s="24" t="str">
        <f aca="false">IF(COUNTIFS(案件一覧!$N$3:$N$62,E$3,案件一覧!$E$3:$E$62,"&lt;="&amp;$A113,案件一覧!$F$3:$F$62,"&gt;"&amp;$A113,案件一覧!$C$3:$C$62,"&lt;&gt;キャンセル")=0,"",INDEX(案件一覧!$J$3:$J$62,MATCH(1,INDEX((案件一覧!$N$3:$N$62=E$3)*(案件一覧!$E$3:$E$62&lt;=$A113)*(案件一覧!$F$3:$F$62&gt;$A113)*(案件一覧!$C$3:$C$62&lt;&gt;"キャンセル"),0),0))&amp;IF(COUNTIFS(案件一覧!$N$3:$N$62,E$3,案件一覧!$E$3:$E$62,"&lt;="&amp;$A113,案件一覧!$F$3:$F$62,"&gt;"&amp;$A113,案件一覧!$C$3:$C$62,"&lt;&gt;キャンセル")&gt;1," ◆重複!",""))</f>
        <v/>
      </c>
      <c r="F113" s="24" t="str">
        <f aca="false">IF(COUNTIFS(案件一覧!$N$3:$N$62,F$3,案件一覧!$E$3:$E$62,"&lt;="&amp;$A113,案件一覧!$F$3:$F$62,"&gt;"&amp;$A113,案件一覧!$C$3:$C$62,"&lt;&gt;キャンセル")=0,"",INDEX(案件一覧!$J$3:$J$62,MATCH(1,INDEX((案件一覧!$N$3:$N$62=F$3)*(案件一覧!$E$3:$E$62&lt;=$A113)*(案件一覧!$F$3:$F$62&gt;$A113)*(案件一覧!$C$3:$C$62&lt;&gt;"キャンセル"),0),0))&amp;IF(COUNTIFS(案件一覧!$N$3:$N$62,F$3,案件一覧!$E$3:$E$62,"&lt;="&amp;$A113,案件一覧!$F$3:$F$62,"&gt;"&amp;$A113,案件一覧!$C$3:$C$62,"&lt;&gt;キャンセル")&gt;1," ◆重複!",""))</f>
        <v/>
      </c>
      <c r="G113" s="24" t="str">
        <f aca="false">IF(COUNTIFS(案件一覧!$N$3:$N$62,G$3,案件一覧!$E$3:$E$62,"&lt;="&amp;$A113,案件一覧!$F$3:$F$62,"&gt;"&amp;$A113,案件一覧!$C$3:$C$62,"&lt;&gt;キャンセル")=0,"",INDEX(案件一覧!$J$3:$J$62,MATCH(1,INDEX((案件一覧!$N$3:$N$62=G$3)*(案件一覧!$E$3:$E$62&lt;=$A113)*(案件一覧!$F$3:$F$62&gt;$A113)*(案件一覧!$C$3:$C$62&lt;&gt;"キャンセル"),0),0))&amp;IF(COUNTIFS(案件一覧!$N$3:$N$62,G$3,案件一覧!$E$3:$E$62,"&lt;="&amp;$A113,案件一覧!$F$3:$F$62,"&gt;"&amp;$A113,案件一覧!$C$3:$C$62,"&lt;&gt;キャンセル")&gt;1," ◆重複!",""))</f>
        <v/>
      </c>
      <c r="H113" s="24" t="str">
        <f aca="false">IF(COUNTIFS(案件一覧!$N$3:$N$62,H$3,案件一覧!$E$3:$E$62,"&lt;="&amp;$A113,案件一覧!$F$3:$F$62,"&gt;"&amp;$A113,案件一覧!$C$3:$C$62,"&lt;&gt;キャンセル")=0,"",INDEX(案件一覧!$J$3:$J$62,MATCH(1,INDEX((案件一覧!$N$3:$N$62=H$3)*(案件一覧!$E$3:$E$62&lt;=$A113)*(案件一覧!$F$3:$F$62&gt;$A113)*(案件一覧!$C$3:$C$62&lt;&gt;"キャンセル"),0),0))&amp;IF(COUNTIFS(案件一覧!$N$3:$N$62,H$3,案件一覧!$E$3:$E$62,"&lt;="&amp;$A113,案件一覧!$F$3:$F$62,"&gt;"&amp;$A113,案件一覧!$C$3:$C$62,"&lt;&gt;キャンセル")&gt;1," ◆重複!",""))</f>
        <v/>
      </c>
    </row>
    <row r="114" customFormat="false" ht="15" hidden="false" customHeight="false" outlineLevel="0" collapsed="false">
      <c r="A114" s="16" t="n">
        <v>46314</v>
      </c>
      <c r="B114" s="17" t="s">
        <v>47</v>
      </c>
      <c r="C114" s="18" t="str">
        <f aca="false">IF(COUNTIFS(案件一覧!$N$3:$N$62,C$3,案件一覧!$E$3:$E$62,"&lt;="&amp;$A114,案件一覧!$F$3:$F$62,"&gt;"&amp;$A114,案件一覧!$C$3:$C$62,"&lt;&gt;キャンセル")=0,"",INDEX(案件一覧!$J$3:$J$62,MATCH(1,INDEX((案件一覧!$N$3:$N$62=C$3)*(案件一覧!$E$3:$E$62&lt;=$A114)*(案件一覧!$F$3:$F$62&gt;$A114)*(案件一覧!$C$3:$C$62&lt;&gt;"キャンセル"),0),0))&amp;IF(COUNTIFS(案件一覧!$N$3:$N$62,C$3,案件一覧!$E$3:$E$62,"&lt;="&amp;$A114,案件一覧!$F$3:$F$62,"&gt;"&amp;$A114,案件一覧!$C$3:$C$62,"&lt;&gt;キャンセル")&gt;1," ◆重複!",""))</f>
        <v/>
      </c>
      <c r="D114" s="18" t="str">
        <f aca="false">IF(COUNTIFS(案件一覧!$N$3:$N$62,D$3,案件一覧!$E$3:$E$62,"&lt;="&amp;$A114,案件一覧!$F$3:$F$62,"&gt;"&amp;$A114,案件一覧!$C$3:$C$62,"&lt;&gt;キャンセル")=0,"",INDEX(案件一覧!$J$3:$J$62,MATCH(1,INDEX((案件一覧!$N$3:$N$62=D$3)*(案件一覧!$E$3:$E$62&lt;=$A114)*(案件一覧!$F$3:$F$62&gt;$A114)*(案件一覧!$C$3:$C$62&lt;&gt;"キャンセル"),0),0))&amp;IF(COUNTIFS(案件一覧!$N$3:$N$62,D$3,案件一覧!$E$3:$E$62,"&lt;="&amp;$A114,案件一覧!$F$3:$F$62,"&gt;"&amp;$A114,案件一覧!$C$3:$C$62,"&lt;&gt;キャンセル")&gt;1," ◆重複!",""))</f>
        <v/>
      </c>
      <c r="E114" s="18" t="str">
        <f aca="false">IF(COUNTIFS(案件一覧!$N$3:$N$62,E$3,案件一覧!$E$3:$E$62,"&lt;="&amp;$A114,案件一覧!$F$3:$F$62,"&gt;"&amp;$A114,案件一覧!$C$3:$C$62,"&lt;&gt;キャンセル")=0,"",INDEX(案件一覧!$J$3:$J$62,MATCH(1,INDEX((案件一覧!$N$3:$N$62=E$3)*(案件一覧!$E$3:$E$62&lt;=$A114)*(案件一覧!$F$3:$F$62&gt;$A114)*(案件一覧!$C$3:$C$62&lt;&gt;"キャンセル"),0),0))&amp;IF(COUNTIFS(案件一覧!$N$3:$N$62,E$3,案件一覧!$E$3:$E$62,"&lt;="&amp;$A114,案件一覧!$F$3:$F$62,"&gt;"&amp;$A114,案件一覧!$C$3:$C$62,"&lt;&gt;キャンセル")&gt;1," ◆重複!",""))</f>
        <v/>
      </c>
      <c r="F114" s="18" t="str">
        <f aca="false">IF(COUNTIFS(案件一覧!$N$3:$N$62,F$3,案件一覧!$E$3:$E$62,"&lt;="&amp;$A114,案件一覧!$F$3:$F$62,"&gt;"&amp;$A114,案件一覧!$C$3:$C$62,"&lt;&gt;キャンセル")=0,"",INDEX(案件一覧!$J$3:$J$62,MATCH(1,INDEX((案件一覧!$N$3:$N$62=F$3)*(案件一覧!$E$3:$E$62&lt;=$A114)*(案件一覧!$F$3:$F$62&gt;$A114)*(案件一覧!$C$3:$C$62&lt;&gt;"キャンセル"),0),0))&amp;IF(COUNTIFS(案件一覧!$N$3:$N$62,F$3,案件一覧!$E$3:$E$62,"&lt;="&amp;$A114,案件一覧!$F$3:$F$62,"&gt;"&amp;$A114,案件一覧!$C$3:$C$62,"&lt;&gt;キャンセル")&gt;1," ◆重複!",""))</f>
        <v/>
      </c>
      <c r="G114" s="18" t="str">
        <f aca="false">IF(COUNTIFS(案件一覧!$N$3:$N$62,G$3,案件一覧!$E$3:$E$62,"&lt;="&amp;$A114,案件一覧!$F$3:$F$62,"&gt;"&amp;$A114,案件一覧!$C$3:$C$62,"&lt;&gt;キャンセル")=0,"",INDEX(案件一覧!$J$3:$J$62,MATCH(1,INDEX((案件一覧!$N$3:$N$62=G$3)*(案件一覧!$E$3:$E$62&lt;=$A114)*(案件一覧!$F$3:$F$62&gt;$A114)*(案件一覧!$C$3:$C$62&lt;&gt;"キャンセル"),0),0))&amp;IF(COUNTIFS(案件一覧!$N$3:$N$62,G$3,案件一覧!$E$3:$E$62,"&lt;="&amp;$A114,案件一覧!$F$3:$F$62,"&gt;"&amp;$A114,案件一覧!$C$3:$C$62,"&lt;&gt;キャンセル")&gt;1," ◆重複!",""))</f>
        <v/>
      </c>
      <c r="H114" s="18" t="str">
        <f aca="false">IF(COUNTIFS(案件一覧!$N$3:$N$62,H$3,案件一覧!$E$3:$E$62,"&lt;="&amp;$A114,案件一覧!$F$3:$F$62,"&gt;"&amp;$A114,案件一覧!$C$3:$C$62,"&lt;&gt;キャンセル")=0,"",INDEX(案件一覧!$J$3:$J$62,MATCH(1,INDEX((案件一覧!$N$3:$N$62=H$3)*(案件一覧!$E$3:$E$62&lt;=$A114)*(案件一覧!$F$3:$F$62&gt;$A114)*(案件一覧!$C$3:$C$62&lt;&gt;"キャンセル"),0),0))&amp;IF(COUNTIFS(案件一覧!$N$3:$N$62,H$3,案件一覧!$E$3:$E$62,"&lt;="&amp;$A114,案件一覧!$F$3:$F$62,"&gt;"&amp;$A114,案件一覧!$C$3:$C$62,"&lt;&gt;キャンセル")&gt;1," ◆重複!",""))</f>
        <v/>
      </c>
    </row>
    <row r="115" customFormat="false" ht="15" hidden="false" customHeight="false" outlineLevel="0" collapsed="false">
      <c r="A115" s="16" t="n">
        <v>46315</v>
      </c>
      <c r="B115" s="17" t="s">
        <v>48</v>
      </c>
      <c r="C115" s="18" t="str">
        <f aca="false">IF(COUNTIFS(案件一覧!$N$3:$N$62,C$3,案件一覧!$E$3:$E$62,"&lt;="&amp;$A115,案件一覧!$F$3:$F$62,"&gt;"&amp;$A115,案件一覧!$C$3:$C$62,"&lt;&gt;キャンセル")=0,"",INDEX(案件一覧!$J$3:$J$62,MATCH(1,INDEX((案件一覧!$N$3:$N$62=C$3)*(案件一覧!$E$3:$E$62&lt;=$A115)*(案件一覧!$F$3:$F$62&gt;$A115)*(案件一覧!$C$3:$C$62&lt;&gt;"キャンセル"),0),0))&amp;IF(COUNTIFS(案件一覧!$N$3:$N$62,C$3,案件一覧!$E$3:$E$62,"&lt;="&amp;$A115,案件一覧!$F$3:$F$62,"&gt;"&amp;$A115,案件一覧!$C$3:$C$62,"&lt;&gt;キャンセル")&gt;1," ◆重複!",""))</f>
        <v/>
      </c>
      <c r="D115" s="18" t="str">
        <f aca="false">IF(COUNTIFS(案件一覧!$N$3:$N$62,D$3,案件一覧!$E$3:$E$62,"&lt;="&amp;$A115,案件一覧!$F$3:$F$62,"&gt;"&amp;$A115,案件一覧!$C$3:$C$62,"&lt;&gt;キャンセル")=0,"",INDEX(案件一覧!$J$3:$J$62,MATCH(1,INDEX((案件一覧!$N$3:$N$62=D$3)*(案件一覧!$E$3:$E$62&lt;=$A115)*(案件一覧!$F$3:$F$62&gt;$A115)*(案件一覧!$C$3:$C$62&lt;&gt;"キャンセル"),0),0))&amp;IF(COUNTIFS(案件一覧!$N$3:$N$62,D$3,案件一覧!$E$3:$E$62,"&lt;="&amp;$A115,案件一覧!$F$3:$F$62,"&gt;"&amp;$A115,案件一覧!$C$3:$C$62,"&lt;&gt;キャンセル")&gt;1," ◆重複!",""))</f>
        <v/>
      </c>
      <c r="E115" s="18" t="str">
        <f aca="false">IF(COUNTIFS(案件一覧!$N$3:$N$62,E$3,案件一覧!$E$3:$E$62,"&lt;="&amp;$A115,案件一覧!$F$3:$F$62,"&gt;"&amp;$A115,案件一覧!$C$3:$C$62,"&lt;&gt;キャンセル")=0,"",INDEX(案件一覧!$J$3:$J$62,MATCH(1,INDEX((案件一覧!$N$3:$N$62=E$3)*(案件一覧!$E$3:$E$62&lt;=$A115)*(案件一覧!$F$3:$F$62&gt;$A115)*(案件一覧!$C$3:$C$62&lt;&gt;"キャンセル"),0),0))&amp;IF(COUNTIFS(案件一覧!$N$3:$N$62,E$3,案件一覧!$E$3:$E$62,"&lt;="&amp;$A115,案件一覧!$F$3:$F$62,"&gt;"&amp;$A115,案件一覧!$C$3:$C$62,"&lt;&gt;キャンセル")&gt;1," ◆重複!",""))</f>
        <v/>
      </c>
      <c r="F115" s="18" t="str">
        <f aca="false">IF(COUNTIFS(案件一覧!$N$3:$N$62,F$3,案件一覧!$E$3:$E$62,"&lt;="&amp;$A115,案件一覧!$F$3:$F$62,"&gt;"&amp;$A115,案件一覧!$C$3:$C$62,"&lt;&gt;キャンセル")=0,"",INDEX(案件一覧!$J$3:$J$62,MATCH(1,INDEX((案件一覧!$N$3:$N$62=F$3)*(案件一覧!$E$3:$E$62&lt;=$A115)*(案件一覧!$F$3:$F$62&gt;$A115)*(案件一覧!$C$3:$C$62&lt;&gt;"キャンセル"),0),0))&amp;IF(COUNTIFS(案件一覧!$N$3:$N$62,F$3,案件一覧!$E$3:$E$62,"&lt;="&amp;$A115,案件一覧!$F$3:$F$62,"&gt;"&amp;$A115,案件一覧!$C$3:$C$62,"&lt;&gt;キャンセル")&gt;1," ◆重複!",""))</f>
        <v/>
      </c>
      <c r="G115" s="18" t="str">
        <f aca="false">IF(COUNTIFS(案件一覧!$N$3:$N$62,G$3,案件一覧!$E$3:$E$62,"&lt;="&amp;$A115,案件一覧!$F$3:$F$62,"&gt;"&amp;$A115,案件一覧!$C$3:$C$62,"&lt;&gt;キャンセル")=0,"",INDEX(案件一覧!$J$3:$J$62,MATCH(1,INDEX((案件一覧!$N$3:$N$62=G$3)*(案件一覧!$E$3:$E$62&lt;=$A115)*(案件一覧!$F$3:$F$62&gt;$A115)*(案件一覧!$C$3:$C$62&lt;&gt;"キャンセル"),0),0))&amp;IF(COUNTIFS(案件一覧!$N$3:$N$62,G$3,案件一覧!$E$3:$E$62,"&lt;="&amp;$A115,案件一覧!$F$3:$F$62,"&gt;"&amp;$A115,案件一覧!$C$3:$C$62,"&lt;&gt;キャンセル")&gt;1," ◆重複!",""))</f>
        <v/>
      </c>
      <c r="H115" s="18" t="str">
        <f aca="false">IF(COUNTIFS(案件一覧!$N$3:$N$62,H$3,案件一覧!$E$3:$E$62,"&lt;="&amp;$A115,案件一覧!$F$3:$F$62,"&gt;"&amp;$A115,案件一覧!$C$3:$C$62,"&lt;&gt;キャンセル")=0,"",INDEX(案件一覧!$J$3:$J$62,MATCH(1,INDEX((案件一覧!$N$3:$N$62=H$3)*(案件一覧!$E$3:$E$62&lt;=$A115)*(案件一覧!$F$3:$F$62&gt;$A115)*(案件一覧!$C$3:$C$62&lt;&gt;"キャンセル"),0),0))&amp;IF(COUNTIFS(案件一覧!$N$3:$N$62,H$3,案件一覧!$E$3:$E$62,"&lt;="&amp;$A115,案件一覧!$F$3:$F$62,"&gt;"&amp;$A115,案件一覧!$C$3:$C$62,"&lt;&gt;キャンセル")&gt;1," ◆重複!",""))</f>
        <v/>
      </c>
    </row>
    <row r="116" customFormat="false" ht="15" hidden="false" customHeight="false" outlineLevel="0" collapsed="false">
      <c r="A116" s="16" t="n">
        <v>46316</v>
      </c>
      <c r="B116" s="17" t="s">
        <v>42</v>
      </c>
      <c r="C116" s="18" t="str">
        <f aca="false">IF(COUNTIFS(案件一覧!$N$3:$N$62,C$3,案件一覧!$E$3:$E$62,"&lt;="&amp;$A116,案件一覧!$F$3:$F$62,"&gt;"&amp;$A116,案件一覧!$C$3:$C$62,"&lt;&gt;キャンセル")=0,"",INDEX(案件一覧!$J$3:$J$62,MATCH(1,INDEX((案件一覧!$N$3:$N$62=C$3)*(案件一覧!$E$3:$E$62&lt;=$A116)*(案件一覧!$F$3:$F$62&gt;$A116)*(案件一覧!$C$3:$C$62&lt;&gt;"キャンセル"),0),0))&amp;IF(COUNTIFS(案件一覧!$N$3:$N$62,C$3,案件一覧!$E$3:$E$62,"&lt;="&amp;$A116,案件一覧!$F$3:$F$62,"&gt;"&amp;$A116,案件一覧!$C$3:$C$62,"&lt;&gt;キャンセル")&gt;1," ◆重複!",""))</f>
        <v/>
      </c>
      <c r="D116" s="18" t="str">
        <f aca="false">IF(COUNTIFS(案件一覧!$N$3:$N$62,D$3,案件一覧!$E$3:$E$62,"&lt;="&amp;$A116,案件一覧!$F$3:$F$62,"&gt;"&amp;$A116,案件一覧!$C$3:$C$62,"&lt;&gt;キャンセル")=0,"",INDEX(案件一覧!$J$3:$J$62,MATCH(1,INDEX((案件一覧!$N$3:$N$62=D$3)*(案件一覧!$E$3:$E$62&lt;=$A116)*(案件一覧!$F$3:$F$62&gt;$A116)*(案件一覧!$C$3:$C$62&lt;&gt;"キャンセル"),0),0))&amp;IF(COUNTIFS(案件一覧!$N$3:$N$62,D$3,案件一覧!$E$3:$E$62,"&lt;="&amp;$A116,案件一覧!$F$3:$F$62,"&gt;"&amp;$A116,案件一覧!$C$3:$C$62,"&lt;&gt;キャンセル")&gt;1," ◆重複!",""))</f>
        <v/>
      </c>
      <c r="E116" s="18" t="str">
        <f aca="false">IF(COUNTIFS(案件一覧!$N$3:$N$62,E$3,案件一覧!$E$3:$E$62,"&lt;="&amp;$A116,案件一覧!$F$3:$F$62,"&gt;"&amp;$A116,案件一覧!$C$3:$C$62,"&lt;&gt;キャンセル")=0,"",INDEX(案件一覧!$J$3:$J$62,MATCH(1,INDEX((案件一覧!$N$3:$N$62=E$3)*(案件一覧!$E$3:$E$62&lt;=$A116)*(案件一覧!$F$3:$F$62&gt;$A116)*(案件一覧!$C$3:$C$62&lt;&gt;"キャンセル"),0),0))&amp;IF(COUNTIFS(案件一覧!$N$3:$N$62,E$3,案件一覧!$E$3:$E$62,"&lt;="&amp;$A116,案件一覧!$F$3:$F$62,"&gt;"&amp;$A116,案件一覧!$C$3:$C$62,"&lt;&gt;キャンセル")&gt;1," ◆重複!",""))</f>
        <v/>
      </c>
      <c r="F116" s="18" t="str">
        <f aca="false">IF(COUNTIFS(案件一覧!$N$3:$N$62,F$3,案件一覧!$E$3:$E$62,"&lt;="&amp;$A116,案件一覧!$F$3:$F$62,"&gt;"&amp;$A116,案件一覧!$C$3:$C$62,"&lt;&gt;キャンセル")=0,"",INDEX(案件一覧!$J$3:$J$62,MATCH(1,INDEX((案件一覧!$N$3:$N$62=F$3)*(案件一覧!$E$3:$E$62&lt;=$A116)*(案件一覧!$F$3:$F$62&gt;$A116)*(案件一覧!$C$3:$C$62&lt;&gt;"キャンセル"),0),0))&amp;IF(COUNTIFS(案件一覧!$N$3:$N$62,F$3,案件一覧!$E$3:$E$62,"&lt;="&amp;$A116,案件一覧!$F$3:$F$62,"&gt;"&amp;$A116,案件一覧!$C$3:$C$62,"&lt;&gt;キャンセル")&gt;1," ◆重複!",""))</f>
        <v/>
      </c>
      <c r="G116" s="18" t="str">
        <f aca="false">IF(COUNTIFS(案件一覧!$N$3:$N$62,G$3,案件一覧!$E$3:$E$62,"&lt;="&amp;$A116,案件一覧!$F$3:$F$62,"&gt;"&amp;$A116,案件一覧!$C$3:$C$62,"&lt;&gt;キャンセル")=0,"",INDEX(案件一覧!$J$3:$J$62,MATCH(1,INDEX((案件一覧!$N$3:$N$62=G$3)*(案件一覧!$E$3:$E$62&lt;=$A116)*(案件一覧!$F$3:$F$62&gt;$A116)*(案件一覧!$C$3:$C$62&lt;&gt;"キャンセル"),0),0))&amp;IF(COUNTIFS(案件一覧!$N$3:$N$62,G$3,案件一覧!$E$3:$E$62,"&lt;="&amp;$A116,案件一覧!$F$3:$F$62,"&gt;"&amp;$A116,案件一覧!$C$3:$C$62,"&lt;&gt;キャンセル")&gt;1," ◆重複!",""))</f>
        <v/>
      </c>
      <c r="H116" s="18" t="str">
        <f aca="false">IF(COUNTIFS(案件一覧!$N$3:$N$62,H$3,案件一覧!$E$3:$E$62,"&lt;="&amp;$A116,案件一覧!$F$3:$F$62,"&gt;"&amp;$A116,案件一覧!$C$3:$C$62,"&lt;&gt;キャンセル")=0,"",INDEX(案件一覧!$J$3:$J$62,MATCH(1,INDEX((案件一覧!$N$3:$N$62=H$3)*(案件一覧!$E$3:$E$62&lt;=$A116)*(案件一覧!$F$3:$F$62&gt;$A116)*(案件一覧!$C$3:$C$62&lt;&gt;"キャンセル"),0),0))&amp;IF(COUNTIFS(案件一覧!$N$3:$N$62,H$3,案件一覧!$E$3:$E$62,"&lt;="&amp;$A116,案件一覧!$F$3:$F$62,"&gt;"&amp;$A116,案件一覧!$C$3:$C$62,"&lt;&gt;キャンセル")&gt;1," ◆重複!",""))</f>
        <v/>
      </c>
    </row>
    <row r="117" customFormat="false" ht="15" hidden="false" customHeight="false" outlineLevel="0" collapsed="false">
      <c r="A117" s="16" t="n">
        <v>46317</v>
      </c>
      <c r="B117" s="17" t="s">
        <v>43</v>
      </c>
      <c r="C117" s="18" t="str">
        <f aca="false">IF(COUNTIFS(案件一覧!$N$3:$N$62,C$3,案件一覧!$E$3:$E$62,"&lt;="&amp;$A117,案件一覧!$F$3:$F$62,"&gt;"&amp;$A117,案件一覧!$C$3:$C$62,"&lt;&gt;キャンセル")=0,"",INDEX(案件一覧!$J$3:$J$62,MATCH(1,INDEX((案件一覧!$N$3:$N$62=C$3)*(案件一覧!$E$3:$E$62&lt;=$A117)*(案件一覧!$F$3:$F$62&gt;$A117)*(案件一覧!$C$3:$C$62&lt;&gt;"キャンセル"),0),0))&amp;IF(COUNTIFS(案件一覧!$N$3:$N$62,C$3,案件一覧!$E$3:$E$62,"&lt;="&amp;$A117,案件一覧!$F$3:$F$62,"&gt;"&amp;$A117,案件一覧!$C$3:$C$62,"&lt;&gt;キャンセル")&gt;1," ◆重複!",""))</f>
        <v/>
      </c>
      <c r="D117" s="18" t="str">
        <f aca="false">IF(COUNTIFS(案件一覧!$N$3:$N$62,D$3,案件一覧!$E$3:$E$62,"&lt;="&amp;$A117,案件一覧!$F$3:$F$62,"&gt;"&amp;$A117,案件一覧!$C$3:$C$62,"&lt;&gt;キャンセル")=0,"",INDEX(案件一覧!$J$3:$J$62,MATCH(1,INDEX((案件一覧!$N$3:$N$62=D$3)*(案件一覧!$E$3:$E$62&lt;=$A117)*(案件一覧!$F$3:$F$62&gt;$A117)*(案件一覧!$C$3:$C$62&lt;&gt;"キャンセル"),0),0))&amp;IF(COUNTIFS(案件一覧!$N$3:$N$62,D$3,案件一覧!$E$3:$E$62,"&lt;="&amp;$A117,案件一覧!$F$3:$F$62,"&gt;"&amp;$A117,案件一覧!$C$3:$C$62,"&lt;&gt;キャンセル")&gt;1," ◆重複!",""))</f>
        <v/>
      </c>
      <c r="E117" s="18" t="str">
        <f aca="false">IF(COUNTIFS(案件一覧!$N$3:$N$62,E$3,案件一覧!$E$3:$E$62,"&lt;="&amp;$A117,案件一覧!$F$3:$F$62,"&gt;"&amp;$A117,案件一覧!$C$3:$C$62,"&lt;&gt;キャンセル")=0,"",INDEX(案件一覧!$J$3:$J$62,MATCH(1,INDEX((案件一覧!$N$3:$N$62=E$3)*(案件一覧!$E$3:$E$62&lt;=$A117)*(案件一覧!$F$3:$F$62&gt;$A117)*(案件一覧!$C$3:$C$62&lt;&gt;"キャンセル"),0),0))&amp;IF(COUNTIFS(案件一覧!$N$3:$N$62,E$3,案件一覧!$E$3:$E$62,"&lt;="&amp;$A117,案件一覧!$F$3:$F$62,"&gt;"&amp;$A117,案件一覧!$C$3:$C$62,"&lt;&gt;キャンセル")&gt;1," ◆重複!",""))</f>
        <v/>
      </c>
      <c r="F117" s="18" t="str">
        <f aca="false">IF(COUNTIFS(案件一覧!$N$3:$N$62,F$3,案件一覧!$E$3:$E$62,"&lt;="&amp;$A117,案件一覧!$F$3:$F$62,"&gt;"&amp;$A117,案件一覧!$C$3:$C$62,"&lt;&gt;キャンセル")=0,"",INDEX(案件一覧!$J$3:$J$62,MATCH(1,INDEX((案件一覧!$N$3:$N$62=F$3)*(案件一覧!$E$3:$E$62&lt;=$A117)*(案件一覧!$F$3:$F$62&gt;$A117)*(案件一覧!$C$3:$C$62&lt;&gt;"キャンセル"),0),0))&amp;IF(COUNTIFS(案件一覧!$N$3:$N$62,F$3,案件一覧!$E$3:$E$62,"&lt;="&amp;$A117,案件一覧!$F$3:$F$62,"&gt;"&amp;$A117,案件一覧!$C$3:$C$62,"&lt;&gt;キャンセル")&gt;1," ◆重複!",""))</f>
        <v/>
      </c>
      <c r="G117" s="18" t="str">
        <f aca="false">IF(COUNTIFS(案件一覧!$N$3:$N$62,G$3,案件一覧!$E$3:$E$62,"&lt;="&amp;$A117,案件一覧!$F$3:$F$62,"&gt;"&amp;$A117,案件一覧!$C$3:$C$62,"&lt;&gt;キャンセル")=0,"",INDEX(案件一覧!$J$3:$J$62,MATCH(1,INDEX((案件一覧!$N$3:$N$62=G$3)*(案件一覧!$E$3:$E$62&lt;=$A117)*(案件一覧!$F$3:$F$62&gt;$A117)*(案件一覧!$C$3:$C$62&lt;&gt;"キャンセル"),0),0))&amp;IF(COUNTIFS(案件一覧!$N$3:$N$62,G$3,案件一覧!$E$3:$E$62,"&lt;="&amp;$A117,案件一覧!$F$3:$F$62,"&gt;"&amp;$A117,案件一覧!$C$3:$C$62,"&lt;&gt;キャンセル")&gt;1," ◆重複!",""))</f>
        <v/>
      </c>
      <c r="H117" s="18" t="str">
        <f aca="false">IF(COUNTIFS(案件一覧!$N$3:$N$62,H$3,案件一覧!$E$3:$E$62,"&lt;="&amp;$A117,案件一覧!$F$3:$F$62,"&gt;"&amp;$A117,案件一覧!$C$3:$C$62,"&lt;&gt;キャンセル")=0,"",INDEX(案件一覧!$J$3:$J$62,MATCH(1,INDEX((案件一覧!$N$3:$N$62=H$3)*(案件一覧!$E$3:$E$62&lt;=$A117)*(案件一覧!$F$3:$F$62&gt;$A117)*(案件一覧!$C$3:$C$62&lt;&gt;"キャンセル"),0),0))&amp;IF(COUNTIFS(案件一覧!$N$3:$N$62,H$3,案件一覧!$E$3:$E$62,"&lt;="&amp;$A117,案件一覧!$F$3:$F$62,"&gt;"&amp;$A117,案件一覧!$C$3:$C$62,"&lt;&gt;キャンセル")&gt;1," ◆重複!",""))</f>
        <v/>
      </c>
    </row>
    <row r="118" customFormat="false" ht="15" hidden="false" customHeight="false" outlineLevel="0" collapsed="false">
      <c r="A118" s="16" t="n">
        <v>46318</v>
      </c>
      <c r="B118" s="17" t="s">
        <v>44</v>
      </c>
      <c r="C118" s="18" t="str">
        <f aca="false">IF(COUNTIFS(案件一覧!$N$3:$N$62,C$3,案件一覧!$E$3:$E$62,"&lt;="&amp;$A118,案件一覧!$F$3:$F$62,"&gt;"&amp;$A118,案件一覧!$C$3:$C$62,"&lt;&gt;キャンセル")=0,"",INDEX(案件一覧!$J$3:$J$62,MATCH(1,INDEX((案件一覧!$N$3:$N$62=C$3)*(案件一覧!$E$3:$E$62&lt;=$A118)*(案件一覧!$F$3:$F$62&gt;$A118)*(案件一覧!$C$3:$C$62&lt;&gt;"キャンセル"),0),0))&amp;IF(COUNTIFS(案件一覧!$N$3:$N$62,C$3,案件一覧!$E$3:$E$62,"&lt;="&amp;$A118,案件一覧!$F$3:$F$62,"&gt;"&amp;$A118,案件一覧!$C$3:$C$62,"&lt;&gt;キャンセル")&gt;1," ◆重複!",""))</f>
        <v/>
      </c>
      <c r="D118" s="18" t="str">
        <f aca="false">IF(COUNTIFS(案件一覧!$N$3:$N$62,D$3,案件一覧!$E$3:$E$62,"&lt;="&amp;$A118,案件一覧!$F$3:$F$62,"&gt;"&amp;$A118,案件一覧!$C$3:$C$62,"&lt;&gt;キャンセル")=0,"",INDEX(案件一覧!$J$3:$J$62,MATCH(1,INDEX((案件一覧!$N$3:$N$62=D$3)*(案件一覧!$E$3:$E$62&lt;=$A118)*(案件一覧!$F$3:$F$62&gt;$A118)*(案件一覧!$C$3:$C$62&lt;&gt;"キャンセル"),0),0))&amp;IF(COUNTIFS(案件一覧!$N$3:$N$62,D$3,案件一覧!$E$3:$E$62,"&lt;="&amp;$A118,案件一覧!$F$3:$F$62,"&gt;"&amp;$A118,案件一覧!$C$3:$C$62,"&lt;&gt;キャンセル")&gt;1," ◆重複!",""))</f>
        <v/>
      </c>
      <c r="E118" s="18" t="str">
        <f aca="false">IF(COUNTIFS(案件一覧!$N$3:$N$62,E$3,案件一覧!$E$3:$E$62,"&lt;="&amp;$A118,案件一覧!$F$3:$F$62,"&gt;"&amp;$A118,案件一覧!$C$3:$C$62,"&lt;&gt;キャンセル")=0,"",INDEX(案件一覧!$J$3:$J$62,MATCH(1,INDEX((案件一覧!$N$3:$N$62=E$3)*(案件一覧!$E$3:$E$62&lt;=$A118)*(案件一覧!$F$3:$F$62&gt;$A118)*(案件一覧!$C$3:$C$62&lt;&gt;"キャンセル"),0),0))&amp;IF(COUNTIFS(案件一覧!$N$3:$N$62,E$3,案件一覧!$E$3:$E$62,"&lt;="&amp;$A118,案件一覧!$F$3:$F$62,"&gt;"&amp;$A118,案件一覧!$C$3:$C$62,"&lt;&gt;キャンセル")&gt;1," ◆重複!",""))</f>
        <v/>
      </c>
      <c r="F118" s="18" t="str">
        <f aca="false">IF(COUNTIFS(案件一覧!$N$3:$N$62,F$3,案件一覧!$E$3:$E$62,"&lt;="&amp;$A118,案件一覧!$F$3:$F$62,"&gt;"&amp;$A118,案件一覧!$C$3:$C$62,"&lt;&gt;キャンセル")=0,"",INDEX(案件一覧!$J$3:$J$62,MATCH(1,INDEX((案件一覧!$N$3:$N$62=F$3)*(案件一覧!$E$3:$E$62&lt;=$A118)*(案件一覧!$F$3:$F$62&gt;$A118)*(案件一覧!$C$3:$C$62&lt;&gt;"キャンセル"),0),0))&amp;IF(COUNTIFS(案件一覧!$N$3:$N$62,F$3,案件一覧!$E$3:$E$62,"&lt;="&amp;$A118,案件一覧!$F$3:$F$62,"&gt;"&amp;$A118,案件一覧!$C$3:$C$62,"&lt;&gt;キャンセル")&gt;1," ◆重複!",""))</f>
        <v/>
      </c>
      <c r="G118" s="18" t="str">
        <f aca="false">IF(COUNTIFS(案件一覧!$N$3:$N$62,G$3,案件一覧!$E$3:$E$62,"&lt;="&amp;$A118,案件一覧!$F$3:$F$62,"&gt;"&amp;$A118,案件一覧!$C$3:$C$62,"&lt;&gt;キャンセル")=0,"",INDEX(案件一覧!$J$3:$J$62,MATCH(1,INDEX((案件一覧!$N$3:$N$62=G$3)*(案件一覧!$E$3:$E$62&lt;=$A118)*(案件一覧!$F$3:$F$62&gt;$A118)*(案件一覧!$C$3:$C$62&lt;&gt;"キャンセル"),0),0))&amp;IF(COUNTIFS(案件一覧!$N$3:$N$62,G$3,案件一覧!$E$3:$E$62,"&lt;="&amp;$A118,案件一覧!$F$3:$F$62,"&gt;"&amp;$A118,案件一覧!$C$3:$C$62,"&lt;&gt;キャンセル")&gt;1," ◆重複!",""))</f>
        <v/>
      </c>
      <c r="H118" s="18" t="str">
        <f aca="false">IF(COUNTIFS(案件一覧!$N$3:$N$62,H$3,案件一覧!$E$3:$E$62,"&lt;="&amp;$A118,案件一覧!$F$3:$F$62,"&gt;"&amp;$A118,案件一覧!$C$3:$C$62,"&lt;&gt;キャンセル")=0,"",INDEX(案件一覧!$J$3:$J$62,MATCH(1,INDEX((案件一覧!$N$3:$N$62=H$3)*(案件一覧!$E$3:$E$62&lt;=$A118)*(案件一覧!$F$3:$F$62&gt;$A118)*(案件一覧!$C$3:$C$62&lt;&gt;"キャンセル"),0),0))&amp;IF(COUNTIFS(案件一覧!$N$3:$N$62,H$3,案件一覧!$E$3:$E$62,"&lt;="&amp;$A118,案件一覧!$F$3:$F$62,"&gt;"&amp;$A118,案件一覧!$C$3:$C$62,"&lt;&gt;キャンセル")&gt;1," ◆重複!",""))</f>
        <v/>
      </c>
    </row>
    <row r="119" customFormat="false" ht="15" hidden="false" customHeight="false" outlineLevel="0" collapsed="false">
      <c r="A119" s="19" t="n">
        <v>46319</v>
      </c>
      <c r="B119" s="20" t="s">
        <v>45</v>
      </c>
      <c r="C119" s="21" t="str">
        <f aca="false">IF(COUNTIFS(案件一覧!$N$3:$N$62,C$3,案件一覧!$E$3:$E$62,"&lt;="&amp;$A119,案件一覧!$F$3:$F$62,"&gt;"&amp;$A119,案件一覧!$C$3:$C$62,"&lt;&gt;キャンセル")=0,"",INDEX(案件一覧!$J$3:$J$62,MATCH(1,INDEX((案件一覧!$N$3:$N$62=C$3)*(案件一覧!$E$3:$E$62&lt;=$A119)*(案件一覧!$F$3:$F$62&gt;$A119)*(案件一覧!$C$3:$C$62&lt;&gt;"キャンセル"),0),0))&amp;IF(COUNTIFS(案件一覧!$N$3:$N$62,C$3,案件一覧!$E$3:$E$62,"&lt;="&amp;$A119,案件一覧!$F$3:$F$62,"&gt;"&amp;$A119,案件一覧!$C$3:$C$62,"&lt;&gt;キャンセル")&gt;1," ◆重複!",""))</f>
        <v/>
      </c>
      <c r="D119" s="21" t="str">
        <f aca="false">IF(COUNTIFS(案件一覧!$N$3:$N$62,D$3,案件一覧!$E$3:$E$62,"&lt;="&amp;$A119,案件一覧!$F$3:$F$62,"&gt;"&amp;$A119,案件一覧!$C$3:$C$62,"&lt;&gt;キャンセル")=0,"",INDEX(案件一覧!$J$3:$J$62,MATCH(1,INDEX((案件一覧!$N$3:$N$62=D$3)*(案件一覧!$E$3:$E$62&lt;=$A119)*(案件一覧!$F$3:$F$62&gt;$A119)*(案件一覧!$C$3:$C$62&lt;&gt;"キャンセル"),0),0))&amp;IF(COUNTIFS(案件一覧!$N$3:$N$62,D$3,案件一覧!$E$3:$E$62,"&lt;="&amp;$A119,案件一覧!$F$3:$F$62,"&gt;"&amp;$A119,案件一覧!$C$3:$C$62,"&lt;&gt;キャンセル")&gt;1," ◆重複!",""))</f>
        <v/>
      </c>
      <c r="E119" s="21" t="str">
        <f aca="false">IF(COUNTIFS(案件一覧!$N$3:$N$62,E$3,案件一覧!$E$3:$E$62,"&lt;="&amp;$A119,案件一覧!$F$3:$F$62,"&gt;"&amp;$A119,案件一覧!$C$3:$C$62,"&lt;&gt;キャンセル")=0,"",INDEX(案件一覧!$J$3:$J$62,MATCH(1,INDEX((案件一覧!$N$3:$N$62=E$3)*(案件一覧!$E$3:$E$62&lt;=$A119)*(案件一覧!$F$3:$F$62&gt;$A119)*(案件一覧!$C$3:$C$62&lt;&gt;"キャンセル"),0),0))&amp;IF(COUNTIFS(案件一覧!$N$3:$N$62,E$3,案件一覧!$E$3:$E$62,"&lt;="&amp;$A119,案件一覧!$F$3:$F$62,"&gt;"&amp;$A119,案件一覧!$C$3:$C$62,"&lt;&gt;キャンセル")&gt;1," ◆重複!",""))</f>
        <v/>
      </c>
      <c r="F119" s="21" t="str">
        <f aca="false">IF(COUNTIFS(案件一覧!$N$3:$N$62,F$3,案件一覧!$E$3:$E$62,"&lt;="&amp;$A119,案件一覧!$F$3:$F$62,"&gt;"&amp;$A119,案件一覧!$C$3:$C$62,"&lt;&gt;キャンセル")=0,"",INDEX(案件一覧!$J$3:$J$62,MATCH(1,INDEX((案件一覧!$N$3:$N$62=F$3)*(案件一覧!$E$3:$E$62&lt;=$A119)*(案件一覧!$F$3:$F$62&gt;$A119)*(案件一覧!$C$3:$C$62&lt;&gt;"キャンセル"),0),0))&amp;IF(COUNTIFS(案件一覧!$N$3:$N$62,F$3,案件一覧!$E$3:$E$62,"&lt;="&amp;$A119,案件一覧!$F$3:$F$62,"&gt;"&amp;$A119,案件一覧!$C$3:$C$62,"&lt;&gt;キャンセル")&gt;1," ◆重複!",""))</f>
        <v/>
      </c>
      <c r="G119" s="21" t="str">
        <f aca="false">IF(COUNTIFS(案件一覧!$N$3:$N$62,G$3,案件一覧!$E$3:$E$62,"&lt;="&amp;$A119,案件一覧!$F$3:$F$62,"&gt;"&amp;$A119,案件一覧!$C$3:$C$62,"&lt;&gt;キャンセル")=0,"",INDEX(案件一覧!$J$3:$J$62,MATCH(1,INDEX((案件一覧!$N$3:$N$62=G$3)*(案件一覧!$E$3:$E$62&lt;=$A119)*(案件一覧!$F$3:$F$62&gt;$A119)*(案件一覧!$C$3:$C$62&lt;&gt;"キャンセル"),0),0))&amp;IF(COUNTIFS(案件一覧!$N$3:$N$62,G$3,案件一覧!$E$3:$E$62,"&lt;="&amp;$A119,案件一覧!$F$3:$F$62,"&gt;"&amp;$A119,案件一覧!$C$3:$C$62,"&lt;&gt;キャンセル")&gt;1," ◆重複!",""))</f>
        <v/>
      </c>
      <c r="H119" s="21" t="str">
        <f aca="false">IF(COUNTIFS(案件一覧!$N$3:$N$62,H$3,案件一覧!$E$3:$E$62,"&lt;="&amp;$A119,案件一覧!$F$3:$F$62,"&gt;"&amp;$A119,案件一覧!$C$3:$C$62,"&lt;&gt;キャンセル")=0,"",INDEX(案件一覧!$J$3:$J$62,MATCH(1,INDEX((案件一覧!$N$3:$N$62=H$3)*(案件一覧!$E$3:$E$62&lt;=$A119)*(案件一覧!$F$3:$F$62&gt;$A119)*(案件一覧!$C$3:$C$62&lt;&gt;"キャンセル"),0),0))&amp;IF(COUNTIFS(案件一覧!$N$3:$N$62,H$3,案件一覧!$E$3:$E$62,"&lt;="&amp;$A119,案件一覧!$F$3:$F$62,"&gt;"&amp;$A119,案件一覧!$C$3:$C$62,"&lt;&gt;キャンセル")&gt;1," ◆重複!",""))</f>
        <v/>
      </c>
    </row>
    <row r="120" customFormat="false" ht="15" hidden="false" customHeight="false" outlineLevel="0" collapsed="false">
      <c r="A120" s="22" t="n">
        <v>46320</v>
      </c>
      <c r="B120" s="23" t="s">
        <v>46</v>
      </c>
      <c r="C120" s="24" t="str">
        <f aca="false">IF(COUNTIFS(案件一覧!$N$3:$N$62,C$3,案件一覧!$E$3:$E$62,"&lt;="&amp;$A120,案件一覧!$F$3:$F$62,"&gt;"&amp;$A120,案件一覧!$C$3:$C$62,"&lt;&gt;キャンセル")=0,"",INDEX(案件一覧!$J$3:$J$62,MATCH(1,INDEX((案件一覧!$N$3:$N$62=C$3)*(案件一覧!$E$3:$E$62&lt;=$A120)*(案件一覧!$F$3:$F$62&gt;$A120)*(案件一覧!$C$3:$C$62&lt;&gt;"キャンセル"),0),0))&amp;IF(COUNTIFS(案件一覧!$N$3:$N$62,C$3,案件一覧!$E$3:$E$62,"&lt;="&amp;$A120,案件一覧!$F$3:$F$62,"&gt;"&amp;$A120,案件一覧!$C$3:$C$62,"&lt;&gt;キャンセル")&gt;1," ◆重複!",""))</f>
        <v/>
      </c>
      <c r="D120" s="24" t="str">
        <f aca="false">IF(COUNTIFS(案件一覧!$N$3:$N$62,D$3,案件一覧!$E$3:$E$62,"&lt;="&amp;$A120,案件一覧!$F$3:$F$62,"&gt;"&amp;$A120,案件一覧!$C$3:$C$62,"&lt;&gt;キャンセル")=0,"",INDEX(案件一覧!$J$3:$J$62,MATCH(1,INDEX((案件一覧!$N$3:$N$62=D$3)*(案件一覧!$E$3:$E$62&lt;=$A120)*(案件一覧!$F$3:$F$62&gt;$A120)*(案件一覧!$C$3:$C$62&lt;&gt;"キャンセル"),0),0))&amp;IF(COUNTIFS(案件一覧!$N$3:$N$62,D$3,案件一覧!$E$3:$E$62,"&lt;="&amp;$A120,案件一覧!$F$3:$F$62,"&gt;"&amp;$A120,案件一覧!$C$3:$C$62,"&lt;&gt;キャンセル")&gt;1," ◆重複!",""))</f>
        <v/>
      </c>
      <c r="E120" s="24" t="str">
        <f aca="false">IF(COUNTIFS(案件一覧!$N$3:$N$62,E$3,案件一覧!$E$3:$E$62,"&lt;="&amp;$A120,案件一覧!$F$3:$F$62,"&gt;"&amp;$A120,案件一覧!$C$3:$C$62,"&lt;&gt;キャンセル")=0,"",INDEX(案件一覧!$J$3:$J$62,MATCH(1,INDEX((案件一覧!$N$3:$N$62=E$3)*(案件一覧!$E$3:$E$62&lt;=$A120)*(案件一覧!$F$3:$F$62&gt;$A120)*(案件一覧!$C$3:$C$62&lt;&gt;"キャンセル"),0),0))&amp;IF(COUNTIFS(案件一覧!$N$3:$N$62,E$3,案件一覧!$E$3:$E$62,"&lt;="&amp;$A120,案件一覧!$F$3:$F$62,"&gt;"&amp;$A120,案件一覧!$C$3:$C$62,"&lt;&gt;キャンセル")&gt;1," ◆重複!",""))</f>
        <v/>
      </c>
      <c r="F120" s="24" t="str">
        <f aca="false">IF(COUNTIFS(案件一覧!$N$3:$N$62,F$3,案件一覧!$E$3:$E$62,"&lt;="&amp;$A120,案件一覧!$F$3:$F$62,"&gt;"&amp;$A120,案件一覧!$C$3:$C$62,"&lt;&gt;キャンセル")=0,"",INDEX(案件一覧!$J$3:$J$62,MATCH(1,INDEX((案件一覧!$N$3:$N$62=F$3)*(案件一覧!$E$3:$E$62&lt;=$A120)*(案件一覧!$F$3:$F$62&gt;$A120)*(案件一覧!$C$3:$C$62&lt;&gt;"キャンセル"),0),0))&amp;IF(COUNTIFS(案件一覧!$N$3:$N$62,F$3,案件一覧!$E$3:$E$62,"&lt;="&amp;$A120,案件一覧!$F$3:$F$62,"&gt;"&amp;$A120,案件一覧!$C$3:$C$62,"&lt;&gt;キャンセル")&gt;1," ◆重複!",""))</f>
        <v/>
      </c>
      <c r="G120" s="24" t="str">
        <f aca="false">IF(COUNTIFS(案件一覧!$N$3:$N$62,G$3,案件一覧!$E$3:$E$62,"&lt;="&amp;$A120,案件一覧!$F$3:$F$62,"&gt;"&amp;$A120,案件一覧!$C$3:$C$62,"&lt;&gt;キャンセル")=0,"",INDEX(案件一覧!$J$3:$J$62,MATCH(1,INDEX((案件一覧!$N$3:$N$62=G$3)*(案件一覧!$E$3:$E$62&lt;=$A120)*(案件一覧!$F$3:$F$62&gt;$A120)*(案件一覧!$C$3:$C$62&lt;&gt;"キャンセル"),0),0))&amp;IF(COUNTIFS(案件一覧!$N$3:$N$62,G$3,案件一覧!$E$3:$E$62,"&lt;="&amp;$A120,案件一覧!$F$3:$F$62,"&gt;"&amp;$A120,案件一覧!$C$3:$C$62,"&lt;&gt;キャンセル")&gt;1," ◆重複!",""))</f>
        <v/>
      </c>
      <c r="H120" s="24" t="str">
        <f aca="false">IF(COUNTIFS(案件一覧!$N$3:$N$62,H$3,案件一覧!$E$3:$E$62,"&lt;="&amp;$A120,案件一覧!$F$3:$F$62,"&gt;"&amp;$A120,案件一覧!$C$3:$C$62,"&lt;&gt;キャンセル")=0,"",INDEX(案件一覧!$J$3:$J$62,MATCH(1,INDEX((案件一覧!$N$3:$N$62=H$3)*(案件一覧!$E$3:$E$62&lt;=$A120)*(案件一覧!$F$3:$F$62&gt;$A120)*(案件一覧!$C$3:$C$62&lt;&gt;"キャンセル"),0),0))&amp;IF(COUNTIFS(案件一覧!$N$3:$N$62,H$3,案件一覧!$E$3:$E$62,"&lt;="&amp;$A120,案件一覧!$F$3:$F$62,"&gt;"&amp;$A120,案件一覧!$C$3:$C$62,"&lt;&gt;キャンセル")&gt;1," ◆重複!",""))</f>
        <v/>
      </c>
    </row>
    <row r="121" customFormat="false" ht="15" hidden="false" customHeight="false" outlineLevel="0" collapsed="false">
      <c r="A121" s="16" t="n">
        <v>46321</v>
      </c>
      <c r="B121" s="17" t="s">
        <v>47</v>
      </c>
      <c r="C121" s="18" t="str">
        <f aca="false">IF(COUNTIFS(案件一覧!$N$3:$N$62,C$3,案件一覧!$E$3:$E$62,"&lt;="&amp;$A121,案件一覧!$F$3:$F$62,"&gt;"&amp;$A121,案件一覧!$C$3:$C$62,"&lt;&gt;キャンセル")=0,"",INDEX(案件一覧!$J$3:$J$62,MATCH(1,INDEX((案件一覧!$N$3:$N$62=C$3)*(案件一覧!$E$3:$E$62&lt;=$A121)*(案件一覧!$F$3:$F$62&gt;$A121)*(案件一覧!$C$3:$C$62&lt;&gt;"キャンセル"),0),0))&amp;IF(COUNTIFS(案件一覧!$N$3:$N$62,C$3,案件一覧!$E$3:$E$62,"&lt;="&amp;$A121,案件一覧!$F$3:$F$62,"&gt;"&amp;$A121,案件一覧!$C$3:$C$62,"&lt;&gt;キャンセル")&gt;1," ◆重複!",""))</f>
        <v/>
      </c>
      <c r="D121" s="18" t="str">
        <f aca="false">IF(COUNTIFS(案件一覧!$N$3:$N$62,D$3,案件一覧!$E$3:$E$62,"&lt;="&amp;$A121,案件一覧!$F$3:$F$62,"&gt;"&amp;$A121,案件一覧!$C$3:$C$62,"&lt;&gt;キャンセル")=0,"",INDEX(案件一覧!$J$3:$J$62,MATCH(1,INDEX((案件一覧!$N$3:$N$62=D$3)*(案件一覧!$E$3:$E$62&lt;=$A121)*(案件一覧!$F$3:$F$62&gt;$A121)*(案件一覧!$C$3:$C$62&lt;&gt;"キャンセル"),0),0))&amp;IF(COUNTIFS(案件一覧!$N$3:$N$62,D$3,案件一覧!$E$3:$E$62,"&lt;="&amp;$A121,案件一覧!$F$3:$F$62,"&gt;"&amp;$A121,案件一覧!$C$3:$C$62,"&lt;&gt;キャンセル")&gt;1," ◆重複!",""))</f>
        <v/>
      </c>
      <c r="E121" s="18" t="str">
        <f aca="false">IF(COUNTIFS(案件一覧!$N$3:$N$62,E$3,案件一覧!$E$3:$E$62,"&lt;="&amp;$A121,案件一覧!$F$3:$F$62,"&gt;"&amp;$A121,案件一覧!$C$3:$C$62,"&lt;&gt;キャンセル")=0,"",INDEX(案件一覧!$J$3:$J$62,MATCH(1,INDEX((案件一覧!$N$3:$N$62=E$3)*(案件一覧!$E$3:$E$62&lt;=$A121)*(案件一覧!$F$3:$F$62&gt;$A121)*(案件一覧!$C$3:$C$62&lt;&gt;"キャンセル"),0),0))&amp;IF(COUNTIFS(案件一覧!$N$3:$N$62,E$3,案件一覧!$E$3:$E$62,"&lt;="&amp;$A121,案件一覧!$F$3:$F$62,"&gt;"&amp;$A121,案件一覧!$C$3:$C$62,"&lt;&gt;キャンセル")&gt;1," ◆重複!",""))</f>
        <v/>
      </c>
      <c r="F121" s="18" t="str">
        <f aca="false">IF(COUNTIFS(案件一覧!$N$3:$N$62,F$3,案件一覧!$E$3:$E$62,"&lt;="&amp;$A121,案件一覧!$F$3:$F$62,"&gt;"&amp;$A121,案件一覧!$C$3:$C$62,"&lt;&gt;キャンセル")=0,"",INDEX(案件一覧!$J$3:$J$62,MATCH(1,INDEX((案件一覧!$N$3:$N$62=F$3)*(案件一覧!$E$3:$E$62&lt;=$A121)*(案件一覧!$F$3:$F$62&gt;$A121)*(案件一覧!$C$3:$C$62&lt;&gt;"キャンセル"),0),0))&amp;IF(COUNTIFS(案件一覧!$N$3:$N$62,F$3,案件一覧!$E$3:$E$62,"&lt;="&amp;$A121,案件一覧!$F$3:$F$62,"&gt;"&amp;$A121,案件一覧!$C$3:$C$62,"&lt;&gt;キャンセル")&gt;1," ◆重複!",""))</f>
        <v/>
      </c>
      <c r="G121" s="18" t="str">
        <f aca="false">IF(COUNTIFS(案件一覧!$N$3:$N$62,G$3,案件一覧!$E$3:$E$62,"&lt;="&amp;$A121,案件一覧!$F$3:$F$62,"&gt;"&amp;$A121,案件一覧!$C$3:$C$62,"&lt;&gt;キャンセル")=0,"",INDEX(案件一覧!$J$3:$J$62,MATCH(1,INDEX((案件一覧!$N$3:$N$62=G$3)*(案件一覧!$E$3:$E$62&lt;=$A121)*(案件一覧!$F$3:$F$62&gt;$A121)*(案件一覧!$C$3:$C$62&lt;&gt;"キャンセル"),0),0))&amp;IF(COUNTIFS(案件一覧!$N$3:$N$62,G$3,案件一覧!$E$3:$E$62,"&lt;="&amp;$A121,案件一覧!$F$3:$F$62,"&gt;"&amp;$A121,案件一覧!$C$3:$C$62,"&lt;&gt;キャンセル")&gt;1," ◆重複!",""))</f>
        <v/>
      </c>
      <c r="H121" s="18" t="str">
        <f aca="false">IF(COUNTIFS(案件一覧!$N$3:$N$62,H$3,案件一覧!$E$3:$E$62,"&lt;="&amp;$A121,案件一覧!$F$3:$F$62,"&gt;"&amp;$A121,案件一覧!$C$3:$C$62,"&lt;&gt;キャンセル")=0,"",INDEX(案件一覧!$J$3:$J$62,MATCH(1,INDEX((案件一覧!$N$3:$N$62=H$3)*(案件一覧!$E$3:$E$62&lt;=$A121)*(案件一覧!$F$3:$F$62&gt;$A121)*(案件一覧!$C$3:$C$62&lt;&gt;"キャンセル"),0),0))&amp;IF(COUNTIFS(案件一覧!$N$3:$N$62,H$3,案件一覧!$E$3:$E$62,"&lt;="&amp;$A121,案件一覧!$F$3:$F$62,"&gt;"&amp;$A121,案件一覧!$C$3:$C$62,"&lt;&gt;キャンセル")&gt;1," ◆重複!",""))</f>
        <v/>
      </c>
    </row>
    <row r="122" customFormat="false" ht="15" hidden="false" customHeight="false" outlineLevel="0" collapsed="false">
      <c r="A122" s="16" t="n">
        <v>46322</v>
      </c>
      <c r="B122" s="17" t="s">
        <v>48</v>
      </c>
      <c r="C122" s="18" t="str">
        <f aca="false">IF(COUNTIFS(案件一覧!$N$3:$N$62,C$3,案件一覧!$E$3:$E$62,"&lt;="&amp;$A122,案件一覧!$F$3:$F$62,"&gt;"&amp;$A122,案件一覧!$C$3:$C$62,"&lt;&gt;キャンセル")=0,"",INDEX(案件一覧!$J$3:$J$62,MATCH(1,INDEX((案件一覧!$N$3:$N$62=C$3)*(案件一覧!$E$3:$E$62&lt;=$A122)*(案件一覧!$F$3:$F$62&gt;$A122)*(案件一覧!$C$3:$C$62&lt;&gt;"キャンセル"),0),0))&amp;IF(COUNTIFS(案件一覧!$N$3:$N$62,C$3,案件一覧!$E$3:$E$62,"&lt;="&amp;$A122,案件一覧!$F$3:$F$62,"&gt;"&amp;$A122,案件一覧!$C$3:$C$62,"&lt;&gt;キャンセル")&gt;1," ◆重複!",""))</f>
        <v/>
      </c>
      <c r="D122" s="18" t="str">
        <f aca="false">IF(COUNTIFS(案件一覧!$N$3:$N$62,D$3,案件一覧!$E$3:$E$62,"&lt;="&amp;$A122,案件一覧!$F$3:$F$62,"&gt;"&amp;$A122,案件一覧!$C$3:$C$62,"&lt;&gt;キャンセル")=0,"",INDEX(案件一覧!$J$3:$J$62,MATCH(1,INDEX((案件一覧!$N$3:$N$62=D$3)*(案件一覧!$E$3:$E$62&lt;=$A122)*(案件一覧!$F$3:$F$62&gt;$A122)*(案件一覧!$C$3:$C$62&lt;&gt;"キャンセル"),0),0))&amp;IF(COUNTIFS(案件一覧!$N$3:$N$62,D$3,案件一覧!$E$3:$E$62,"&lt;="&amp;$A122,案件一覧!$F$3:$F$62,"&gt;"&amp;$A122,案件一覧!$C$3:$C$62,"&lt;&gt;キャンセル")&gt;1," ◆重複!",""))</f>
        <v/>
      </c>
      <c r="E122" s="18" t="str">
        <f aca="false">IF(COUNTIFS(案件一覧!$N$3:$N$62,E$3,案件一覧!$E$3:$E$62,"&lt;="&amp;$A122,案件一覧!$F$3:$F$62,"&gt;"&amp;$A122,案件一覧!$C$3:$C$62,"&lt;&gt;キャンセル")=0,"",INDEX(案件一覧!$J$3:$J$62,MATCH(1,INDEX((案件一覧!$N$3:$N$62=E$3)*(案件一覧!$E$3:$E$62&lt;=$A122)*(案件一覧!$F$3:$F$62&gt;$A122)*(案件一覧!$C$3:$C$62&lt;&gt;"キャンセル"),0),0))&amp;IF(COUNTIFS(案件一覧!$N$3:$N$62,E$3,案件一覧!$E$3:$E$62,"&lt;="&amp;$A122,案件一覧!$F$3:$F$62,"&gt;"&amp;$A122,案件一覧!$C$3:$C$62,"&lt;&gt;キャンセル")&gt;1," ◆重複!",""))</f>
        <v/>
      </c>
      <c r="F122" s="18" t="str">
        <f aca="false">IF(COUNTIFS(案件一覧!$N$3:$N$62,F$3,案件一覧!$E$3:$E$62,"&lt;="&amp;$A122,案件一覧!$F$3:$F$62,"&gt;"&amp;$A122,案件一覧!$C$3:$C$62,"&lt;&gt;キャンセル")=0,"",INDEX(案件一覧!$J$3:$J$62,MATCH(1,INDEX((案件一覧!$N$3:$N$62=F$3)*(案件一覧!$E$3:$E$62&lt;=$A122)*(案件一覧!$F$3:$F$62&gt;$A122)*(案件一覧!$C$3:$C$62&lt;&gt;"キャンセル"),0),0))&amp;IF(COUNTIFS(案件一覧!$N$3:$N$62,F$3,案件一覧!$E$3:$E$62,"&lt;="&amp;$A122,案件一覧!$F$3:$F$62,"&gt;"&amp;$A122,案件一覧!$C$3:$C$62,"&lt;&gt;キャンセル")&gt;1," ◆重複!",""))</f>
        <v/>
      </c>
      <c r="G122" s="18" t="str">
        <f aca="false">IF(COUNTIFS(案件一覧!$N$3:$N$62,G$3,案件一覧!$E$3:$E$62,"&lt;="&amp;$A122,案件一覧!$F$3:$F$62,"&gt;"&amp;$A122,案件一覧!$C$3:$C$62,"&lt;&gt;キャンセル")=0,"",INDEX(案件一覧!$J$3:$J$62,MATCH(1,INDEX((案件一覧!$N$3:$N$62=G$3)*(案件一覧!$E$3:$E$62&lt;=$A122)*(案件一覧!$F$3:$F$62&gt;$A122)*(案件一覧!$C$3:$C$62&lt;&gt;"キャンセル"),0),0))&amp;IF(COUNTIFS(案件一覧!$N$3:$N$62,G$3,案件一覧!$E$3:$E$62,"&lt;="&amp;$A122,案件一覧!$F$3:$F$62,"&gt;"&amp;$A122,案件一覧!$C$3:$C$62,"&lt;&gt;キャンセル")&gt;1," ◆重複!",""))</f>
        <v/>
      </c>
      <c r="H122" s="18" t="str">
        <f aca="false">IF(COUNTIFS(案件一覧!$N$3:$N$62,H$3,案件一覧!$E$3:$E$62,"&lt;="&amp;$A122,案件一覧!$F$3:$F$62,"&gt;"&amp;$A122,案件一覧!$C$3:$C$62,"&lt;&gt;キャンセル")=0,"",INDEX(案件一覧!$J$3:$J$62,MATCH(1,INDEX((案件一覧!$N$3:$N$62=H$3)*(案件一覧!$E$3:$E$62&lt;=$A122)*(案件一覧!$F$3:$F$62&gt;$A122)*(案件一覧!$C$3:$C$62&lt;&gt;"キャンセル"),0),0))&amp;IF(COUNTIFS(案件一覧!$N$3:$N$62,H$3,案件一覧!$E$3:$E$62,"&lt;="&amp;$A122,案件一覧!$F$3:$F$62,"&gt;"&amp;$A122,案件一覧!$C$3:$C$62,"&lt;&gt;キャンセル")&gt;1," ◆重複!",""))</f>
        <v/>
      </c>
    </row>
    <row r="123" customFormat="false" ht="15" hidden="false" customHeight="false" outlineLevel="0" collapsed="false">
      <c r="A123" s="16" t="n">
        <v>46323</v>
      </c>
      <c r="B123" s="17" t="s">
        <v>42</v>
      </c>
      <c r="C123" s="18" t="str">
        <f aca="false">IF(COUNTIFS(案件一覧!$N$3:$N$62,C$3,案件一覧!$E$3:$E$62,"&lt;="&amp;$A123,案件一覧!$F$3:$F$62,"&gt;"&amp;$A123,案件一覧!$C$3:$C$62,"&lt;&gt;キャンセル")=0,"",INDEX(案件一覧!$J$3:$J$62,MATCH(1,INDEX((案件一覧!$N$3:$N$62=C$3)*(案件一覧!$E$3:$E$62&lt;=$A123)*(案件一覧!$F$3:$F$62&gt;$A123)*(案件一覧!$C$3:$C$62&lt;&gt;"キャンセル"),0),0))&amp;IF(COUNTIFS(案件一覧!$N$3:$N$62,C$3,案件一覧!$E$3:$E$62,"&lt;="&amp;$A123,案件一覧!$F$3:$F$62,"&gt;"&amp;$A123,案件一覧!$C$3:$C$62,"&lt;&gt;キャンセル")&gt;1," ◆重複!",""))</f>
        <v/>
      </c>
      <c r="D123" s="18" t="str">
        <f aca="false">IF(COUNTIFS(案件一覧!$N$3:$N$62,D$3,案件一覧!$E$3:$E$62,"&lt;="&amp;$A123,案件一覧!$F$3:$F$62,"&gt;"&amp;$A123,案件一覧!$C$3:$C$62,"&lt;&gt;キャンセル")=0,"",INDEX(案件一覧!$J$3:$J$62,MATCH(1,INDEX((案件一覧!$N$3:$N$62=D$3)*(案件一覧!$E$3:$E$62&lt;=$A123)*(案件一覧!$F$3:$F$62&gt;$A123)*(案件一覧!$C$3:$C$62&lt;&gt;"キャンセル"),0),0))&amp;IF(COUNTIFS(案件一覧!$N$3:$N$62,D$3,案件一覧!$E$3:$E$62,"&lt;="&amp;$A123,案件一覧!$F$3:$F$62,"&gt;"&amp;$A123,案件一覧!$C$3:$C$62,"&lt;&gt;キャンセル")&gt;1," ◆重複!",""))</f>
        <v/>
      </c>
      <c r="E123" s="18" t="str">
        <f aca="false">IF(COUNTIFS(案件一覧!$N$3:$N$62,E$3,案件一覧!$E$3:$E$62,"&lt;="&amp;$A123,案件一覧!$F$3:$F$62,"&gt;"&amp;$A123,案件一覧!$C$3:$C$62,"&lt;&gt;キャンセル")=0,"",INDEX(案件一覧!$J$3:$J$62,MATCH(1,INDEX((案件一覧!$N$3:$N$62=E$3)*(案件一覧!$E$3:$E$62&lt;=$A123)*(案件一覧!$F$3:$F$62&gt;$A123)*(案件一覧!$C$3:$C$62&lt;&gt;"キャンセル"),0),0))&amp;IF(COUNTIFS(案件一覧!$N$3:$N$62,E$3,案件一覧!$E$3:$E$62,"&lt;="&amp;$A123,案件一覧!$F$3:$F$62,"&gt;"&amp;$A123,案件一覧!$C$3:$C$62,"&lt;&gt;キャンセル")&gt;1," ◆重複!",""))</f>
        <v/>
      </c>
      <c r="F123" s="18" t="str">
        <f aca="false">IF(COUNTIFS(案件一覧!$N$3:$N$62,F$3,案件一覧!$E$3:$E$62,"&lt;="&amp;$A123,案件一覧!$F$3:$F$62,"&gt;"&amp;$A123,案件一覧!$C$3:$C$62,"&lt;&gt;キャンセル")=0,"",INDEX(案件一覧!$J$3:$J$62,MATCH(1,INDEX((案件一覧!$N$3:$N$62=F$3)*(案件一覧!$E$3:$E$62&lt;=$A123)*(案件一覧!$F$3:$F$62&gt;$A123)*(案件一覧!$C$3:$C$62&lt;&gt;"キャンセル"),0),0))&amp;IF(COUNTIFS(案件一覧!$N$3:$N$62,F$3,案件一覧!$E$3:$E$62,"&lt;="&amp;$A123,案件一覧!$F$3:$F$62,"&gt;"&amp;$A123,案件一覧!$C$3:$C$62,"&lt;&gt;キャンセル")&gt;1," ◆重複!",""))</f>
        <v/>
      </c>
      <c r="G123" s="18" t="str">
        <f aca="false">IF(COUNTIFS(案件一覧!$N$3:$N$62,G$3,案件一覧!$E$3:$E$62,"&lt;="&amp;$A123,案件一覧!$F$3:$F$62,"&gt;"&amp;$A123,案件一覧!$C$3:$C$62,"&lt;&gt;キャンセル")=0,"",INDEX(案件一覧!$J$3:$J$62,MATCH(1,INDEX((案件一覧!$N$3:$N$62=G$3)*(案件一覧!$E$3:$E$62&lt;=$A123)*(案件一覧!$F$3:$F$62&gt;$A123)*(案件一覧!$C$3:$C$62&lt;&gt;"キャンセル"),0),0))&amp;IF(COUNTIFS(案件一覧!$N$3:$N$62,G$3,案件一覧!$E$3:$E$62,"&lt;="&amp;$A123,案件一覧!$F$3:$F$62,"&gt;"&amp;$A123,案件一覧!$C$3:$C$62,"&lt;&gt;キャンセル")&gt;1," ◆重複!",""))</f>
        <v/>
      </c>
      <c r="H123" s="18" t="str">
        <f aca="false">IF(COUNTIFS(案件一覧!$N$3:$N$62,H$3,案件一覧!$E$3:$E$62,"&lt;="&amp;$A123,案件一覧!$F$3:$F$62,"&gt;"&amp;$A123,案件一覧!$C$3:$C$62,"&lt;&gt;キャンセル")=0,"",INDEX(案件一覧!$J$3:$J$62,MATCH(1,INDEX((案件一覧!$N$3:$N$62=H$3)*(案件一覧!$E$3:$E$62&lt;=$A123)*(案件一覧!$F$3:$F$62&gt;$A123)*(案件一覧!$C$3:$C$62&lt;&gt;"キャンセル"),0),0))&amp;IF(COUNTIFS(案件一覧!$N$3:$N$62,H$3,案件一覧!$E$3:$E$62,"&lt;="&amp;$A123,案件一覧!$F$3:$F$62,"&gt;"&amp;$A123,案件一覧!$C$3:$C$62,"&lt;&gt;キャンセル")&gt;1," ◆重複!",""))</f>
        <v/>
      </c>
    </row>
    <row r="124" customFormat="false" ht="15" hidden="false" customHeight="false" outlineLevel="0" collapsed="false">
      <c r="A124" s="16" t="n">
        <v>46324</v>
      </c>
      <c r="B124" s="17" t="s">
        <v>43</v>
      </c>
      <c r="C124" s="18" t="str">
        <f aca="false">IF(COUNTIFS(案件一覧!$N$3:$N$62,C$3,案件一覧!$E$3:$E$62,"&lt;="&amp;$A124,案件一覧!$F$3:$F$62,"&gt;"&amp;$A124,案件一覧!$C$3:$C$62,"&lt;&gt;キャンセル")=0,"",INDEX(案件一覧!$J$3:$J$62,MATCH(1,INDEX((案件一覧!$N$3:$N$62=C$3)*(案件一覧!$E$3:$E$62&lt;=$A124)*(案件一覧!$F$3:$F$62&gt;$A124)*(案件一覧!$C$3:$C$62&lt;&gt;"キャンセル"),0),0))&amp;IF(COUNTIFS(案件一覧!$N$3:$N$62,C$3,案件一覧!$E$3:$E$62,"&lt;="&amp;$A124,案件一覧!$F$3:$F$62,"&gt;"&amp;$A124,案件一覧!$C$3:$C$62,"&lt;&gt;キャンセル")&gt;1," ◆重複!",""))</f>
        <v/>
      </c>
      <c r="D124" s="18" t="str">
        <f aca="false">IF(COUNTIFS(案件一覧!$N$3:$N$62,D$3,案件一覧!$E$3:$E$62,"&lt;="&amp;$A124,案件一覧!$F$3:$F$62,"&gt;"&amp;$A124,案件一覧!$C$3:$C$62,"&lt;&gt;キャンセル")=0,"",INDEX(案件一覧!$J$3:$J$62,MATCH(1,INDEX((案件一覧!$N$3:$N$62=D$3)*(案件一覧!$E$3:$E$62&lt;=$A124)*(案件一覧!$F$3:$F$62&gt;$A124)*(案件一覧!$C$3:$C$62&lt;&gt;"キャンセル"),0),0))&amp;IF(COUNTIFS(案件一覧!$N$3:$N$62,D$3,案件一覧!$E$3:$E$62,"&lt;="&amp;$A124,案件一覧!$F$3:$F$62,"&gt;"&amp;$A124,案件一覧!$C$3:$C$62,"&lt;&gt;キャンセル")&gt;1," ◆重複!",""))</f>
        <v/>
      </c>
      <c r="E124" s="18" t="str">
        <f aca="false">IF(COUNTIFS(案件一覧!$N$3:$N$62,E$3,案件一覧!$E$3:$E$62,"&lt;="&amp;$A124,案件一覧!$F$3:$F$62,"&gt;"&amp;$A124,案件一覧!$C$3:$C$62,"&lt;&gt;キャンセル")=0,"",INDEX(案件一覧!$J$3:$J$62,MATCH(1,INDEX((案件一覧!$N$3:$N$62=E$3)*(案件一覧!$E$3:$E$62&lt;=$A124)*(案件一覧!$F$3:$F$62&gt;$A124)*(案件一覧!$C$3:$C$62&lt;&gt;"キャンセル"),0),0))&amp;IF(COUNTIFS(案件一覧!$N$3:$N$62,E$3,案件一覧!$E$3:$E$62,"&lt;="&amp;$A124,案件一覧!$F$3:$F$62,"&gt;"&amp;$A124,案件一覧!$C$3:$C$62,"&lt;&gt;キャンセル")&gt;1," ◆重複!",""))</f>
        <v/>
      </c>
      <c r="F124" s="18" t="str">
        <f aca="false">IF(COUNTIFS(案件一覧!$N$3:$N$62,F$3,案件一覧!$E$3:$E$62,"&lt;="&amp;$A124,案件一覧!$F$3:$F$62,"&gt;"&amp;$A124,案件一覧!$C$3:$C$62,"&lt;&gt;キャンセル")=0,"",INDEX(案件一覧!$J$3:$J$62,MATCH(1,INDEX((案件一覧!$N$3:$N$62=F$3)*(案件一覧!$E$3:$E$62&lt;=$A124)*(案件一覧!$F$3:$F$62&gt;$A124)*(案件一覧!$C$3:$C$62&lt;&gt;"キャンセル"),0),0))&amp;IF(COUNTIFS(案件一覧!$N$3:$N$62,F$3,案件一覧!$E$3:$E$62,"&lt;="&amp;$A124,案件一覧!$F$3:$F$62,"&gt;"&amp;$A124,案件一覧!$C$3:$C$62,"&lt;&gt;キャンセル")&gt;1," ◆重複!",""))</f>
        <v/>
      </c>
      <c r="G124" s="18" t="str">
        <f aca="false">IF(COUNTIFS(案件一覧!$N$3:$N$62,G$3,案件一覧!$E$3:$E$62,"&lt;="&amp;$A124,案件一覧!$F$3:$F$62,"&gt;"&amp;$A124,案件一覧!$C$3:$C$62,"&lt;&gt;キャンセル")=0,"",INDEX(案件一覧!$J$3:$J$62,MATCH(1,INDEX((案件一覧!$N$3:$N$62=G$3)*(案件一覧!$E$3:$E$62&lt;=$A124)*(案件一覧!$F$3:$F$62&gt;$A124)*(案件一覧!$C$3:$C$62&lt;&gt;"キャンセル"),0),0))&amp;IF(COUNTIFS(案件一覧!$N$3:$N$62,G$3,案件一覧!$E$3:$E$62,"&lt;="&amp;$A124,案件一覧!$F$3:$F$62,"&gt;"&amp;$A124,案件一覧!$C$3:$C$62,"&lt;&gt;キャンセル")&gt;1," ◆重複!",""))</f>
        <v/>
      </c>
      <c r="H124" s="18" t="str">
        <f aca="false">IF(COUNTIFS(案件一覧!$N$3:$N$62,H$3,案件一覧!$E$3:$E$62,"&lt;="&amp;$A124,案件一覧!$F$3:$F$62,"&gt;"&amp;$A124,案件一覧!$C$3:$C$62,"&lt;&gt;キャンセル")=0,"",INDEX(案件一覧!$J$3:$J$62,MATCH(1,INDEX((案件一覧!$N$3:$N$62=H$3)*(案件一覧!$E$3:$E$62&lt;=$A124)*(案件一覧!$F$3:$F$62&gt;$A124)*(案件一覧!$C$3:$C$62&lt;&gt;"キャンセル"),0),0))&amp;IF(COUNTIFS(案件一覧!$N$3:$N$62,H$3,案件一覧!$E$3:$E$62,"&lt;="&amp;$A124,案件一覧!$F$3:$F$62,"&gt;"&amp;$A124,案件一覧!$C$3:$C$62,"&lt;&gt;キャンセル")&gt;1," ◆重複!",""))</f>
        <v/>
      </c>
    </row>
    <row r="125" customFormat="false" ht="15" hidden="false" customHeight="false" outlineLevel="0" collapsed="false">
      <c r="A125" s="16" t="n">
        <v>46325</v>
      </c>
      <c r="B125" s="17" t="s">
        <v>44</v>
      </c>
      <c r="C125" s="18" t="str">
        <f aca="false">IF(COUNTIFS(案件一覧!$N$3:$N$62,C$3,案件一覧!$E$3:$E$62,"&lt;="&amp;$A125,案件一覧!$F$3:$F$62,"&gt;"&amp;$A125,案件一覧!$C$3:$C$62,"&lt;&gt;キャンセル")=0,"",INDEX(案件一覧!$J$3:$J$62,MATCH(1,INDEX((案件一覧!$N$3:$N$62=C$3)*(案件一覧!$E$3:$E$62&lt;=$A125)*(案件一覧!$F$3:$F$62&gt;$A125)*(案件一覧!$C$3:$C$62&lt;&gt;"キャンセル"),0),0))&amp;IF(COUNTIFS(案件一覧!$N$3:$N$62,C$3,案件一覧!$E$3:$E$62,"&lt;="&amp;$A125,案件一覧!$F$3:$F$62,"&gt;"&amp;$A125,案件一覧!$C$3:$C$62,"&lt;&gt;キャンセル")&gt;1," ◆重複!",""))</f>
        <v/>
      </c>
      <c r="D125" s="18" t="str">
        <f aca="false">IF(COUNTIFS(案件一覧!$N$3:$N$62,D$3,案件一覧!$E$3:$E$62,"&lt;="&amp;$A125,案件一覧!$F$3:$F$62,"&gt;"&amp;$A125,案件一覧!$C$3:$C$62,"&lt;&gt;キャンセル")=0,"",INDEX(案件一覧!$J$3:$J$62,MATCH(1,INDEX((案件一覧!$N$3:$N$62=D$3)*(案件一覧!$E$3:$E$62&lt;=$A125)*(案件一覧!$F$3:$F$62&gt;$A125)*(案件一覧!$C$3:$C$62&lt;&gt;"キャンセル"),0),0))&amp;IF(COUNTIFS(案件一覧!$N$3:$N$62,D$3,案件一覧!$E$3:$E$62,"&lt;="&amp;$A125,案件一覧!$F$3:$F$62,"&gt;"&amp;$A125,案件一覧!$C$3:$C$62,"&lt;&gt;キャンセル")&gt;1," ◆重複!",""))</f>
        <v/>
      </c>
      <c r="E125" s="18" t="str">
        <f aca="false">IF(COUNTIFS(案件一覧!$N$3:$N$62,E$3,案件一覧!$E$3:$E$62,"&lt;="&amp;$A125,案件一覧!$F$3:$F$62,"&gt;"&amp;$A125,案件一覧!$C$3:$C$62,"&lt;&gt;キャンセル")=0,"",INDEX(案件一覧!$J$3:$J$62,MATCH(1,INDEX((案件一覧!$N$3:$N$62=E$3)*(案件一覧!$E$3:$E$62&lt;=$A125)*(案件一覧!$F$3:$F$62&gt;$A125)*(案件一覧!$C$3:$C$62&lt;&gt;"キャンセル"),0),0))&amp;IF(COUNTIFS(案件一覧!$N$3:$N$62,E$3,案件一覧!$E$3:$E$62,"&lt;="&amp;$A125,案件一覧!$F$3:$F$62,"&gt;"&amp;$A125,案件一覧!$C$3:$C$62,"&lt;&gt;キャンセル")&gt;1," ◆重複!",""))</f>
        <v/>
      </c>
      <c r="F125" s="18" t="str">
        <f aca="false">IF(COUNTIFS(案件一覧!$N$3:$N$62,F$3,案件一覧!$E$3:$E$62,"&lt;="&amp;$A125,案件一覧!$F$3:$F$62,"&gt;"&amp;$A125,案件一覧!$C$3:$C$62,"&lt;&gt;キャンセル")=0,"",INDEX(案件一覧!$J$3:$J$62,MATCH(1,INDEX((案件一覧!$N$3:$N$62=F$3)*(案件一覧!$E$3:$E$62&lt;=$A125)*(案件一覧!$F$3:$F$62&gt;$A125)*(案件一覧!$C$3:$C$62&lt;&gt;"キャンセル"),0),0))&amp;IF(COUNTIFS(案件一覧!$N$3:$N$62,F$3,案件一覧!$E$3:$E$62,"&lt;="&amp;$A125,案件一覧!$F$3:$F$62,"&gt;"&amp;$A125,案件一覧!$C$3:$C$62,"&lt;&gt;キャンセル")&gt;1," ◆重複!",""))</f>
        <v/>
      </c>
      <c r="G125" s="18" t="str">
        <f aca="false">IF(COUNTIFS(案件一覧!$N$3:$N$62,G$3,案件一覧!$E$3:$E$62,"&lt;="&amp;$A125,案件一覧!$F$3:$F$62,"&gt;"&amp;$A125,案件一覧!$C$3:$C$62,"&lt;&gt;キャンセル")=0,"",INDEX(案件一覧!$J$3:$J$62,MATCH(1,INDEX((案件一覧!$N$3:$N$62=G$3)*(案件一覧!$E$3:$E$62&lt;=$A125)*(案件一覧!$F$3:$F$62&gt;$A125)*(案件一覧!$C$3:$C$62&lt;&gt;"キャンセル"),0),0))&amp;IF(COUNTIFS(案件一覧!$N$3:$N$62,G$3,案件一覧!$E$3:$E$62,"&lt;="&amp;$A125,案件一覧!$F$3:$F$62,"&gt;"&amp;$A125,案件一覧!$C$3:$C$62,"&lt;&gt;キャンセル")&gt;1," ◆重複!",""))</f>
        <v/>
      </c>
      <c r="H125" s="18" t="str">
        <f aca="false">IF(COUNTIFS(案件一覧!$N$3:$N$62,H$3,案件一覧!$E$3:$E$62,"&lt;="&amp;$A125,案件一覧!$F$3:$F$62,"&gt;"&amp;$A125,案件一覧!$C$3:$C$62,"&lt;&gt;キャンセル")=0,"",INDEX(案件一覧!$J$3:$J$62,MATCH(1,INDEX((案件一覧!$N$3:$N$62=H$3)*(案件一覧!$E$3:$E$62&lt;=$A125)*(案件一覧!$F$3:$F$62&gt;$A125)*(案件一覧!$C$3:$C$62&lt;&gt;"キャンセル"),0),0))&amp;IF(COUNTIFS(案件一覧!$N$3:$N$62,H$3,案件一覧!$E$3:$E$62,"&lt;="&amp;$A125,案件一覧!$F$3:$F$62,"&gt;"&amp;$A125,案件一覧!$C$3:$C$62,"&lt;&gt;キャンセル")&gt;1," ◆重複!",""))</f>
        <v/>
      </c>
    </row>
    <row r="126" customFormat="false" ht="15" hidden="false" customHeight="false" outlineLevel="0" collapsed="false">
      <c r="A126" s="19" t="n">
        <v>46326</v>
      </c>
      <c r="B126" s="20" t="s">
        <v>45</v>
      </c>
      <c r="C126" s="21" t="str">
        <f aca="false">IF(COUNTIFS(案件一覧!$N$3:$N$62,C$3,案件一覧!$E$3:$E$62,"&lt;="&amp;$A126,案件一覧!$F$3:$F$62,"&gt;"&amp;$A126,案件一覧!$C$3:$C$62,"&lt;&gt;キャンセル")=0,"",INDEX(案件一覧!$J$3:$J$62,MATCH(1,INDEX((案件一覧!$N$3:$N$62=C$3)*(案件一覧!$E$3:$E$62&lt;=$A126)*(案件一覧!$F$3:$F$62&gt;$A126)*(案件一覧!$C$3:$C$62&lt;&gt;"キャンセル"),0),0))&amp;IF(COUNTIFS(案件一覧!$N$3:$N$62,C$3,案件一覧!$E$3:$E$62,"&lt;="&amp;$A126,案件一覧!$F$3:$F$62,"&gt;"&amp;$A126,案件一覧!$C$3:$C$62,"&lt;&gt;キャンセル")&gt;1," ◆重複!",""))</f>
        <v/>
      </c>
      <c r="D126" s="21" t="str">
        <f aca="false">IF(COUNTIFS(案件一覧!$N$3:$N$62,D$3,案件一覧!$E$3:$E$62,"&lt;="&amp;$A126,案件一覧!$F$3:$F$62,"&gt;"&amp;$A126,案件一覧!$C$3:$C$62,"&lt;&gt;キャンセル")=0,"",INDEX(案件一覧!$J$3:$J$62,MATCH(1,INDEX((案件一覧!$N$3:$N$62=D$3)*(案件一覧!$E$3:$E$62&lt;=$A126)*(案件一覧!$F$3:$F$62&gt;$A126)*(案件一覧!$C$3:$C$62&lt;&gt;"キャンセル"),0),0))&amp;IF(COUNTIFS(案件一覧!$N$3:$N$62,D$3,案件一覧!$E$3:$E$62,"&lt;="&amp;$A126,案件一覧!$F$3:$F$62,"&gt;"&amp;$A126,案件一覧!$C$3:$C$62,"&lt;&gt;キャンセル")&gt;1," ◆重複!",""))</f>
        <v/>
      </c>
      <c r="E126" s="21" t="str">
        <f aca="false">IF(COUNTIFS(案件一覧!$N$3:$N$62,E$3,案件一覧!$E$3:$E$62,"&lt;="&amp;$A126,案件一覧!$F$3:$F$62,"&gt;"&amp;$A126,案件一覧!$C$3:$C$62,"&lt;&gt;キャンセル")=0,"",INDEX(案件一覧!$J$3:$J$62,MATCH(1,INDEX((案件一覧!$N$3:$N$62=E$3)*(案件一覧!$E$3:$E$62&lt;=$A126)*(案件一覧!$F$3:$F$62&gt;$A126)*(案件一覧!$C$3:$C$62&lt;&gt;"キャンセル"),0),0))&amp;IF(COUNTIFS(案件一覧!$N$3:$N$62,E$3,案件一覧!$E$3:$E$62,"&lt;="&amp;$A126,案件一覧!$F$3:$F$62,"&gt;"&amp;$A126,案件一覧!$C$3:$C$62,"&lt;&gt;キャンセル")&gt;1," ◆重複!",""))</f>
        <v/>
      </c>
      <c r="F126" s="21" t="str">
        <f aca="false">IF(COUNTIFS(案件一覧!$N$3:$N$62,F$3,案件一覧!$E$3:$E$62,"&lt;="&amp;$A126,案件一覧!$F$3:$F$62,"&gt;"&amp;$A126,案件一覧!$C$3:$C$62,"&lt;&gt;キャンセル")=0,"",INDEX(案件一覧!$J$3:$J$62,MATCH(1,INDEX((案件一覧!$N$3:$N$62=F$3)*(案件一覧!$E$3:$E$62&lt;=$A126)*(案件一覧!$F$3:$F$62&gt;$A126)*(案件一覧!$C$3:$C$62&lt;&gt;"キャンセル"),0),0))&amp;IF(COUNTIFS(案件一覧!$N$3:$N$62,F$3,案件一覧!$E$3:$E$62,"&lt;="&amp;$A126,案件一覧!$F$3:$F$62,"&gt;"&amp;$A126,案件一覧!$C$3:$C$62,"&lt;&gt;キャンセル")&gt;1," ◆重複!",""))</f>
        <v/>
      </c>
      <c r="G126" s="21" t="str">
        <f aca="false">IF(COUNTIFS(案件一覧!$N$3:$N$62,G$3,案件一覧!$E$3:$E$62,"&lt;="&amp;$A126,案件一覧!$F$3:$F$62,"&gt;"&amp;$A126,案件一覧!$C$3:$C$62,"&lt;&gt;キャンセル")=0,"",INDEX(案件一覧!$J$3:$J$62,MATCH(1,INDEX((案件一覧!$N$3:$N$62=G$3)*(案件一覧!$E$3:$E$62&lt;=$A126)*(案件一覧!$F$3:$F$62&gt;$A126)*(案件一覧!$C$3:$C$62&lt;&gt;"キャンセル"),0),0))&amp;IF(COUNTIFS(案件一覧!$N$3:$N$62,G$3,案件一覧!$E$3:$E$62,"&lt;="&amp;$A126,案件一覧!$F$3:$F$62,"&gt;"&amp;$A126,案件一覧!$C$3:$C$62,"&lt;&gt;キャンセル")&gt;1," ◆重複!",""))</f>
        <v/>
      </c>
      <c r="H126" s="21" t="str">
        <f aca="false">IF(COUNTIFS(案件一覧!$N$3:$N$62,H$3,案件一覧!$E$3:$E$62,"&lt;="&amp;$A126,案件一覧!$F$3:$F$62,"&gt;"&amp;$A126,案件一覧!$C$3:$C$62,"&lt;&gt;キャンセル")=0,"",INDEX(案件一覧!$J$3:$J$62,MATCH(1,INDEX((案件一覧!$N$3:$N$62=H$3)*(案件一覧!$E$3:$E$62&lt;=$A126)*(案件一覧!$F$3:$F$62&gt;$A126)*(案件一覧!$C$3:$C$62&lt;&gt;"キャンセル"),0),0))&amp;IF(COUNTIFS(案件一覧!$N$3:$N$62,H$3,案件一覧!$E$3:$E$62,"&lt;="&amp;$A126,案件一覧!$F$3:$F$62,"&gt;"&amp;$A126,案件一覧!$C$3:$C$62,"&lt;&gt;キャンセル")&gt;1," ◆重複!",""))</f>
        <v/>
      </c>
    </row>
    <row r="127" customFormat="false" ht="15" hidden="false" customHeight="false" outlineLevel="0" collapsed="false">
      <c r="A127" s="22" t="n">
        <v>46327</v>
      </c>
      <c r="B127" s="23" t="s">
        <v>46</v>
      </c>
      <c r="C127" s="24" t="str">
        <f aca="false">IF(COUNTIFS(案件一覧!$N$3:$N$62,C$3,案件一覧!$E$3:$E$62,"&lt;="&amp;$A127,案件一覧!$F$3:$F$62,"&gt;"&amp;$A127,案件一覧!$C$3:$C$62,"&lt;&gt;キャンセル")=0,"",INDEX(案件一覧!$J$3:$J$62,MATCH(1,INDEX((案件一覧!$N$3:$N$62=C$3)*(案件一覧!$E$3:$E$62&lt;=$A127)*(案件一覧!$F$3:$F$62&gt;$A127)*(案件一覧!$C$3:$C$62&lt;&gt;"キャンセル"),0),0))&amp;IF(COUNTIFS(案件一覧!$N$3:$N$62,C$3,案件一覧!$E$3:$E$62,"&lt;="&amp;$A127,案件一覧!$F$3:$F$62,"&gt;"&amp;$A127,案件一覧!$C$3:$C$62,"&lt;&gt;キャンセル")&gt;1," ◆重複!",""))</f>
        <v/>
      </c>
      <c r="D127" s="24" t="str">
        <f aca="false">IF(COUNTIFS(案件一覧!$N$3:$N$62,D$3,案件一覧!$E$3:$E$62,"&lt;="&amp;$A127,案件一覧!$F$3:$F$62,"&gt;"&amp;$A127,案件一覧!$C$3:$C$62,"&lt;&gt;キャンセル")=0,"",INDEX(案件一覧!$J$3:$J$62,MATCH(1,INDEX((案件一覧!$N$3:$N$62=D$3)*(案件一覧!$E$3:$E$62&lt;=$A127)*(案件一覧!$F$3:$F$62&gt;$A127)*(案件一覧!$C$3:$C$62&lt;&gt;"キャンセル"),0),0))&amp;IF(COUNTIFS(案件一覧!$N$3:$N$62,D$3,案件一覧!$E$3:$E$62,"&lt;="&amp;$A127,案件一覧!$F$3:$F$62,"&gt;"&amp;$A127,案件一覧!$C$3:$C$62,"&lt;&gt;キャンセル")&gt;1," ◆重複!",""))</f>
        <v/>
      </c>
      <c r="E127" s="24" t="str">
        <f aca="false">IF(COUNTIFS(案件一覧!$N$3:$N$62,E$3,案件一覧!$E$3:$E$62,"&lt;="&amp;$A127,案件一覧!$F$3:$F$62,"&gt;"&amp;$A127,案件一覧!$C$3:$C$62,"&lt;&gt;キャンセル")=0,"",INDEX(案件一覧!$J$3:$J$62,MATCH(1,INDEX((案件一覧!$N$3:$N$62=E$3)*(案件一覧!$E$3:$E$62&lt;=$A127)*(案件一覧!$F$3:$F$62&gt;$A127)*(案件一覧!$C$3:$C$62&lt;&gt;"キャンセル"),0),0))&amp;IF(COUNTIFS(案件一覧!$N$3:$N$62,E$3,案件一覧!$E$3:$E$62,"&lt;="&amp;$A127,案件一覧!$F$3:$F$62,"&gt;"&amp;$A127,案件一覧!$C$3:$C$62,"&lt;&gt;キャンセル")&gt;1," ◆重複!",""))</f>
        <v/>
      </c>
      <c r="F127" s="24" t="str">
        <f aca="false">IF(COUNTIFS(案件一覧!$N$3:$N$62,F$3,案件一覧!$E$3:$E$62,"&lt;="&amp;$A127,案件一覧!$F$3:$F$62,"&gt;"&amp;$A127,案件一覧!$C$3:$C$62,"&lt;&gt;キャンセル")=0,"",INDEX(案件一覧!$J$3:$J$62,MATCH(1,INDEX((案件一覧!$N$3:$N$62=F$3)*(案件一覧!$E$3:$E$62&lt;=$A127)*(案件一覧!$F$3:$F$62&gt;$A127)*(案件一覧!$C$3:$C$62&lt;&gt;"キャンセル"),0),0))&amp;IF(COUNTIFS(案件一覧!$N$3:$N$62,F$3,案件一覧!$E$3:$E$62,"&lt;="&amp;$A127,案件一覧!$F$3:$F$62,"&gt;"&amp;$A127,案件一覧!$C$3:$C$62,"&lt;&gt;キャンセル")&gt;1," ◆重複!",""))</f>
        <v/>
      </c>
      <c r="G127" s="24" t="str">
        <f aca="false">IF(COUNTIFS(案件一覧!$N$3:$N$62,G$3,案件一覧!$E$3:$E$62,"&lt;="&amp;$A127,案件一覧!$F$3:$F$62,"&gt;"&amp;$A127,案件一覧!$C$3:$C$62,"&lt;&gt;キャンセル")=0,"",INDEX(案件一覧!$J$3:$J$62,MATCH(1,INDEX((案件一覧!$N$3:$N$62=G$3)*(案件一覧!$E$3:$E$62&lt;=$A127)*(案件一覧!$F$3:$F$62&gt;$A127)*(案件一覧!$C$3:$C$62&lt;&gt;"キャンセル"),0),0))&amp;IF(COUNTIFS(案件一覧!$N$3:$N$62,G$3,案件一覧!$E$3:$E$62,"&lt;="&amp;$A127,案件一覧!$F$3:$F$62,"&gt;"&amp;$A127,案件一覧!$C$3:$C$62,"&lt;&gt;キャンセル")&gt;1," ◆重複!",""))</f>
        <v/>
      </c>
      <c r="H127" s="24" t="str">
        <f aca="false">IF(COUNTIFS(案件一覧!$N$3:$N$62,H$3,案件一覧!$E$3:$E$62,"&lt;="&amp;$A127,案件一覧!$F$3:$F$62,"&gt;"&amp;$A127,案件一覧!$C$3:$C$62,"&lt;&gt;キャンセル")=0,"",INDEX(案件一覧!$J$3:$J$62,MATCH(1,INDEX((案件一覧!$N$3:$N$62=H$3)*(案件一覧!$E$3:$E$62&lt;=$A127)*(案件一覧!$F$3:$F$62&gt;$A127)*(案件一覧!$C$3:$C$62&lt;&gt;"キャンセル"),0),0))&amp;IF(COUNTIFS(案件一覧!$N$3:$N$62,H$3,案件一覧!$E$3:$E$62,"&lt;="&amp;$A127,案件一覧!$F$3:$F$62,"&gt;"&amp;$A127,案件一覧!$C$3:$C$62,"&lt;&gt;キャンセル")&gt;1," ◆重複!",""))</f>
        <v/>
      </c>
    </row>
    <row r="128" customFormat="false" ht="15" hidden="false" customHeight="false" outlineLevel="0" collapsed="false">
      <c r="A128" s="16" t="n">
        <v>46328</v>
      </c>
      <c r="B128" s="17" t="s">
        <v>47</v>
      </c>
      <c r="C128" s="18" t="str">
        <f aca="false">IF(COUNTIFS(案件一覧!$N$3:$N$62,C$3,案件一覧!$E$3:$E$62,"&lt;="&amp;$A128,案件一覧!$F$3:$F$62,"&gt;"&amp;$A128,案件一覧!$C$3:$C$62,"&lt;&gt;キャンセル")=0,"",INDEX(案件一覧!$J$3:$J$62,MATCH(1,INDEX((案件一覧!$N$3:$N$62=C$3)*(案件一覧!$E$3:$E$62&lt;=$A128)*(案件一覧!$F$3:$F$62&gt;$A128)*(案件一覧!$C$3:$C$62&lt;&gt;"キャンセル"),0),0))&amp;IF(COUNTIFS(案件一覧!$N$3:$N$62,C$3,案件一覧!$E$3:$E$62,"&lt;="&amp;$A128,案件一覧!$F$3:$F$62,"&gt;"&amp;$A128,案件一覧!$C$3:$C$62,"&lt;&gt;キャンセル")&gt;1," ◆重複!",""))</f>
        <v/>
      </c>
      <c r="D128" s="18" t="str">
        <f aca="false">IF(COUNTIFS(案件一覧!$N$3:$N$62,D$3,案件一覧!$E$3:$E$62,"&lt;="&amp;$A128,案件一覧!$F$3:$F$62,"&gt;"&amp;$A128,案件一覧!$C$3:$C$62,"&lt;&gt;キャンセル")=0,"",INDEX(案件一覧!$J$3:$J$62,MATCH(1,INDEX((案件一覧!$N$3:$N$62=D$3)*(案件一覧!$E$3:$E$62&lt;=$A128)*(案件一覧!$F$3:$F$62&gt;$A128)*(案件一覧!$C$3:$C$62&lt;&gt;"キャンセル"),0),0))&amp;IF(COUNTIFS(案件一覧!$N$3:$N$62,D$3,案件一覧!$E$3:$E$62,"&lt;="&amp;$A128,案件一覧!$F$3:$F$62,"&gt;"&amp;$A128,案件一覧!$C$3:$C$62,"&lt;&gt;キャンセル")&gt;1," ◆重複!",""))</f>
        <v/>
      </c>
      <c r="E128" s="18" t="str">
        <f aca="false">IF(COUNTIFS(案件一覧!$N$3:$N$62,E$3,案件一覧!$E$3:$E$62,"&lt;="&amp;$A128,案件一覧!$F$3:$F$62,"&gt;"&amp;$A128,案件一覧!$C$3:$C$62,"&lt;&gt;キャンセル")=0,"",INDEX(案件一覧!$J$3:$J$62,MATCH(1,INDEX((案件一覧!$N$3:$N$62=E$3)*(案件一覧!$E$3:$E$62&lt;=$A128)*(案件一覧!$F$3:$F$62&gt;$A128)*(案件一覧!$C$3:$C$62&lt;&gt;"キャンセル"),0),0))&amp;IF(COUNTIFS(案件一覧!$N$3:$N$62,E$3,案件一覧!$E$3:$E$62,"&lt;="&amp;$A128,案件一覧!$F$3:$F$62,"&gt;"&amp;$A128,案件一覧!$C$3:$C$62,"&lt;&gt;キャンセル")&gt;1," ◆重複!",""))</f>
        <v/>
      </c>
      <c r="F128" s="18" t="str">
        <f aca="false">IF(COUNTIFS(案件一覧!$N$3:$N$62,F$3,案件一覧!$E$3:$E$62,"&lt;="&amp;$A128,案件一覧!$F$3:$F$62,"&gt;"&amp;$A128,案件一覧!$C$3:$C$62,"&lt;&gt;キャンセル")=0,"",INDEX(案件一覧!$J$3:$J$62,MATCH(1,INDEX((案件一覧!$N$3:$N$62=F$3)*(案件一覧!$E$3:$E$62&lt;=$A128)*(案件一覧!$F$3:$F$62&gt;$A128)*(案件一覧!$C$3:$C$62&lt;&gt;"キャンセル"),0),0))&amp;IF(COUNTIFS(案件一覧!$N$3:$N$62,F$3,案件一覧!$E$3:$E$62,"&lt;="&amp;$A128,案件一覧!$F$3:$F$62,"&gt;"&amp;$A128,案件一覧!$C$3:$C$62,"&lt;&gt;キャンセル")&gt;1," ◆重複!",""))</f>
        <v/>
      </c>
      <c r="G128" s="18" t="str">
        <f aca="false">IF(COUNTIFS(案件一覧!$N$3:$N$62,G$3,案件一覧!$E$3:$E$62,"&lt;="&amp;$A128,案件一覧!$F$3:$F$62,"&gt;"&amp;$A128,案件一覧!$C$3:$C$62,"&lt;&gt;キャンセル")=0,"",INDEX(案件一覧!$J$3:$J$62,MATCH(1,INDEX((案件一覧!$N$3:$N$62=G$3)*(案件一覧!$E$3:$E$62&lt;=$A128)*(案件一覧!$F$3:$F$62&gt;$A128)*(案件一覧!$C$3:$C$62&lt;&gt;"キャンセル"),0),0))&amp;IF(COUNTIFS(案件一覧!$N$3:$N$62,G$3,案件一覧!$E$3:$E$62,"&lt;="&amp;$A128,案件一覧!$F$3:$F$62,"&gt;"&amp;$A128,案件一覧!$C$3:$C$62,"&lt;&gt;キャンセル")&gt;1," ◆重複!",""))</f>
        <v/>
      </c>
      <c r="H128" s="18" t="str">
        <f aca="false">IF(COUNTIFS(案件一覧!$N$3:$N$62,H$3,案件一覧!$E$3:$E$62,"&lt;="&amp;$A128,案件一覧!$F$3:$F$62,"&gt;"&amp;$A128,案件一覧!$C$3:$C$62,"&lt;&gt;キャンセル")=0,"",INDEX(案件一覧!$J$3:$J$62,MATCH(1,INDEX((案件一覧!$N$3:$N$62=H$3)*(案件一覧!$E$3:$E$62&lt;=$A128)*(案件一覧!$F$3:$F$62&gt;$A128)*(案件一覧!$C$3:$C$62&lt;&gt;"キャンセル"),0),0))&amp;IF(COUNTIFS(案件一覧!$N$3:$N$62,H$3,案件一覧!$E$3:$E$62,"&lt;="&amp;$A128,案件一覧!$F$3:$F$62,"&gt;"&amp;$A128,案件一覧!$C$3:$C$62,"&lt;&gt;キャンセル")&gt;1," ◆重複!",""))</f>
        <v/>
      </c>
    </row>
    <row r="129" customFormat="false" ht="15" hidden="false" customHeight="false" outlineLevel="0" collapsed="false">
      <c r="A129" s="16" t="n">
        <v>46329</v>
      </c>
      <c r="B129" s="17" t="s">
        <v>48</v>
      </c>
      <c r="C129" s="18" t="str">
        <f aca="false">IF(COUNTIFS(案件一覧!$N$3:$N$62,C$3,案件一覧!$E$3:$E$62,"&lt;="&amp;$A129,案件一覧!$F$3:$F$62,"&gt;"&amp;$A129,案件一覧!$C$3:$C$62,"&lt;&gt;キャンセル")=0,"",INDEX(案件一覧!$J$3:$J$62,MATCH(1,INDEX((案件一覧!$N$3:$N$62=C$3)*(案件一覧!$E$3:$E$62&lt;=$A129)*(案件一覧!$F$3:$F$62&gt;$A129)*(案件一覧!$C$3:$C$62&lt;&gt;"キャンセル"),0),0))&amp;IF(COUNTIFS(案件一覧!$N$3:$N$62,C$3,案件一覧!$E$3:$E$62,"&lt;="&amp;$A129,案件一覧!$F$3:$F$62,"&gt;"&amp;$A129,案件一覧!$C$3:$C$62,"&lt;&gt;キャンセル")&gt;1," ◆重複!",""))</f>
        <v/>
      </c>
      <c r="D129" s="18" t="str">
        <f aca="false">IF(COUNTIFS(案件一覧!$N$3:$N$62,D$3,案件一覧!$E$3:$E$62,"&lt;="&amp;$A129,案件一覧!$F$3:$F$62,"&gt;"&amp;$A129,案件一覧!$C$3:$C$62,"&lt;&gt;キャンセル")=0,"",INDEX(案件一覧!$J$3:$J$62,MATCH(1,INDEX((案件一覧!$N$3:$N$62=D$3)*(案件一覧!$E$3:$E$62&lt;=$A129)*(案件一覧!$F$3:$F$62&gt;$A129)*(案件一覧!$C$3:$C$62&lt;&gt;"キャンセル"),0),0))&amp;IF(COUNTIFS(案件一覧!$N$3:$N$62,D$3,案件一覧!$E$3:$E$62,"&lt;="&amp;$A129,案件一覧!$F$3:$F$62,"&gt;"&amp;$A129,案件一覧!$C$3:$C$62,"&lt;&gt;キャンセル")&gt;1," ◆重複!",""))</f>
        <v/>
      </c>
      <c r="E129" s="18" t="str">
        <f aca="false">IF(COUNTIFS(案件一覧!$N$3:$N$62,E$3,案件一覧!$E$3:$E$62,"&lt;="&amp;$A129,案件一覧!$F$3:$F$62,"&gt;"&amp;$A129,案件一覧!$C$3:$C$62,"&lt;&gt;キャンセル")=0,"",INDEX(案件一覧!$J$3:$J$62,MATCH(1,INDEX((案件一覧!$N$3:$N$62=E$3)*(案件一覧!$E$3:$E$62&lt;=$A129)*(案件一覧!$F$3:$F$62&gt;$A129)*(案件一覧!$C$3:$C$62&lt;&gt;"キャンセル"),0),0))&amp;IF(COUNTIFS(案件一覧!$N$3:$N$62,E$3,案件一覧!$E$3:$E$62,"&lt;="&amp;$A129,案件一覧!$F$3:$F$62,"&gt;"&amp;$A129,案件一覧!$C$3:$C$62,"&lt;&gt;キャンセル")&gt;1," ◆重複!",""))</f>
        <v/>
      </c>
      <c r="F129" s="18" t="str">
        <f aca="false">IF(COUNTIFS(案件一覧!$N$3:$N$62,F$3,案件一覧!$E$3:$E$62,"&lt;="&amp;$A129,案件一覧!$F$3:$F$62,"&gt;"&amp;$A129,案件一覧!$C$3:$C$62,"&lt;&gt;キャンセル")=0,"",INDEX(案件一覧!$J$3:$J$62,MATCH(1,INDEX((案件一覧!$N$3:$N$62=F$3)*(案件一覧!$E$3:$E$62&lt;=$A129)*(案件一覧!$F$3:$F$62&gt;$A129)*(案件一覧!$C$3:$C$62&lt;&gt;"キャンセル"),0),0))&amp;IF(COUNTIFS(案件一覧!$N$3:$N$62,F$3,案件一覧!$E$3:$E$62,"&lt;="&amp;$A129,案件一覧!$F$3:$F$62,"&gt;"&amp;$A129,案件一覧!$C$3:$C$62,"&lt;&gt;キャンセル")&gt;1," ◆重複!",""))</f>
        <v/>
      </c>
      <c r="G129" s="18" t="str">
        <f aca="false">IF(COUNTIFS(案件一覧!$N$3:$N$62,G$3,案件一覧!$E$3:$E$62,"&lt;="&amp;$A129,案件一覧!$F$3:$F$62,"&gt;"&amp;$A129,案件一覧!$C$3:$C$62,"&lt;&gt;キャンセル")=0,"",INDEX(案件一覧!$J$3:$J$62,MATCH(1,INDEX((案件一覧!$N$3:$N$62=G$3)*(案件一覧!$E$3:$E$62&lt;=$A129)*(案件一覧!$F$3:$F$62&gt;$A129)*(案件一覧!$C$3:$C$62&lt;&gt;"キャンセル"),0),0))&amp;IF(COUNTIFS(案件一覧!$N$3:$N$62,G$3,案件一覧!$E$3:$E$62,"&lt;="&amp;$A129,案件一覧!$F$3:$F$62,"&gt;"&amp;$A129,案件一覧!$C$3:$C$62,"&lt;&gt;キャンセル")&gt;1," ◆重複!",""))</f>
        <v/>
      </c>
      <c r="H129" s="18" t="str">
        <f aca="false">IF(COUNTIFS(案件一覧!$N$3:$N$62,H$3,案件一覧!$E$3:$E$62,"&lt;="&amp;$A129,案件一覧!$F$3:$F$62,"&gt;"&amp;$A129,案件一覧!$C$3:$C$62,"&lt;&gt;キャンセル")=0,"",INDEX(案件一覧!$J$3:$J$62,MATCH(1,INDEX((案件一覧!$N$3:$N$62=H$3)*(案件一覧!$E$3:$E$62&lt;=$A129)*(案件一覧!$F$3:$F$62&gt;$A129)*(案件一覧!$C$3:$C$62&lt;&gt;"キャンセル"),0),0))&amp;IF(COUNTIFS(案件一覧!$N$3:$N$62,H$3,案件一覧!$E$3:$E$62,"&lt;="&amp;$A129,案件一覧!$F$3:$F$62,"&gt;"&amp;$A129,案件一覧!$C$3:$C$62,"&lt;&gt;キャンセル")&gt;1," ◆重複!",""))</f>
        <v/>
      </c>
    </row>
    <row r="130" customFormat="false" ht="15" hidden="false" customHeight="false" outlineLevel="0" collapsed="false">
      <c r="A130" s="16" t="n">
        <v>46330</v>
      </c>
      <c r="B130" s="17" t="s">
        <v>42</v>
      </c>
      <c r="C130" s="18" t="str">
        <f aca="false">IF(COUNTIFS(案件一覧!$N$3:$N$62,C$3,案件一覧!$E$3:$E$62,"&lt;="&amp;$A130,案件一覧!$F$3:$F$62,"&gt;"&amp;$A130,案件一覧!$C$3:$C$62,"&lt;&gt;キャンセル")=0,"",INDEX(案件一覧!$J$3:$J$62,MATCH(1,INDEX((案件一覧!$N$3:$N$62=C$3)*(案件一覧!$E$3:$E$62&lt;=$A130)*(案件一覧!$F$3:$F$62&gt;$A130)*(案件一覧!$C$3:$C$62&lt;&gt;"キャンセル"),0),0))&amp;IF(COUNTIFS(案件一覧!$N$3:$N$62,C$3,案件一覧!$E$3:$E$62,"&lt;="&amp;$A130,案件一覧!$F$3:$F$62,"&gt;"&amp;$A130,案件一覧!$C$3:$C$62,"&lt;&gt;キャンセル")&gt;1," ◆重複!",""))</f>
        <v/>
      </c>
      <c r="D130" s="18" t="str">
        <f aca="false">IF(COUNTIFS(案件一覧!$N$3:$N$62,D$3,案件一覧!$E$3:$E$62,"&lt;="&amp;$A130,案件一覧!$F$3:$F$62,"&gt;"&amp;$A130,案件一覧!$C$3:$C$62,"&lt;&gt;キャンセル")=0,"",INDEX(案件一覧!$J$3:$J$62,MATCH(1,INDEX((案件一覧!$N$3:$N$62=D$3)*(案件一覧!$E$3:$E$62&lt;=$A130)*(案件一覧!$F$3:$F$62&gt;$A130)*(案件一覧!$C$3:$C$62&lt;&gt;"キャンセル"),0),0))&amp;IF(COUNTIFS(案件一覧!$N$3:$N$62,D$3,案件一覧!$E$3:$E$62,"&lt;="&amp;$A130,案件一覧!$F$3:$F$62,"&gt;"&amp;$A130,案件一覧!$C$3:$C$62,"&lt;&gt;キャンセル")&gt;1," ◆重複!",""))</f>
        <v/>
      </c>
      <c r="E130" s="18" t="str">
        <f aca="false">IF(COUNTIFS(案件一覧!$N$3:$N$62,E$3,案件一覧!$E$3:$E$62,"&lt;="&amp;$A130,案件一覧!$F$3:$F$62,"&gt;"&amp;$A130,案件一覧!$C$3:$C$62,"&lt;&gt;キャンセル")=0,"",INDEX(案件一覧!$J$3:$J$62,MATCH(1,INDEX((案件一覧!$N$3:$N$62=E$3)*(案件一覧!$E$3:$E$62&lt;=$A130)*(案件一覧!$F$3:$F$62&gt;$A130)*(案件一覧!$C$3:$C$62&lt;&gt;"キャンセル"),0),0))&amp;IF(COUNTIFS(案件一覧!$N$3:$N$62,E$3,案件一覧!$E$3:$E$62,"&lt;="&amp;$A130,案件一覧!$F$3:$F$62,"&gt;"&amp;$A130,案件一覧!$C$3:$C$62,"&lt;&gt;キャンセル")&gt;1," ◆重複!",""))</f>
        <v/>
      </c>
      <c r="F130" s="18" t="str">
        <f aca="false">IF(COUNTIFS(案件一覧!$N$3:$N$62,F$3,案件一覧!$E$3:$E$62,"&lt;="&amp;$A130,案件一覧!$F$3:$F$62,"&gt;"&amp;$A130,案件一覧!$C$3:$C$62,"&lt;&gt;キャンセル")=0,"",INDEX(案件一覧!$J$3:$J$62,MATCH(1,INDEX((案件一覧!$N$3:$N$62=F$3)*(案件一覧!$E$3:$E$62&lt;=$A130)*(案件一覧!$F$3:$F$62&gt;$A130)*(案件一覧!$C$3:$C$62&lt;&gt;"キャンセル"),0),0))&amp;IF(COUNTIFS(案件一覧!$N$3:$N$62,F$3,案件一覧!$E$3:$E$62,"&lt;="&amp;$A130,案件一覧!$F$3:$F$62,"&gt;"&amp;$A130,案件一覧!$C$3:$C$62,"&lt;&gt;キャンセル")&gt;1," ◆重複!",""))</f>
        <v/>
      </c>
      <c r="G130" s="18" t="str">
        <f aca="false">IF(COUNTIFS(案件一覧!$N$3:$N$62,G$3,案件一覧!$E$3:$E$62,"&lt;="&amp;$A130,案件一覧!$F$3:$F$62,"&gt;"&amp;$A130,案件一覧!$C$3:$C$62,"&lt;&gt;キャンセル")=0,"",INDEX(案件一覧!$J$3:$J$62,MATCH(1,INDEX((案件一覧!$N$3:$N$62=G$3)*(案件一覧!$E$3:$E$62&lt;=$A130)*(案件一覧!$F$3:$F$62&gt;$A130)*(案件一覧!$C$3:$C$62&lt;&gt;"キャンセル"),0),0))&amp;IF(COUNTIFS(案件一覧!$N$3:$N$62,G$3,案件一覧!$E$3:$E$62,"&lt;="&amp;$A130,案件一覧!$F$3:$F$62,"&gt;"&amp;$A130,案件一覧!$C$3:$C$62,"&lt;&gt;キャンセル")&gt;1," ◆重複!",""))</f>
        <v/>
      </c>
      <c r="H130" s="18" t="str">
        <f aca="false">IF(COUNTIFS(案件一覧!$N$3:$N$62,H$3,案件一覧!$E$3:$E$62,"&lt;="&amp;$A130,案件一覧!$F$3:$F$62,"&gt;"&amp;$A130,案件一覧!$C$3:$C$62,"&lt;&gt;キャンセル")=0,"",INDEX(案件一覧!$J$3:$J$62,MATCH(1,INDEX((案件一覧!$N$3:$N$62=H$3)*(案件一覧!$E$3:$E$62&lt;=$A130)*(案件一覧!$F$3:$F$62&gt;$A130)*(案件一覧!$C$3:$C$62&lt;&gt;"キャンセル"),0),0))&amp;IF(COUNTIFS(案件一覧!$N$3:$N$62,H$3,案件一覧!$E$3:$E$62,"&lt;="&amp;$A130,案件一覧!$F$3:$F$62,"&gt;"&amp;$A130,案件一覧!$C$3:$C$62,"&lt;&gt;キャンセル")&gt;1," ◆重複!",""))</f>
        <v/>
      </c>
    </row>
    <row r="131" customFormat="false" ht="15" hidden="false" customHeight="false" outlineLevel="0" collapsed="false">
      <c r="A131" s="16" t="n">
        <v>46331</v>
      </c>
      <c r="B131" s="17" t="s">
        <v>43</v>
      </c>
      <c r="C131" s="18" t="str">
        <f aca="false">IF(COUNTIFS(案件一覧!$N$3:$N$62,C$3,案件一覧!$E$3:$E$62,"&lt;="&amp;$A131,案件一覧!$F$3:$F$62,"&gt;"&amp;$A131,案件一覧!$C$3:$C$62,"&lt;&gt;キャンセル")=0,"",INDEX(案件一覧!$J$3:$J$62,MATCH(1,INDEX((案件一覧!$N$3:$N$62=C$3)*(案件一覧!$E$3:$E$62&lt;=$A131)*(案件一覧!$F$3:$F$62&gt;$A131)*(案件一覧!$C$3:$C$62&lt;&gt;"キャンセル"),0),0))&amp;IF(COUNTIFS(案件一覧!$N$3:$N$62,C$3,案件一覧!$E$3:$E$62,"&lt;="&amp;$A131,案件一覧!$F$3:$F$62,"&gt;"&amp;$A131,案件一覧!$C$3:$C$62,"&lt;&gt;キャンセル")&gt;1," ◆重複!",""))</f>
        <v/>
      </c>
      <c r="D131" s="18" t="str">
        <f aca="false">IF(COUNTIFS(案件一覧!$N$3:$N$62,D$3,案件一覧!$E$3:$E$62,"&lt;="&amp;$A131,案件一覧!$F$3:$F$62,"&gt;"&amp;$A131,案件一覧!$C$3:$C$62,"&lt;&gt;キャンセル")=0,"",INDEX(案件一覧!$J$3:$J$62,MATCH(1,INDEX((案件一覧!$N$3:$N$62=D$3)*(案件一覧!$E$3:$E$62&lt;=$A131)*(案件一覧!$F$3:$F$62&gt;$A131)*(案件一覧!$C$3:$C$62&lt;&gt;"キャンセル"),0),0))&amp;IF(COUNTIFS(案件一覧!$N$3:$N$62,D$3,案件一覧!$E$3:$E$62,"&lt;="&amp;$A131,案件一覧!$F$3:$F$62,"&gt;"&amp;$A131,案件一覧!$C$3:$C$62,"&lt;&gt;キャンセル")&gt;1," ◆重複!",""))</f>
        <v/>
      </c>
      <c r="E131" s="18" t="str">
        <f aca="false">IF(COUNTIFS(案件一覧!$N$3:$N$62,E$3,案件一覧!$E$3:$E$62,"&lt;="&amp;$A131,案件一覧!$F$3:$F$62,"&gt;"&amp;$A131,案件一覧!$C$3:$C$62,"&lt;&gt;キャンセル")=0,"",INDEX(案件一覧!$J$3:$J$62,MATCH(1,INDEX((案件一覧!$N$3:$N$62=E$3)*(案件一覧!$E$3:$E$62&lt;=$A131)*(案件一覧!$F$3:$F$62&gt;$A131)*(案件一覧!$C$3:$C$62&lt;&gt;"キャンセル"),0),0))&amp;IF(COUNTIFS(案件一覧!$N$3:$N$62,E$3,案件一覧!$E$3:$E$62,"&lt;="&amp;$A131,案件一覧!$F$3:$F$62,"&gt;"&amp;$A131,案件一覧!$C$3:$C$62,"&lt;&gt;キャンセル")&gt;1," ◆重複!",""))</f>
        <v/>
      </c>
      <c r="F131" s="18" t="str">
        <f aca="false">IF(COUNTIFS(案件一覧!$N$3:$N$62,F$3,案件一覧!$E$3:$E$62,"&lt;="&amp;$A131,案件一覧!$F$3:$F$62,"&gt;"&amp;$A131,案件一覧!$C$3:$C$62,"&lt;&gt;キャンセル")=0,"",INDEX(案件一覧!$J$3:$J$62,MATCH(1,INDEX((案件一覧!$N$3:$N$62=F$3)*(案件一覧!$E$3:$E$62&lt;=$A131)*(案件一覧!$F$3:$F$62&gt;$A131)*(案件一覧!$C$3:$C$62&lt;&gt;"キャンセル"),0),0))&amp;IF(COUNTIFS(案件一覧!$N$3:$N$62,F$3,案件一覧!$E$3:$E$62,"&lt;="&amp;$A131,案件一覧!$F$3:$F$62,"&gt;"&amp;$A131,案件一覧!$C$3:$C$62,"&lt;&gt;キャンセル")&gt;1," ◆重複!",""))</f>
        <v/>
      </c>
      <c r="G131" s="18" t="str">
        <f aca="false">IF(COUNTIFS(案件一覧!$N$3:$N$62,G$3,案件一覧!$E$3:$E$62,"&lt;="&amp;$A131,案件一覧!$F$3:$F$62,"&gt;"&amp;$A131,案件一覧!$C$3:$C$62,"&lt;&gt;キャンセル")=0,"",INDEX(案件一覧!$J$3:$J$62,MATCH(1,INDEX((案件一覧!$N$3:$N$62=G$3)*(案件一覧!$E$3:$E$62&lt;=$A131)*(案件一覧!$F$3:$F$62&gt;$A131)*(案件一覧!$C$3:$C$62&lt;&gt;"キャンセル"),0),0))&amp;IF(COUNTIFS(案件一覧!$N$3:$N$62,G$3,案件一覧!$E$3:$E$62,"&lt;="&amp;$A131,案件一覧!$F$3:$F$62,"&gt;"&amp;$A131,案件一覧!$C$3:$C$62,"&lt;&gt;キャンセル")&gt;1," ◆重複!",""))</f>
        <v/>
      </c>
      <c r="H131" s="18" t="str">
        <f aca="false">IF(COUNTIFS(案件一覧!$N$3:$N$62,H$3,案件一覧!$E$3:$E$62,"&lt;="&amp;$A131,案件一覧!$F$3:$F$62,"&gt;"&amp;$A131,案件一覧!$C$3:$C$62,"&lt;&gt;キャンセル")=0,"",INDEX(案件一覧!$J$3:$J$62,MATCH(1,INDEX((案件一覧!$N$3:$N$62=H$3)*(案件一覧!$E$3:$E$62&lt;=$A131)*(案件一覧!$F$3:$F$62&gt;$A131)*(案件一覧!$C$3:$C$62&lt;&gt;"キャンセル"),0),0))&amp;IF(COUNTIFS(案件一覧!$N$3:$N$62,H$3,案件一覧!$E$3:$E$62,"&lt;="&amp;$A131,案件一覧!$F$3:$F$62,"&gt;"&amp;$A131,案件一覧!$C$3:$C$62,"&lt;&gt;キャンセル")&gt;1," ◆重複!",""))</f>
        <v/>
      </c>
    </row>
    <row r="132" customFormat="false" ht="15" hidden="false" customHeight="false" outlineLevel="0" collapsed="false">
      <c r="A132" s="16" t="n">
        <v>46332</v>
      </c>
      <c r="B132" s="17" t="s">
        <v>44</v>
      </c>
      <c r="C132" s="18" t="str">
        <f aca="false">IF(COUNTIFS(案件一覧!$N$3:$N$62,C$3,案件一覧!$E$3:$E$62,"&lt;="&amp;$A132,案件一覧!$F$3:$F$62,"&gt;"&amp;$A132,案件一覧!$C$3:$C$62,"&lt;&gt;キャンセル")=0,"",INDEX(案件一覧!$J$3:$J$62,MATCH(1,INDEX((案件一覧!$N$3:$N$62=C$3)*(案件一覧!$E$3:$E$62&lt;=$A132)*(案件一覧!$F$3:$F$62&gt;$A132)*(案件一覧!$C$3:$C$62&lt;&gt;"キャンセル"),0),0))&amp;IF(COUNTIFS(案件一覧!$N$3:$N$62,C$3,案件一覧!$E$3:$E$62,"&lt;="&amp;$A132,案件一覧!$F$3:$F$62,"&gt;"&amp;$A132,案件一覧!$C$3:$C$62,"&lt;&gt;キャンセル")&gt;1," ◆重複!",""))</f>
        <v/>
      </c>
      <c r="D132" s="18" t="str">
        <f aca="false">IF(COUNTIFS(案件一覧!$N$3:$N$62,D$3,案件一覧!$E$3:$E$62,"&lt;="&amp;$A132,案件一覧!$F$3:$F$62,"&gt;"&amp;$A132,案件一覧!$C$3:$C$62,"&lt;&gt;キャンセル")=0,"",INDEX(案件一覧!$J$3:$J$62,MATCH(1,INDEX((案件一覧!$N$3:$N$62=D$3)*(案件一覧!$E$3:$E$62&lt;=$A132)*(案件一覧!$F$3:$F$62&gt;$A132)*(案件一覧!$C$3:$C$62&lt;&gt;"キャンセル"),0),0))&amp;IF(COUNTIFS(案件一覧!$N$3:$N$62,D$3,案件一覧!$E$3:$E$62,"&lt;="&amp;$A132,案件一覧!$F$3:$F$62,"&gt;"&amp;$A132,案件一覧!$C$3:$C$62,"&lt;&gt;キャンセル")&gt;1," ◆重複!",""))</f>
        <v/>
      </c>
      <c r="E132" s="18" t="str">
        <f aca="false">IF(COUNTIFS(案件一覧!$N$3:$N$62,E$3,案件一覧!$E$3:$E$62,"&lt;="&amp;$A132,案件一覧!$F$3:$F$62,"&gt;"&amp;$A132,案件一覧!$C$3:$C$62,"&lt;&gt;キャンセル")=0,"",INDEX(案件一覧!$J$3:$J$62,MATCH(1,INDEX((案件一覧!$N$3:$N$62=E$3)*(案件一覧!$E$3:$E$62&lt;=$A132)*(案件一覧!$F$3:$F$62&gt;$A132)*(案件一覧!$C$3:$C$62&lt;&gt;"キャンセル"),0),0))&amp;IF(COUNTIFS(案件一覧!$N$3:$N$62,E$3,案件一覧!$E$3:$E$62,"&lt;="&amp;$A132,案件一覧!$F$3:$F$62,"&gt;"&amp;$A132,案件一覧!$C$3:$C$62,"&lt;&gt;キャンセル")&gt;1," ◆重複!",""))</f>
        <v/>
      </c>
      <c r="F132" s="18" t="str">
        <f aca="false">IF(COUNTIFS(案件一覧!$N$3:$N$62,F$3,案件一覧!$E$3:$E$62,"&lt;="&amp;$A132,案件一覧!$F$3:$F$62,"&gt;"&amp;$A132,案件一覧!$C$3:$C$62,"&lt;&gt;キャンセル")=0,"",INDEX(案件一覧!$J$3:$J$62,MATCH(1,INDEX((案件一覧!$N$3:$N$62=F$3)*(案件一覧!$E$3:$E$62&lt;=$A132)*(案件一覧!$F$3:$F$62&gt;$A132)*(案件一覧!$C$3:$C$62&lt;&gt;"キャンセル"),0),0))&amp;IF(COUNTIFS(案件一覧!$N$3:$N$62,F$3,案件一覧!$E$3:$E$62,"&lt;="&amp;$A132,案件一覧!$F$3:$F$62,"&gt;"&amp;$A132,案件一覧!$C$3:$C$62,"&lt;&gt;キャンセル")&gt;1," ◆重複!",""))</f>
        <v/>
      </c>
      <c r="G132" s="18" t="str">
        <f aca="false">IF(COUNTIFS(案件一覧!$N$3:$N$62,G$3,案件一覧!$E$3:$E$62,"&lt;="&amp;$A132,案件一覧!$F$3:$F$62,"&gt;"&amp;$A132,案件一覧!$C$3:$C$62,"&lt;&gt;キャンセル")=0,"",INDEX(案件一覧!$J$3:$J$62,MATCH(1,INDEX((案件一覧!$N$3:$N$62=G$3)*(案件一覧!$E$3:$E$62&lt;=$A132)*(案件一覧!$F$3:$F$62&gt;$A132)*(案件一覧!$C$3:$C$62&lt;&gt;"キャンセル"),0),0))&amp;IF(COUNTIFS(案件一覧!$N$3:$N$62,G$3,案件一覧!$E$3:$E$62,"&lt;="&amp;$A132,案件一覧!$F$3:$F$62,"&gt;"&amp;$A132,案件一覧!$C$3:$C$62,"&lt;&gt;キャンセル")&gt;1," ◆重複!",""))</f>
        <v/>
      </c>
      <c r="H132" s="18" t="str">
        <f aca="false">IF(COUNTIFS(案件一覧!$N$3:$N$62,H$3,案件一覧!$E$3:$E$62,"&lt;="&amp;$A132,案件一覧!$F$3:$F$62,"&gt;"&amp;$A132,案件一覧!$C$3:$C$62,"&lt;&gt;キャンセル")=0,"",INDEX(案件一覧!$J$3:$J$62,MATCH(1,INDEX((案件一覧!$N$3:$N$62=H$3)*(案件一覧!$E$3:$E$62&lt;=$A132)*(案件一覧!$F$3:$F$62&gt;$A132)*(案件一覧!$C$3:$C$62&lt;&gt;"キャンセル"),0),0))&amp;IF(COUNTIFS(案件一覧!$N$3:$N$62,H$3,案件一覧!$E$3:$E$62,"&lt;="&amp;$A132,案件一覧!$F$3:$F$62,"&gt;"&amp;$A132,案件一覧!$C$3:$C$62,"&lt;&gt;キャンセル")&gt;1," ◆重複!",""))</f>
        <v/>
      </c>
    </row>
    <row r="133" customFormat="false" ht="15" hidden="false" customHeight="false" outlineLevel="0" collapsed="false">
      <c r="A133" s="19" t="n">
        <v>46333</v>
      </c>
      <c r="B133" s="20" t="s">
        <v>45</v>
      </c>
      <c r="C133" s="21" t="str">
        <f aca="false">IF(COUNTIFS(案件一覧!$N$3:$N$62,C$3,案件一覧!$E$3:$E$62,"&lt;="&amp;$A133,案件一覧!$F$3:$F$62,"&gt;"&amp;$A133,案件一覧!$C$3:$C$62,"&lt;&gt;キャンセル")=0,"",INDEX(案件一覧!$J$3:$J$62,MATCH(1,INDEX((案件一覧!$N$3:$N$62=C$3)*(案件一覧!$E$3:$E$62&lt;=$A133)*(案件一覧!$F$3:$F$62&gt;$A133)*(案件一覧!$C$3:$C$62&lt;&gt;"キャンセル"),0),0))&amp;IF(COUNTIFS(案件一覧!$N$3:$N$62,C$3,案件一覧!$E$3:$E$62,"&lt;="&amp;$A133,案件一覧!$F$3:$F$62,"&gt;"&amp;$A133,案件一覧!$C$3:$C$62,"&lt;&gt;キャンセル")&gt;1," ◆重複!",""))</f>
        <v/>
      </c>
      <c r="D133" s="21" t="str">
        <f aca="false">IF(COUNTIFS(案件一覧!$N$3:$N$62,D$3,案件一覧!$E$3:$E$62,"&lt;="&amp;$A133,案件一覧!$F$3:$F$62,"&gt;"&amp;$A133,案件一覧!$C$3:$C$62,"&lt;&gt;キャンセル")=0,"",INDEX(案件一覧!$J$3:$J$62,MATCH(1,INDEX((案件一覧!$N$3:$N$62=D$3)*(案件一覧!$E$3:$E$62&lt;=$A133)*(案件一覧!$F$3:$F$62&gt;$A133)*(案件一覧!$C$3:$C$62&lt;&gt;"キャンセル"),0),0))&amp;IF(COUNTIFS(案件一覧!$N$3:$N$62,D$3,案件一覧!$E$3:$E$62,"&lt;="&amp;$A133,案件一覧!$F$3:$F$62,"&gt;"&amp;$A133,案件一覧!$C$3:$C$62,"&lt;&gt;キャンセル")&gt;1," ◆重複!",""))</f>
        <v/>
      </c>
      <c r="E133" s="21" t="str">
        <f aca="false">IF(COUNTIFS(案件一覧!$N$3:$N$62,E$3,案件一覧!$E$3:$E$62,"&lt;="&amp;$A133,案件一覧!$F$3:$F$62,"&gt;"&amp;$A133,案件一覧!$C$3:$C$62,"&lt;&gt;キャンセル")=0,"",INDEX(案件一覧!$J$3:$J$62,MATCH(1,INDEX((案件一覧!$N$3:$N$62=E$3)*(案件一覧!$E$3:$E$62&lt;=$A133)*(案件一覧!$F$3:$F$62&gt;$A133)*(案件一覧!$C$3:$C$62&lt;&gt;"キャンセル"),0),0))&amp;IF(COUNTIFS(案件一覧!$N$3:$N$62,E$3,案件一覧!$E$3:$E$62,"&lt;="&amp;$A133,案件一覧!$F$3:$F$62,"&gt;"&amp;$A133,案件一覧!$C$3:$C$62,"&lt;&gt;キャンセル")&gt;1," ◆重複!",""))</f>
        <v/>
      </c>
      <c r="F133" s="21" t="str">
        <f aca="false">IF(COUNTIFS(案件一覧!$N$3:$N$62,F$3,案件一覧!$E$3:$E$62,"&lt;="&amp;$A133,案件一覧!$F$3:$F$62,"&gt;"&amp;$A133,案件一覧!$C$3:$C$62,"&lt;&gt;キャンセル")=0,"",INDEX(案件一覧!$J$3:$J$62,MATCH(1,INDEX((案件一覧!$N$3:$N$62=F$3)*(案件一覧!$E$3:$E$62&lt;=$A133)*(案件一覧!$F$3:$F$62&gt;$A133)*(案件一覧!$C$3:$C$62&lt;&gt;"キャンセル"),0),0))&amp;IF(COUNTIFS(案件一覧!$N$3:$N$62,F$3,案件一覧!$E$3:$E$62,"&lt;="&amp;$A133,案件一覧!$F$3:$F$62,"&gt;"&amp;$A133,案件一覧!$C$3:$C$62,"&lt;&gt;キャンセル")&gt;1," ◆重複!",""))</f>
        <v/>
      </c>
      <c r="G133" s="21" t="str">
        <f aca="false">IF(COUNTIFS(案件一覧!$N$3:$N$62,G$3,案件一覧!$E$3:$E$62,"&lt;="&amp;$A133,案件一覧!$F$3:$F$62,"&gt;"&amp;$A133,案件一覧!$C$3:$C$62,"&lt;&gt;キャンセル")=0,"",INDEX(案件一覧!$J$3:$J$62,MATCH(1,INDEX((案件一覧!$N$3:$N$62=G$3)*(案件一覧!$E$3:$E$62&lt;=$A133)*(案件一覧!$F$3:$F$62&gt;$A133)*(案件一覧!$C$3:$C$62&lt;&gt;"キャンセル"),0),0))&amp;IF(COUNTIFS(案件一覧!$N$3:$N$62,G$3,案件一覧!$E$3:$E$62,"&lt;="&amp;$A133,案件一覧!$F$3:$F$62,"&gt;"&amp;$A133,案件一覧!$C$3:$C$62,"&lt;&gt;キャンセル")&gt;1," ◆重複!",""))</f>
        <v/>
      </c>
      <c r="H133" s="21" t="str">
        <f aca="false">IF(COUNTIFS(案件一覧!$N$3:$N$62,H$3,案件一覧!$E$3:$E$62,"&lt;="&amp;$A133,案件一覧!$F$3:$F$62,"&gt;"&amp;$A133,案件一覧!$C$3:$C$62,"&lt;&gt;キャンセル")=0,"",INDEX(案件一覧!$J$3:$J$62,MATCH(1,INDEX((案件一覧!$N$3:$N$62=H$3)*(案件一覧!$E$3:$E$62&lt;=$A133)*(案件一覧!$F$3:$F$62&gt;$A133)*(案件一覧!$C$3:$C$62&lt;&gt;"キャンセル"),0),0))&amp;IF(COUNTIFS(案件一覧!$N$3:$N$62,H$3,案件一覧!$E$3:$E$62,"&lt;="&amp;$A133,案件一覧!$F$3:$F$62,"&gt;"&amp;$A133,案件一覧!$C$3:$C$62,"&lt;&gt;キャンセル")&gt;1," ◆重複!",""))</f>
        <v/>
      </c>
    </row>
    <row r="134" customFormat="false" ht="15" hidden="false" customHeight="false" outlineLevel="0" collapsed="false">
      <c r="A134" s="22" t="n">
        <v>46334</v>
      </c>
      <c r="B134" s="23" t="s">
        <v>46</v>
      </c>
      <c r="C134" s="24" t="str">
        <f aca="false">IF(COUNTIFS(案件一覧!$N$3:$N$62,C$3,案件一覧!$E$3:$E$62,"&lt;="&amp;$A134,案件一覧!$F$3:$F$62,"&gt;"&amp;$A134,案件一覧!$C$3:$C$62,"&lt;&gt;キャンセル")=0,"",INDEX(案件一覧!$J$3:$J$62,MATCH(1,INDEX((案件一覧!$N$3:$N$62=C$3)*(案件一覧!$E$3:$E$62&lt;=$A134)*(案件一覧!$F$3:$F$62&gt;$A134)*(案件一覧!$C$3:$C$62&lt;&gt;"キャンセル"),0),0))&amp;IF(COUNTIFS(案件一覧!$N$3:$N$62,C$3,案件一覧!$E$3:$E$62,"&lt;="&amp;$A134,案件一覧!$F$3:$F$62,"&gt;"&amp;$A134,案件一覧!$C$3:$C$62,"&lt;&gt;キャンセル")&gt;1," ◆重複!",""))</f>
        <v/>
      </c>
      <c r="D134" s="24" t="str">
        <f aca="false">IF(COUNTIFS(案件一覧!$N$3:$N$62,D$3,案件一覧!$E$3:$E$62,"&lt;="&amp;$A134,案件一覧!$F$3:$F$62,"&gt;"&amp;$A134,案件一覧!$C$3:$C$62,"&lt;&gt;キャンセル")=0,"",INDEX(案件一覧!$J$3:$J$62,MATCH(1,INDEX((案件一覧!$N$3:$N$62=D$3)*(案件一覧!$E$3:$E$62&lt;=$A134)*(案件一覧!$F$3:$F$62&gt;$A134)*(案件一覧!$C$3:$C$62&lt;&gt;"キャンセル"),0),0))&amp;IF(COUNTIFS(案件一覧!$N$3:$N$62,D$3,案件一覧!$E$3:$E$62,"&lt;="&amp;$A134,案件一覧!$F$3:$F$62,"&gt;"&amp;$A134,案件一覧!$C$3:$C$62,"&lt;&gt;キャンセル")&gt;1," ◆重複!",""))</f>
        <v/>
      </c>
      <c r="E134" s="24" t="str">
        <f aca="false">IF(COUNTIFS(案件一覧!$N$3:$N$62,E$3,案件一覧!$E$3:$E$62,"&lt;="&amp;$A134,案件一覧!$F$3:$F$62,"&gt;"&amp;$A134,案件一覧!$C$3:$C$62,"&lt;&gt;キャンセル")=0,"",INDEX(案件一覧!$J$3:$J$62,MATCH(1,INDEX((案件一覧!$N$3:$N$62=E$3)*(案件一覧!$E$3:$E$62&lt;=$A134)*(案件一覧!$F$3:$F$62&gt;$A134)*(案件一覧!$C$3:$C$62&lt;&gt;"キャンセル"),0),0))&amp;IF(COUNTIFS(案件一覧!$N$3:$N$62,E$3,案件一覧!$E$3:$E$62,"&lt;="&amp;$A134,案件一覧!$F$3:$F$62,"&gt;"&amp;$A134,案件一覧!$C$3:$C$62,"&lt;&gt;キャンセル")&gt;1," ◆重複!",""))</f>
        <v/>
      </c>
      <c r="F134" s="24" t="str">
        <f aca="false">IF(COUNTIFS(案件一覧!$N$3:$N$62,F$3,案件一覧!$E$3:$E$62,"&lt;="&amp;$A134,案件一覧!$F$3:$F$62,"&gt;"&amp;$A134,案件一覧!$C$3:$C$62,"&lt;&gt;キャンセル")=0,"",INDEX(案件一覧!$J$3:$J$62,MATCH(1,INDEX((案件一覧!$N$3:$N$62=F$3)*(案件一覧!$E$3:$E$62&lt;=$A134)*(案件一覧!$F$3:$F$62&gt;$A134)*(案件一覧!$C$3:$C$62&lt;&gt;"キャンセル"),0),0))&amp;IF(COUNTIFS(案件一覧!$N$3:$N$62,F$3,案件一覧!$E$3:$E$62,"&lt;="&amp;$A134,案件一覧!$F$3:$F$62,"&gt;"&amp;$A134,案件一覧!$C$3:$C$62,"&lt;&gt;キャンセル")&gt;1," ◆重複!",""))</f>
        <v/>
      </c>
      <c r="G134" s="24" t="str">
        <f aca="false">IF(COUNTIFS(案件一覧!$N$3:$N$62,G$3,案件一覧!$E$3:$E$62,"&lt;="&amp;$A134,案件一覧!$F$3:$F$62,"&gt;"&amp;$A134,案件一覧!$C$3:$C$62,"&lt;&gt;キャンセル")=0,"",INDEX(案件一覧!$J$3:$J$62,MATCH(1,INDEX((案件一覧!$N$3:$N$62=G$3)*(案件一覧!$E$3:$E$62&lt;=$A134)*(案件一覧!$F$3:$F$62&gt;$A134)*(案件一覧!$C$3:$C$62&lt;&gt;"キャンセル"),0),0))&amp;IF(COUNTIFS(案件一覧!$N$3:$N$62,G$3,案件一覧!$E$3:$E$62,"&lt;="&amp;$A134,案件一覧!$F$3:$F$62,"&gt;"&amp;$A134,案件一覧!$C$3:$C$62,"&lt;&gt;キャンセル")&gt;1," ◆重複!",""))</f>
        <v/>
      </c>
      <c r="H134" s="24" t="str">
        <f aca="false">IF(COUNTIFS(案件一覧!$N$3:$N$62,H$3,案件一覧!$E$3:$E$62,"&lt;="&amp;$A134,案件一覧!$F$3:$F$62,"&gt;"&amp;$A134,案件一覧!$C$3:$C$62,"&lt;&gt;キャンセル")=0,"",INDEX(案件一覧!$J$3:$J$62,MATCH(1,INDEX((案件一覧!$N$3:$N$62=H$3)*(案件一覧!$E$3:$E$62&lt;=$A134)*(案件一覧!$F$3:$F$62&gt;$A134)*(案件一覧!$C$3:$C$62&lt;&gt;"キャンセル"),0),0))&amp;IF(COUNTIFS(案件一覧!$N$3:$N$62,H$3,案件一覧!$E$3:$E$62,"&lt;="&amp;$A134,案件一覧!$F$3:$F$62,"&gt;"&amp;$A134,案件一覧!$C$3:$C$62,"&lt;&gt;キャンセル")&gt;1," ◆重複!",""))</f>
        <v/>
      </c>
    </row>
    <row r="135" customFormat="false" ht="15" hidden="false" customHeight="false" outlineLevel="0" collapsed="false">
      <c r="A135" s="16" t="n">
        <v>46335</v>
      </c>
      <c r="B135" s="17" t="s">
        <v>47</v>
      </c>
      <c r="C135" s="18" t="str">
        <f aca="false">IF(COUNTIFS(案件一覧!$N$3:$N$62,C$3,案件一覧!$E$3:$E$62,"&lt;="&amp;$A135,案件一覧!$F$3:$F$62,"&gt;"&amp;$A135,案件一覧!$C$3:$C$62,"&lt;&gt;キャンセル")=0,"",INDEX(案件一覧!$J$3:$J$62,MATCH(1,INDEX((案件一覧!$N$3:$N$62=C$3)*(案件一覧!$E$3:$E$62&lt;=$A135)*(案件一覧!$F$3:$F$62&gt;$A135)*(案件一覧!$C$3:$C$62&lt;&gt;"キャンセル"),0),0))&amp;IF(COUNTIFS(案件一覧!$N$3:$N$62,C$3,案件一覧!$E$3:$E$62,"&lt;="&amp;$A135,案件一覧!$F$3:$F$62,"&gt;"&amp;$A135,案件一覧!$C$3:$C$62,"&lt;&gt;キャンセル")&gt;1," ◆重複!",""))</f>
        <v/>
      </c>
      <c r="D135" s="18" t="str">
        <f aca="false">IF(COUNTIFS(案件一覧!$N$3:$N$62,D$3,案件一覧!$E$3:$E$62,"&lt;="&amp;$A135,案件一覧!$F$3:$F$62,"&gt;"&amp;$A135,案件一覧!$C$3:$C$62,"&lt;&gt;キャンセル")=0,"",INDEX(案件一覧!$J$3:$J$62,MATCH(1,INDEX((案件一覧!$N$3:$N$62=D$3)*(案件一覧!$E$3:$E$62&lt;=$A135)*(案件一覧!$F$3:$F$62&gt;$A135)*(案件一覧!$C$3:$C$62&lt;&gt;"キャンセル"),0),0))&amp;IF(COUNTIFS(案件一覧!$N$3:$N$62,D$3,案件一覧!$E$3:$E$62,"&lt;="&amp;$A135,案件一覧!$F$3:$F$62,"&gt;"&amp;$A135,案件一覧!$C$3:$C$62,"&lt;&gt;キャンセル")&gt;1," ◆重複!",""))</f>
        <v/>
      </c>
      <c r="E135" s="18" t="str">
        <f aca="false">IF(COUNTIFS(案件一覧!$N$3:$N$62,E$3,案件一覧!$E$3:$E$62,"&lt;="&amp;$A135,案件一覧!$F$3:$F$62,"&gt;"&amp;$A135,案件一覧!$C$3:$C$62,"&lt;&gt;キャンセル")=0,"",INDEX(案件一覧!$J$3:$J$62,MATCH(1,INDEX((案件一覧!$N$3:$N$62=E$3)*(案件一覧!$E$3:$E$62&lt;=$A135)*(案件一覧!$F$3:$F$62&gt;$A135)*(案件一覧!$C$3:$C$62&lt;&gt;"キャンセル"),0),0))&amp;IF(COUNTIFS(案件一覧!$N$3:$N$62,E$3,案件一覧!$E$3:$E$62,"&lt;="&amp;$A135,案件一覧!$F$3:$F$62,"&gt;"&amp;$A135,案件一覧!$C$3:$C$62,"&lt;&gt;キャンセル")&gt;1," ◆重複!",""))</f>
        <v/>
      </c>
      <c r="F135" s="18" t="str">
        <f aca="false">IF(COUNTIFS(案件一覧!$N$3:$N$62,F$3,案件一覧!$E$3:$E$62,"&lt;="&amp;$A135,案件一覧!$F$3:$F$62,"&gt;"&amp;$A135,案件一覧!$C$3:$C$62,"&lt;&gt;キャンセル")=0,"",INDEX(案件一覧!$J$3:$J$62,MATCH(1,INDEX((案件一覧!$N$3:$N$62=F$3)*(案件一覧!$E$3:$E$62&lt;=$A135)*(案件一覧!$F$3:$F$62&gt;$A135)*(案件一覧!$C$3:$C$62&lt;&gt;"キャンセル"),0),0))&amp;IF(COUNTIFS(案件一覧!$N$3:$N$62,F$3,案件一覧!$E$3:$E$62,"&lt;="&amp;$A135,案件一覧!$F$3:$F$62,"&gt;"&amp;$A135,案件一覧!$C$3:$C$62,"&lt;&gt;キャンセル")&gt;1," ◆重複!",""))</f>
        <v/>
      </c>
      <c r="G135" s="18" t="str">
        <f aca="false">IF(COUNTIFS(案件一覧!$N$3:$N$62,G$3,案件一覧!$E$3:$E$62,"&lt;="&amp;$A135,案件一覧!$F$3:$F$62,"&gt;"&amp;$A135,案件一覧!$C$3:$C$62,"&lt;&gt;キャンセル")=0,"",INDEX(案件一覧!$J$3:$J$62,MATCH(1,INDEX((案件一覧!$N$3:$N$62=G$3)*(案件一覧!$E$3:$E$62&lt;=$A135)*(案件一覧!$F$3:$F$62&gt;$A135)*(案件一覧!$C$3:$C$62&lt;&gt;"キャンセル"),0),0))&amp;IF(COUNTIFS(案件一覧!$N$3:$N$62,G$3,案件一覧!$E$3:$E$62,"&lt;="&amp;$A135,案件一覧!$F$3:$F$62,"&gt;"&amp;$A135,案件一覧!$C$3:$C$62,"&lt;&gt;キャンセル")&gt;1," ◆重複!",""))</f>
        <v/>
      </c>
      <c r="H135" s="18" t="str">
        <f aca="false">IF(COUNTIFS(案件一覧!$N$3:$N$62,H$3,案件一覧!$E$3:$E$62,"&lt;="&amp;$A135,案件一覧!$F$3:$F$62,"&gt;"&amp;$A135,案件一覧!$C$3:$C$62,"&lt;&gt;キャンセル")=0,"",INDEX(案件一覧!$J$3:$J$62,MATCH(1,INDEX((案件一覧!$N$3:$N$62=H$3)*(案件一覧!$E$3:$E$62&lt;=$A135)*(案件一覧!$F$3:$F$62&gt;$A135)*(案件一覧!$C$3:$C$62&lt;&gt;"キャンセル"),0),0))&amp;IF(COUNTIFS(案件一覧!$N$3:$N$62,H$3,案件一覧!$E$3:$E$62,"&lt;="&amp;$A135,案件一覧!$F$3:$F$62,"&gt;"&amp;$A135,案件一覧!$C$3:$C$62,"&lt;&gt;キャンセル")&gt;1," ◆重複!",""))</f>
        <v/>
      </c>
    </row>
    <row r="136" customFormat="false" ht="15" hidden="false" customHeight="false" outlineLevel="0" collapsed="false">
      <c r="A136" s="16" t="n">
        <v>46336</v>
      </c>
      <c r="B136" s="17" t="s">
        <v>48</v>
      </c>
      <c r="C136" s="18" t="str">
        <f aca="false">IF(COUNTIFS(案件一覧!$N$3:$N$62,C$3,案件一覧!$E$3:$E$62,"&lt;="&amp;$A136,案件一覧!$F$3:$F$62,"&gt;"&amp;$A136,案件一覧!$C$3:$C$62,"&lt;&gt;キャンセル")=0,"",INDEX(案件一覧!$J$3:$J$62,MATCH(1,INDEX((案件一覧!$N$3:$N$62=C$3)*(案件一覧!$E$3:$E$62&lt;=$A136)*(案件一覧!$F$3:$F$62&gt;$A136)*(案件一覧!$C$3:$C$62&lt;&gt;"キャンセル"),0),0))&amp;IF(COUNTIFS(案件一覧!$N$3:$N$62,C$3,案件一覧!$E$3:$E$62,"&lt;="&amp;$A136,案件一覧!$F$3:$F$62,"&gt;"&amp;$A136,案件一覧!$C$3:$C$62,"&lt;&gt;キャンセル")&gt;1," ◆重複!",""))</f>
        <v/>
      </c>
      <c r="D136" s="18" t="str">
        <f aca="false">IF(COUNTIFS(案件一覧!$N$3:$N$62,D$3,案件一覧!$E$3:$E$62,"&lt;="&amp;$A136,案件一覧!$F$3:$F$62,"&gt;"&amp;$A136,案件一覧!$C$3:$C$62,"&lt;&gt;キャンセル")=0,"",INDEX(案件一覧!$J$3:$J$62,MATCH(1,INDEX((案件一覧!$N$3:$N$62=D$3)*(案件一覧!$E$3:$E$62&lt;=$A136)*(案件一覧!$F$3:$F$62&gt;$A136)*(案件一覧!$C$3:$C$62&lt;&gt;"キャンセル"),0),0))&amp;IF(COUNTIFS(案件一覧!$N$3:$N$62,D$3,案件一覧!$E$3:$E$62,"&lt;="&amp;$A136,案件一覧!$F$3:$F$62,"&gt;"&amp;$A136,案件一覧!$C$3:$C$62,"&lt;&gt;キャンセル")&gt;1," ◆重複!",""))</f>
        <v/>
      </c>
      <c r="E136" s="18" t="str">
        <f aca="false">IF(COUNTIFS(案件一覧!$N$3:$N$62,E$3,案件一覧!$E$3:$E$62,"&lt;="&amp;$A136,案件一覧!$F$3:$F$62,"&gt;"&amp;$A136,案件一覧!$C$3:$C$62,"&lt;&gt;キャンセル")=0,"",INDEX(案件一覧!$J$3:$J$62,MATCH(1,INDEX((案件一覧!$N$3:$N$62=E$3)*(案件一覧!$E$3:$E$62&lt;=$A136)*(案件一覧!$F$3:$F$62&gt;$A136)*(案件一覧!$C$3:$C$62&lt;&gt;"キャンセル"),0),0))&amp;IF(COUNTIFS(案件一覧!$N$3:$N$62,E$3,案件一覧!$E$3:$E$62,"&lt;="&amp;$A136,案件一覧!$F$3:$F$62,"&gt;"&amp;$A136,案件一覧!$C$3:$C$62,"&lt;&gt;キャンセル")&gt;1," ◆重複!",""))</f>
        <v/>
      </c>
      <c r="F136" s="18" t="str">
        <f aca="false">IF(COUNTIFS(案件一覧!$N$3:$N$62,F$3,案件一覧!$E$3:$E$62,"&lt;="&amp;$A136,案件一覧!$F$3:$F$62,"&gt;"&amp;$A136,案件一覧!$C$3:$C$62,"&lt;&gt;キャンセル")=0,"",INDEX(案件一覧!$J$3:$J$62,MATCH(1,INDEX((案件一覧!$N$3:$N$62=F$3)*(案件一覧!$E$3:$E$62&lt;=$A136)*(案件一覧!$F$3:$F$62&gt;$A136)*(案件一覧!$C$3:$C$62&lt;&gt;"キャンセル"),0),0))&amp;IF(COUNTIFS(案件一覧!$N$3:$N$62,F$3,案件一覧!$E$3:$E$62,"&lt;="&amp;$A136,案件一覧!$F$3:$F$62,"&gt;"&amp;$A136,案件一覧!$C$3:$C$62,"&lt;&gt;キャンセル")&gt;1," ◆重複!",""))</f>
        <v/>
      </c>
      <c r="G136" s="18" t="str">
        <f aca="false">IF(COUNTIFS(案件一覧!$N$3:$N$62,G$3,案件一覧!$E$3:$E$62,"&lt;="&amp;$A136,案件一覧!$F$3:$F$62,"&gt;"&amp;$A136,案件一覧!$C$3:$C$62,"&lt;&gt;キャンセル")=0,"",INDEX(案件一覧!$J$3:$J$62,MATCH(1,INDEX((案件一覧!$N$3:$N$62=G$3)*(案件一覧!$E$3:$E$62&lt;=$A136)*(案件一覧!$F$3:$F$62&gt;$A136)*(案件一覧!$C$3:$C$62&lt;&gt;"キャンセル"),0),0))&amp;IF(COUNTIFS(案件一覧!$N$3:$N$62,G$3,案件一覧!$E$3:$E$62,"&lt;="&amp;$A136,案件一覧!$F$3:$F$62,"&gt;"&amp;$A136,案件一覧!$C$3:$C$62,"&lt;&gt;キャンセル")&gt;1," ◆重複!",""))</f>
        <v/>
      </c>
      <c r="H136" s="18" t="str">
        <f aca="false">IF(COUNTIFS(案件一覧!$N$3:$N$62,H$3,案件一覧!$E$3:$E$62,"&lt;="&amp;$A136,案件一覧!$F$3:$F$62,"&gt;"&amp;$A136,案件一覧!$C$3:$C$62,"&lt;&gt;キャンセル")=0,"",INDEX(案件一覧!$J$3:$J$62,MATCH(1,INDEX((案件一覧!$N$3:$N$62=H$3)*(案件一覧!$E$3:$E$62&lt;=$A136)*(案件一覧!$F$3:$F$62&gt;$A136)*(案件一覧!$C$3:$C$62&lt;&gt;"キャンセル"),0),0))&amp;IF(COUNTIFS(案件一覧!$N$3:$N$62,H$3,案件一覧!$E$3:$E$62,"&lt;="&amp;$A136,案件一覧!$F$3:$F$62,"&gt;"&amp;$A136,案件一覧!$C$3:$C$62,"&lt;&gt;キャンセル")&gt;1," ◆重複!",""))</f>
        <v/>
      </c>
    </row>
    <row r="137" customFormat="false" ht="15" hidden="false" customHeight="false" outlineLevel="0" collapsed="false">
      <c r="A137" s="16" t="n">
        <v>46337</v>
      </c>
      <c r="B137" s="17" t="s">
        <v>42</v>
      </c>
      <c r="C137" s="18" t="str">
        <f aca="false">IF(COUNTIFS(案件一覧!$N$3:$N$62,C$3,案件一覧!$E$3:$E$62,"&lt;="&amp;$A137,案件一覧!$F$3:$F$62,"&gt;"&amp;$A137,案件一覧!$C$3:$C$62,"&lt;&gt;キャンセル")=0,"",INDEX(案件一覧!$J$3:$J$62,MATCH(1,INDEX((案件一覧!$N$3:$N$62=C$3)*(案件一覧!$E$3:$E$62&lt;=$A137)*(案件一覧!$F$3:$F$62&gt;$A137)*(案件一覧!$C$3:$C$62&lt;&gt;"キャンセル"),0),0))&amp;IF(COUNTIFS(案件一覧!$N$3:$N$62,C$3,案件一覧!$E$3:$E$62,"&lt;="&amp;$A137,案件一覧!$F$3:$F$62,"&gt;"&amp;$A137,案件一覧!$C$3:$C$62,"&lt;&gt;キャンセル")&gt;1," ◆重複!",""))</f>
        <v/>
      </c>
      <c r="D137" s="18" t="str">
        <f aca="false">IF(COUNTIFS(案件一覧!$N$3:$N$62,D$3,案件一覧!$E$3:$E$62,"&lt;="&amp;$A137,案件一覧!$F$3:$F$62,"&gt;"&amp;$A137,案件一覧!$C$3:$C$62,"&lt;&gt;キャンセル")=0,"",INDEX(案件一覧!$J$3:$J$62,MATCH(1,INDEX((案件一覧!$N$3:$N$62=D$3)*(案件一覧!$E$3:$E$62&lt;=$A137)*(案件一覧!$F$3:$F$62&gt;$A137)*(案件一覧!$C$3:$C$62&lt;&gt;"キャンセル"),0),0))&amp;IF(COUNTIFS(案件一覧!$N$3:$N$62,D$3,案件一覧!$E$3:$E$62,"&lt;="&amp;$A137,案件一覧!$F$3:$F$62,"&gt;"&amp;$A137,案件一覧!$C$3:$C$62,"&lt;&gt;キャンセル")&gt;1," ◆重複!",""))</f>
        <v/>
      </c>
      <c r="E137" s="18" t="str">
        <f aca="false">IF(COUNTIFS(案件一覧!$N$3:$N$62,E$3,案件一覧!$E$3:$E$62,"&lt;="&amp;$A137,案件一覧!$F$3:$F$62,"&gt;"&amp;$A137,案件一覧!$C$3:$C$62,"&lt;&gt;キャンセル")=0,"",INDEX(案件一覧!$J$3:$J$62,MATCH(1,INDEX((案件一覧!$N$3:$N$62=E$3)*(案件一覧!$E$3:$E$62&lt;=$A137)*(案件一覧!$F$3:$F$62&gt;$A137)*(案件一覧!$C$3:$C$62&lt;&gt;"キャンセル"),0),0))&amp;IF(COUNTIFS(案件一覧!$N$3:$N$62,E$3,案件一覧!$E$3:$E$62,"&lt;="&amp;$A137,案件一覧!$F$3:$F$62,"&gt;"&amp;$A137,案件一覧!$C$3:$C$62,"&lt;&gt;キャンセル")&gt;1," ◆重複!",""))</f>
        <v/>
      </c>
      <c r="F137" s="18" t="str">
        <f aca="false">IF(COUNTIFS(案件一覧!$N$3:$N$62,F$3,案件一覧!$E$3:$E$62,"&lt;="&amp;$A137,案件一覧!$F$3:$F$62,"&gt;"&amp;$A137,案件一覧!$C$3:$C$62,"&lt;&gt;キャンセル")=0,"",INDEX(案件一覧!$J$3:$J$62,MATCH(1,INDEX((案件一覧!$N$3:$N$62=F$3)*(案件一覧!$E$3:$E$62&lt;=$A137)*(案件一覧!$F$3:$F$62&gt;$A137)*(案件一覧!$C$3:$C$62&lt;&gt;"キャンセル"),0),0))&amp;IF(COUNTIFS(案件一覧!$N$3:$N$62,F$3,案件一覧!$E$3:$E$62,"&lt;="&amp;$A137,案件一覧!$F$3:$F$62,"&gt;"&amp;$A137,案件一覧!$C$3:$C$62,"&lt;&gt;キャンセル")&gt;1," ◆重複!",""))</f>
        <v/>
      </c>
      <c r="G137" s="18" t="str">
        <f aca="false">IF(COUNTIFS(案件一覧!$N$3:$N$62,G$3,案件一覧!$E$3:$E$62,"&lt;="&amp;$A137,案件一覧!$F$3:$F$62,"&gt;"&amp;$A137,案件一覧!$C$3:$C$62,"&lt;&gt;キャンセル")=0,"",INDEX(案件一覧!$J$3:$J$62,MATCH(1,INDEX((案件一覧!$N$3:$N$62=G$3)*(案件一覧!$E$3:$E$62&lt;=$A137)*(案件一覧!$F$3:$F$62&gt;$A137)*(案件一覧!$C$3:$C$62&lt;&gt;"キャンセル"),0),0))&amp;IF(COUNTIFS(案件一覧!$N$3:$N$62,G$3,案件一覧!$E$3:$E$62,"&lt;="&amp;$A137,案件一覧!$F$3:$F$62,"&gt;"&amp;$A137,案件一覧!$C$3:$C$62,"&lt;&gt;キャンセル")&gt;1," ◆重複!",""))</f>
        <v/>
      </c>
      <c r="H137" s="18" t="str">
        <f aca="false">IF(COUNTIFS(案件一覧!$N$3:$N$62,H$3,案件一覧!$E$3:$E$62,"&lt;="&amp;$A137,案件一覧!$F$3:$F$62,"&gt;"&amp;$A137,案件一覧!$C$3:$C$62,"&lt;&gt;キャンセル")=0,"",INDEX(案件一覧!$J$3:$J$62,MATCH(1,INDEX((案件一覧!$N$3:$N$62=H$3)*(案件一覧!$E$3:$E$62&lt;=$A137)*(案件一覧!$F$3:$F$62&gt;$A137)*(案件一覧!$C$3:$C$62&lt;&gt;"キャンセル"),0),0))&amp;IF(COUNTIFS(案件一覧!$N$3:$N$62,H$3,案件一覧!$E$3:$E$62,"&lt;="&amp;$A137,案件一覧!$F$3:$F$62,"&gt;"&amp;$A137,案件一覧!$C$3:$C$62,"&lt;&gt;キャンセル")&gt;1," ◆重複!",""))</f>
        <v/>
      </c>
    </row>
    <row r="138" customFormat="false" ht="15" hidden="false" customHeight="false" outlineLevel="0" collapsed="false">
      <c r="A138" s="16" t="n">
        <v>46338</v>
      </c>
      <c r="B138" s="17" t="s">
        <v>43</v>
      </c>
      <c r="C138" s="18" t="str">
        <f aca="false">IF(COUNTIFS(案件一覧!$N$3:$N$62,C$3,案件一覧!$E$3:$E$62,"&lt;="&amp;$A138,案件一覧!$F$3:$F$62,"&gt;"&amp;$A138,案件一覧!$C$3:$C$62,"&lt;&gt;キャンセル")=0,"",INDEX(案件一覧!$J$3:$J$62,MATCH(1,INDEX((案件一覧!$N$3:$N$62=C$3)*(案件一覧!$E$3:$E$62&lt;=$A138)*(案件一覧!$F$3:$F$62&gt;$A138)*(案件一覧!$C$3:$C$62&lt;&gt;"キャンセル"),0),0))&amp;IF(COUNTIFS(案件一覧!$N$3:$N$62,C$3,案件一覧!$E$3:$E$62,"&lt;="&amp;$A138,案件一覧!$F$3:$F$62,"&gt;"&amp;$A138,案件一覧!$C$3:$C$62,"&lt;&gt;キャンセル")&gt;1," ◆重複!",""))</f>
        <v/>
      </c>
      <c r="D138" s="18" t="str">
        <f aca="false">IF(COUNTIFS(案件一覧!$N$3:$N$62,D$3,案件一覧!$E$3:$E$62,"&lt;="&amp;$A138,案件一覧!$F$3:$F$62,"&gt;"&amp;$A138,案件一覧!$C$3:$C$62,"&lt;&gt;キャンセル")=0,"",INDEX(案件一覧!$J$3:$J$62,MATCH(1,INDEX((案件一覧!$N$3:$N$62=D$3)*(案件一覧!$E$3:$E$62&lt;=$A138)*(案件一覧!$F$3:$F$62&gt;$A138)*(案件一覧!$C$3:$C$62&lt;&gt;"キャンセル"),0),0))&amp;IF(COUNTIFS(案件一覧!$N$3:$N$62,D$3,案件一覧!$E$3:$E$62,"&lt;="&amp;$A138,案件一覧!$F$3:$F$62,"&gt;"&amp;$A138,案件一覧!$C$3:$C$62,"&lt;&gt;キャンセル")&gt;1," ◆重複!",""))</f>
        <v/>
      </c>
      <c r="E138" s="18" t="str">
        <f aca="false">IF(COUNTIFS(案件一覧!$N$3:$N$62,E$3,案件一覧!$E$3:$E$62,"&lt;="&amp;$A138,案件一覧!$F$3:$F$62,"&gt;"&amp;$A138,案件一覧!$C$3:$C$62,"&lt;&gt;キャンセル")=0,"",INDEX(案件一覧!$J$3:$J$62,MATCH(1,INDEX((案件一覧!$N$3:$N$62=E$3)*(案件一覧!$E$3:$E$62&lt;=$A138)*(案件一覧!$F$3:$F$62&gt;$A138)*(案件一覧!$C$3:$C$62&lt;&gt;"キャンセル"),0),0))&amp;IF(COUNTIFS(案件一覧!$N$3:$N$62,E$3,案件一覧!$E$3:$E$62,"&lt;="&amp;$A138,案件一覧!$F$3:$F$62,"&gt;"&amp;$A138,案件一覧!$C$3:$C$62,"&lt;&gt;キャンセル")&gt;1," ◆重複!",""))</f>
        <v/>
      </c>
      <c r="F138" s="18" t="str">
        <f aca="false">IF(COUNTIFS(案件一覧!$N$3:$N$62,F$3,案件一覧!$E$3:$E$62,"&lt;="&amp;$A138,案件一覧!$F$3:$F$62,"&gt;"&amp;$A138,案件一覧!$C$3:$C$62,"&lt;&gt;キャンセル")=0,"",INDEX(案件一覧!$J$3:$J$62,MATCH(1,INDEX((案件一覧!$N$3:$N$62=F$3)*(案件一覧!$E$3:$E$62&lt;=$A138)*(案件一覧!$F$3:$F$62&gt;$A138)*(案件一覧!$C$3:$C$62&lt;&gt;"キャンセル"),0),0))&amp;IF(COUNTIFS(案件一覧!$N$3:$N$62,F$3,案件一覧!$E$3:$E$62,"&lt;="&amp;$A138,案件一覧!$F$3:$F$62,"&gt;"&amp;$A138,案件一覧!$C$3:$C$62,"&lt;&gt;キャンセル")&gt;1," ◆重複!",""))</f>
        <v/>
      </c>
      <c r="G138" s="18" t="str">
        <f aca="false">IF(COUNTIFS(案件一覧!$N$3:$N$62,G$3,案件一覧!$E$3:$E$62,"&lt;="&amp;$A138,案件一覧!$F$3:$F$62,"&gt;"&amp;$A138,案件一覧!$C$3:$C$62,"&lt;&gt;キャンセル")=0,"",INDEX(案件一覧!$J$3:$J$62,MATCH(1,INDEX((案件一覧!$N$3:$N$62=G$3)*(案件一覧!$E$3:$E$62&lt;=$A138)*(案件一覧!$F$3:$F$62&gt;$A138)*(案件一覧!$C$3:$C$62&lt;&gt;"キャンセル"),0),0))&amp;IF(COUNTIFS(案件一覧!$N$3:$N$62,G$3,案件一覧!$E$3:$E$62,"&lt;="&amp;$A138,案件一覧!$F$3:$F$62,"&gt;"&amp;$A138,案件一覧!$C$3:$C$62,"&lt;&gt;キャンセル")&gt;1," ◆重複!",""))</f>
        <v/>
      </c>
      <c r="H138" s="18" t="str">
        <f aca="false">IF(COUNTIFS(案件一覧!$N$3:$N$62,H$3,案件一覧!$E$3:$E$62,"&lt;="&amp;$A138,案件一覧!$F$3:$F$62,"&gt;"&amp;$A138,案件一覧!$C$3:$C$62,"&lt;&gt;キャンセル")=0,"",INDEX(案件一覧!$J$3:$J$62,MATCH(1,INDEX((案件一覧!$N$3:$N$62=H$3)*(案件一覧!$E$3:$E$62&lt;=$A138)*(案件一覧!$F$3:$F$62&gt;$A138)*(案件一覧!$C$3:$C$62&lt;&gt;"キャンセル"),0),0))&amp;IF(COUNTIFS(案件一覧!$N$3:$N$62,H$3,案件一覧!$E$3:$E$62,"&lt;="&amp;$A138,案件一覧!$F$3:$F$62,"&gt;"&amp;$A138,案件一覧!$C$3:$C$62,"&lt;&gt;キャンセル")&gt;1," ◆重複!",""))</f>
        <v/>
      </c>
    </row>
    <row r="139" customFormat="false" ht="15" hidden="false" customHeight="false" outlineLevel="0" collapsed="false">
      <c r="A139" s="16" t="n">
        <v>46339</v>
      </c>
      <c r="B139" s="17" t="s">
        <v>44</v>
      </c>
      <c r="C139" s="18" t="str">
        <f aca="false">IF(COUNTIFS(案件一覧!$N$3:$N$62,C$3,案件一覧!$E$3:$E$62,"&lt;="&amp;$A139,案件一覧!$F$3:$F$62,"&gt;"&amp;$A139,案件一覧!$C$3:$C$62,"&lt;&gt;キャンセル")=0,"",INDEX(案件一覧!$J$3:$J$62,MATCH(1,INDEX((案件一覧!$N$3:$N$62=C$3)*(案件一覧!$E$3:$E$62&lt;=$A139)*(案件一覧!$F$3:$F$62&gt;$A139)*(案件一覧!$C$3:$C$62&lt;&gt;"キャンセル"),0),0))&amp;IF(COUNTIFS(案件一覧!$N$3:$N$62,C$3,案件一覧!$E$3:$E$62,"&lt;="&amp;$A139,案件一覧!$F$3:$F$62,"&gt;"&amp;$A139,案件一覧!$C$3:$C$62,"&lt;&gt;キャンセル")&gt;1," ◆重複!",""))</f>
        <v/>
      </c>
      <c r="D139" s="18" t="str">
        <f aca="false">IF(COUNTIFS(案件一覧!$N$3:$N$62,D$3,案件一覧!$E$3:$E$62,"&lt;="&amp;$A139,案件一覧!$F$3:$F$62,"&gt;"&amp;$A139,案件一覧!$C$3:$C$62,"&lt;&gt;キャンセル")=0,"",INDEX(案件一覧!$J$3:$J$62,MATCH(1,INDEX((案件一覧!$N$3:$N$62=D$3)*(案件一覧!$E$3:$E$62&lt;=$A139)*(案件一覧!$F$3:$F$62&gt;$A139)*(案件一覧!$C$3:$C$62&lt;&gt;"キャンセル"),0),0))&amp;IF(COUNTIFS(案件一覧!$N$3:$N$62,D$3,案件一覧!$E$3:$E$62,"&lt;="&amp;$A139,案件一覧!$F$3:$F$62,"&gt;"&amp;$A139,案件一覧!$C$3:$C$62,"&lt;&gt;キャンセル")&gt;1," ◆重複!",""))</f>
        <v/>
      </c>
      <c r="E139" s="18" t="str">
        <f aca="false">IF(COUNTIFS(案件一覧!$N$3:$N$62,E$3,案件一覧!$E$3:$E$62,"&lt;="&amp;$A139,案件一覧!$F$3:$F$62,"&gt;"&amp;$A139,案件一覧!$C$3:$C$62,"&lt;&gt;キャンセル")=0,"",INDEX(案件一覧!$J$3:$J$62,MATCH(1,INDEX((案件一覧!$N$3:$N$62=E$3)*(案件一覧!$E$3:$E$62&lt;=$A139)*(案件一覧!$F$3:$F$62&gt;$A139)*(案件一覧!$C$3:$C$62&lt;&gt;"キャンセル"),0),0))&amp;IF(COUNTIFS(案件一覧!$N$3:$N$62,E$3,案件一覧!$E$3:$E$62,"&lt;="&amp;$A139,案件一覧!$F$3:$F$62,"&gt;"&amp;$A139,案件一覧!$C$3:$C$62,"&lt;&gt;キャンセル")&gt;1," ◆重複!",""))</f>
        <v/>
      </c>
      <c r="F139" s="18" t="str">
        <f aca="false">IF(COUNTIFS(案件一覧!$N$3:$N$62,F$3,案件一覧!$E$3:$E$62,"&lt;="&amp;$A139,案件一覧!$F$3:$F$62,"&gt;"&amp;$A139,案件一覧!$C$3:$C$62,"&lt;&gt;キャンセル")=0,"",INDEX(案件一覧!$J$3:$J$62,MATCH(1,INDEX((案件一覧!$N$3:$N$62=F$3)*(案件一覧!$E$3:$E$62&lt;=$A139)*(案件一覧!$F$3:$F$62&gt;$A139)*(案件一覧!$C$3:$C$62&lt;&gt;"キャンセル"),0),0))&amp;IF(COUNTIFS(案件一覧!$N$3:$N$62,F$3,案件一覧!$E$3:$E$62,"&lt;="&amp;$A139,案件一覧!$F$3:$F$62,"&gt;"&amp;$A139,案件一覧!$C$3:$C$62,"&lt;&gt;キャンセル")&gt;1," ◆重複!",""))</f>
        <v/>
      </c>
      <c r="G139" s="18" t="str">
        <f aca="false">IF(COUNTIFS(案件一覧!$N$3:$N$62,G$3,案件一覧!$E$3:$E$62,"&lt;="&amp;$A139,案件一覧!$F$3:$F$62,"&gt;"&amp;$A139,案件一覧!$C$3:$C$62,"&lt;&gt;キャンセル")=0,"",INDEX(案件一覧!$J$3:$J$62,MATCH(1,INDEX((案件一覧!$N$3:$N$62=G$3)*(案件一覧!$E$3:$E$62&lt;=$A139)*(案件一覧!$F$3:$F$62&gt;$A139)*(案件一覧!$C$3:$C$62&lt;&gt;"キャンセル"),0),0))&amp;IF(COUNTIFS(案件一覧!$N$3:$N$62,G$3,案件一覧!$E$3:$E$62,"&lt;="&amp;$A139,案件一覧!$F$3:$F$62,"&gt;"&amp;$A139,案件一覧!$C$3:$C$62,"&lt;&gt;キャンセル")&gt;1," ◆重複!",""))</f>
        <v/>
      </c>
      <c r="H139" s="18" t="str">
        <f aca="false">IF(COUNTIFS(案件一覧!$N$3:$N$62,H$3,案件一覧!$E$3:$E$62,"&lt;="&amp;$A139,案件一覧!$F$3:$F$62,"&gt;"&amp;$A139,案件一覧!$C$3:$C$62,"&lt;&gt;キャンセル")=0,"",INDEX(案件一覧!$J$3:$J$62,MATCH(1,INDEX((案件一覧!$N$3:$N$62=H$3)*(案件一覧!$E$3:$E$62&lt;=$A139)*(案件一覧!$F$3:$F$62&gt;$A139)*(案件一覧!$C$3:$C$62&lt;&gt;"キャンセル"),0),0))&amp;IF(COUNTIFS(案件一覧!$N$3:$N$62,H$3,案件一覧!$E$3:$E$62,"&lt;="&amp;$A139,案件一覧!$F$3:$F$62,"&gt;"&amp;$A139,案件一覧!$C$3:$C$62,"&lt;&gt;キャンセル")&gt;1," ◆重複!",""))</f>
        <v/>
      </c>
    </row>
    <row r="140" customFormat="false" ht="15" hidden="false" customHeight="false" outlineLevel="0" collapsed="false">
      <c r="A140" s="19" t="n">
        <v>46340</v>
      </c>
      <c r="B140" s="20" t="s">
        <v>45</v>
      </c>
      <c r="C140" s="21" t="str">
        <f aca="false">IF(COUNTIFS(案件一覧!$N$3:$N$62,C$3,案件一覧!$E$3:$E$62,"&lt;="&amp;$A140,案件一覧!$F$3:$F$62,"&gt;"&amp;$A140,案件一覧!$C$3:$C$62,"&lt;&gt;キャンセル")=0,"",INDEX(案件一覧!$J$3:$J$62,MATCH(1,INDEX((案件一覧!$N$3:$N$62=C$3)*(案件一覧!$E$3:$E$62&lt;=$A140)*(案件一覧!$F$3:$F$62&gt;$A140)*(案件一覧!$C$3:$C$62&lt;&gt;"キャンセル"),0),0))&amp;IF(COUNTIFS(案件一覧!$N$3:$N$62,C$3,案件一覧!$E$3:$E$62,"&lt;="&amp;$A140,案件一覧!$F$3:$F$62,"&gt;"&amp;$A140,案件一覧!$C$3:$C$62,"&lt;&gt;キャンセル")&gt;1," ◆重複!",""))</f>
        <v/>
      </c>
      <c r="D140" s="21" t="str">
        <f aca="false">IF(COUNTIFS(案件一覧!$N$3:$N$62,D$3,案件一覧!$E$3:$E$62,"&lt;="&amp;$A140,案件一覧!$F$3:$F$62,"&gt;"&amp;$A140,案件一覧!$C$3:$C$62,"&lt;&gt;キャンセル")=0,"",INDEX(案件一覧!$J$3:$J$62,MATCH(1,INDEX((案件一覧!$N$3:$N$62=D$3)*(案件一覧!$E$3:$E$62&lt;=$A140)*(案件一覧!$F$3:$F$62&gt;$A140)*(案件一覧!$C$3:$C$62&lt;&gt;"キャンセル"),0),0))&amp;IF(COUNTIFS(案件一覧!$N$3:$N$62,D$3,案件一覧!$E$3:$E$62,"&lt;="&amp;$A140,案件一覧!$F$3:$F$62,"&gt;"&amp;$A140,案件一覧!$C$3:$C$62,"&lt;&gt;キャンセル")&gt;1," ◆重複!",""))</f>
        <v/>
      </c>
      <c r="E140" s="21" t="str">
        <f aca="false">IF(COUNTIFS(案件一覧!$N$3:$N$62,E$3,案件一覧!$E$3:$E$62,"&lt;="&amp;$A140,案件一覧!$F$3:$F$62,"&gt;"&amp;$A140,案件一覧!$C$3:$C$62,"&lt;&gt;キャンセル")=0,"",INDEX(案件一覧!$J$3:$J$62,MATCH(1,INDEX((案件一覧!$N$3:$N$62=E$3)*(案件一覧!$E$3:$E$62&lt;=$A140)*(案件一覧!$F$3:$F$62&gt;$A140)*(案件一覧!$C$3:$C$62&lt;&gt;"キャンセル"),0),0))&amp;IF(COUNTIFS(案件一覧!$N$3:$N$62,E$3,案件一覧!$E$3:$E$62,"&lt;="&amp;$A140,案件一覧!$F$3:$F$62,"&gt;"&amp;$A140,案件一覧!$C$3:$C$62,"&lt;&gt;キャンセル")&gt;1," ◆重複!",""))</f>
        <v/>
      </c>
      <c r="F140" s="21" t="str">
        <f aca="false">IF(COUNTIFS(案件一覧!$N$3:$N$62,F$3,案件一覧!$E$3:$E$62,"&lt;="&amp;$A140,案件一覧!$F$3:$F$62,"&gt;"&amp;$A140,案件一覧!$C$3:$C$62,"&lt;&gt;キャンセル")=0,"",INDEX(案件一覧!$J$3:$J$62,MATCH(1,INDEX((案件一覧!$N$3:$N$62=F$3)*(案件一覧!$E$3:$E$62&lt;=$A140)*(案件一覧!$F$3:$F$62&gt;$A140)*(案件一覧!$C$3:$C$62&lt;&gt;"キャンセル"),0),0))&amp;IF(COUNTIFS(案件一覧!$N$3:$N$62,F$3,案件一覧!$E$3:$E$62,"&lt;="&amp;$A140,案件一覧!$F$3:$F$62,"&gt;"&amp;$A140,案件一覧!$C$3:$C$62,"&lt;&gt;キャンセル")&gt;1," ◆重複!",""))</f>
        <v/>
      </c>
      <c r="G140" s="21" t="str">
        <f aca="false">IF(COUNTIFS(案件一覧!$N$3:$N$62,G$3,案件一覧!$E$3:$E$62,"&lt;="&amp;$A140,案件一覧!$F$3:$F$62,"&gt;"&amp;$A140,案件一覧!$C$3:$C$62,"&lt;&gt;キャンセル")=0,"",INDEX(案件一覧!$J$3:$J$62,MATCH(1,INDEX((案件一覧!$N$3:$N$62=G$3)*(案件一覧!$E$3:$E$62&lt;=$A140)*(案件一覧!$F$3:$F$62&gt;$A140)*(案件一覧!$C$3:$C$62&lt;&gt;"キャンセル"),0),0))&amp;IF(COUNTIFS(案件一覧!$N$3:$N$62,G$3,案件一覧!$E$3:$E$62,"&lt;="&amp;$A140,案件一覧!$F$3:$F$62,"&gt;"&amp;$A140,案件一覧!$C$3:$C$62,"&lt;&gt;キャンセル")&gt;1," ◆重複!",""))</f>
        <v/>
      </c>
      <c r="H140" s="21" t="str">
        <f aca="false">IF(COUNTIFS(案件一覧!$N$3:$N$62,H$3,案件一覧!$E$3:$E$62,"&lt;="&amp;$A140,案件一覧!$F$3:$F$62,"&gt;"&amp;$A140,案件一覧!$C$3:$C$62,"&lt;&gt;キャンセル")=0,"",INDEX(案件一覧!$J$3:$J$62,MATCH(1,INDEX((案件一覧!$N$3:$N$62=H$3)*(案件一覧!$E$3:$E$62&lt;=$A140)*(案件一覧!$F$3:$F$62&gt;$A140)*(案件一覧!$C$3:$C$62&lt;&gt;"キャンセル"),0),0))&amp;IF(COUNTIFS(案件一覧!$N$3:$N$62,H$3,案件一覧!$E$3:$E$62,"&lt;="&amp;$A140,案件一覧!$F$3:$F$62,"&gt;"&amp;$A140,案件一覧!$C$3:$C$62,"&lt;&gt;キャンセル")&gt;1," ◆重複!",""))</f>
        <v/>
      </c>
    </row>
    <row r="141" customFormat="false" ht="15" hidden="false" customHeight="false" outlineLevel="0" collapsed="false">
      <c r="A141" s="22" t="n">
        <v>46341</v>
      </c>
      <c r="B141" s="23" t="s">
        <v>46</v>
      </c>
      <c r="C141" s="24" t="str">
        <f aca="false">IF(COUNTIFS(案件一覧!$N$3:$N$62,C$3,案件一覧!$E$3:$E$62,"&lt;="&amp;$A141,案件一覧!$F$3:$F$62,"&gt;"&amp;$A141,案件一覧!$C$3:$C$62,"&lt;&gt;キャンセル")=0,"",INDEX(案件一覧!$J$3:$J$62,MATCH(1,INDEX((案件一覧!$N$3:$N$62=C$3)*(案件一覧!$E$3:$E$62&lt;=$A141)*(案件一覧!$F$3:$F$62&gt;$A141)*(案件一覧!$C$3:$C$62&lt;&gt;"キャンセル"),0),0))&amp;IF(COUNTIFS(案件一覧!$N$3:$N$62,C$3,案件一覧!$E$3:$E$62,"&lt;="&amp;$A141,案件一覧!$F$3:$F$62,"&gt;"&amp;$A141,案件一覧!$C$3:$C$62,"&lt;&gt;キャンセル")&gt;1," ◆重複!",""))</f>
        <v/>
      </c>
      <c r="D141" s="24" t="str">
        <f aca="false">IF(COUNTIFS(案件一覧!$N$3:$N$62,D$3,案件一覧!$E$3:$E$62,"&lt;="&amp;$A141,案件一覧!$F$3:$F$62,"&gt;"&amp;$A141,案件一覧!$C$3:$C$62,"&lt;&gt;キャンセル")=0,"",INDEX(案件一覧!$J$3:$J$62,MATCH(1,INDEX((案件一覧!$N$3:$N$62=D$3)*(案件一覧!$E$3:$E$62&lt;=$A141)*(案件一覧!$F$3:$F$62&gt;$A141)*(案件一覧!$C$3:$C$62&lt;&gt;"キャンセル"),0),0))&amp;IF(COUNTIFS(案件一覧!$N$3:$N$62,D$3,案件一覧!$E$3:$E$62,"&lt;="&amp;$A141,案件一覧!$F$3:$F$62,"&gt;"&amp;$A141,案件一覧!$C$3:$C$62,"&lt;&gt;キャンセル")&gt;1," ◆重複!",""))</f>
        <v/>
      </c>
      <c r="E141" s="24" t="str">
        <f aca="false">IF(COUNTIFS(案件一覧!$N$3:$N$62,E$3,案件一覧!$E$3:$E$62,"&lt;="&amp;$A141,案件一覧!$F$3:$F$62,"&gt;"&amp;$A141,案件一覧!$C$3:$C$62,"&lt;&gt;キャンセル")=0,"",INDEX(案件一覧!$J$3:$J$62,MATCH(1,INDEX((案件一覧!$N$3:$N$62=E$3)*(案件一覧!$E$3:$E$62&lt;=$A141)*(案件一覧!$F$3:$F$62&gt;$A141)*(案件一覧!$C$3:$C$62&lt;&gt;"キャンセル"),0),0))&amp;IF(COUNTIFS(案件一覧!$N$3:$N$62,E$3,案件一覧!$E$3:$E$62,"&lt;="&amp;$A141,案件一覧!$F$3:$F$62,"&gt;"&amp;$A141,案件一覧!$C$3:$C$62,"&lt;&gt;キャンセル")&gt;1," ◆重複!",""))</f>
        <v/>
      </c>
      <c r="F141" s="24" t="str">
        <f aca="false">IF(COUNTIFS(案件一覧!$N$3:$N$62,F$3,案件一覧!$E$3:$E$62,"&lt;="&amp;$A141,案件一覧!$F$3:$F$62,"&gt;"&amp;$A141,案件一覧!$C$3:$C$62,"&lt;&gt;キャンセル")=0,"",INDEX(案件一覧!$J$3:$J$62,MATCH(1,INDEX((案件一覧!$N$3:$N$62=F$3)*(案件一覧!$E$3:$E$62&lt;=$A141)*(案件一覧!$F$3:$F$62&gt;$A141)*(案件一覧!$C$3:$C$62&lt;&gt;"キャンセル"),0),0))&amp;IF(COUNTIFS(案件一覧!$N$3:$N$62,F$3,案件一覧!$E$3:$E$62,"&lt;="&amp;$A141,案件一覧!$F$3:$F$62,"&gt;"&amp;$A141,案件一覧!$C$3:$C$62,"&lt;&gt;キャンセル")&gt;1," ◆重複!",""))</f>
        <v/>
      </c>
      <c r="G141" s="24" t="str">
        <f aca="false">IF(COUNTIFS(案件一覧!$N$3:$N$62,G$3,案件一覧!$E$3:$E$62,"&lt;="&amp;$A141,案件一覧!$F$3:$F$62,"&gt;"&amp;$A141,案件一覧!$C$3:$C$62,"&lt;&gt;キャンセル")=0,"",INDEX(案件一覧!$J$3:$J$62,MATCH(1,INDEX((案件一覧!$N$3:$N$62=G$3)*(案件一覧!$E$3:$E$62&lt;=$A141)*(案件一覧!$F$3:$F$62&gt;$A141)*(案件一覧!$C$3:$C$62&lt;&gt;"キャンセル"),0),0))&amp;IF(COUNTIFS(案件一覧!$N$3:$N$62,G$3,案件一覧!$E$3:$E$62,"&lt;="&amp;$A141,案件一覧!$F$3:$F$62,"&gt;"&amp;$A141,案件一覧!$C$3:$C$62,"&lt;&gt;キャンセル")&gt;1," ◆重複!",""))</f>
        <v/>
      </c>
      <c r="H141" s="24" t="str">
        <f aca="false">IF(COUNTIFS(案件一覧!$N$3:$N$62,H$3,案件一覧!$E$3:$E$62,"&lt;="&amp;$A141,案件一覧!$F$3:$F$62,"&gt;"&amp;$A141,案件一覧!$C$3:$C$62,"&lt;&gt;キャンセル")=0,"",INDEX(案件一覧!$J$3:$J$62,MATCH(1,INDEX((案件一覧!$N$3:$N$62=H$3)*(案件一覧!$E$3:$E$62&lt;=$A141)*(案件一覧!$F$3:$F$62&gt;$A141)*(案件一覧!$C$3:$C$62&lt;&gt;"キャンセル"),0),0))&amp;IF(COUNTIFS(案件一覧!$N$3:$N$62,H$3,案件一覧!$E$3:$E$62,"&lt;="&amp;$A141,案件一覧!$F$3:$F$62,"&gt;"&amp;$A141,案件一覧!$C$3:$C$62,"&lt;&gt;キャンセル")&gt;1," ◆重複!",""))</f>
        <v/>
      </c>
    </row>
    <row r="142" customFormat="false" ht="15" hidden="false" customHeight="false" outlineLevel="0" collapsed="false">
      <c r="A142" s="16" t="n">
        <v>46342</v>
      </c>
      <c r="B142" s="17" t="s">
        <v>47</v>
      </c>
      <c r="C142" s="18" t="str">
        <f aca="false">IF(COUNTIFS(案件一覧!$N$3:$N$62,C$3,案件一覧!$E$3:$E$62,"&lt;="&amp;$A142,案件一覧!$F$3:$F$62,"&gt;"&amp;$A142,案件一覧!$C$3:$C$62,"&lt;&gt;キャンセル")=0,"",INDEX(案件一覧!$J$3:$J$62,MATCH(1,INDEX((案件一覧!$N$3:$N$62=C$3)*(案件一覧!$E$3:$E$62&lt;=$A142)*(案件一覧!$F$3:$F$62&gt;$A142)*(案件一覧!$C$3:$C$62&lt;&gt;"キャンセル"),0),0))&amp;IF(COUNTIFS(案件一覧!$N$3:$N$62,C$3,案件一覧!$E$3:$E$62,"&lt;="&amp;$A142,案件一覧!$F$3:$F$62,"&gt;"&amp;$A142,案件一覧!$C$3:$C$62,"&lt;&gt;キャンセル")&gt;1," ◆重複!",""))</f>
        <v/>
      </c>
      <c r="D142" s="18" t="str">
        <f aca="false">IF(COUNTIFS(案件一覧!$N$3:$N$62,D$3,案件一覧!$E$3:$E$62,"&lt;="&amp;$A142,案件一覧!$F$3:$F$62,"&gt;"&amp;$A142,案件一覧!$C$3:$C$62,"&lt;&gt;キャンセル")=0,"",INDEX(案件一覧!$J$3:$J$62,MATCH(1,INDEX((案件一覧!$N$3:$N$62=D$3)*(案件一覧!$E$3:$E$62&lt;=$A142)*(案件一覧!$F$3:$F$62&gt;$A142)*(案件一覧!$C$3:$C$62&lt;&gt;"キャンセル"),0),0))&amp;IF(COUNTIFS(案件一覧!$N$3:$N$62,D$3,案件一覧!$E$3:$E$62,"&lt;="&amp;$A142,案件一覧!$F$3:$F$62,"&gt;"&amp;$A142,案件一覧!$C$3:$C$62,"&lt;&gt;キャンセル")&gt;1," ◆重複!",""))</f>
        <v/>
      </c>
      <c r="E142" s="18" t="str">
        <f aca="false">IF(COUNTIFS(案件一覧!$N$3:$N$62,E$3,案件一覧!$E$3:$E$62,"&lt;="&amp;$A142,案件一覧!$F$3:$F$62,"&gt;"&amp;$A142,案件一覧!$C$3:$C$62,"&lt;&gt;キャンセル")=0,"",INDEX(案件一覧!$J$3:$J$62,MATCH(1,INDEX((案件一覧!$N$3:$N$62=E$3)*(案件一覧!$E$3:$E$62&lt;=$A142)*(案件一覧!$F$3:$F$62&gt;$A142)*(案件一覧!$C$3:$C$62&lt;&gt;"キャンセル"),0),0))&amp;IF(COUNTIFS(案件一覧!$N$3:$N$62,E$3,案件一覧!$E$3:$E$62,"&lt;="&amp;$A142,案件一覧!$F$3:$F$62,"&gt;"&amp;$A142,案件一覧!$C$3:$C$62,"&lt;&gt;キャンセル")&gt;1," ◆重複!",""))</f>
        <v/>
      </c>
      <c r="F142" s="18" t="str">
        <f aca="false">IF(COUNTIFS(案件一覧!$N$3:$N$62,F$3,案件一覧!$E$3:$E$62,"&lt;="&amp;$A142,案件一覧!$F$3:$F$62,"&gt;"&amp;$A142,案件一覧!$C$3:$C$62,"&lt;&gt;キャンセル")=0,"",INDEX(案件一覧!$J$3:$J$62,MATCH(1,INDEX((案件一覧!$N$3:$N$62=F$3)*(案件一覧!$E$3:$E$62&lt;=$A142)*(案件一覧!$F$3:$F$62&gt;$A142)*(案件一覧!$C$3:$C$62&lt;&gt;"キャンセル"),0),0))&amp;IF(COUNTIFS(案件一覧!$N$3:$N$62,F$3,案件一覧!$E$3:$E$62,"&lt;="&amp;$A142,案件一覧!$F$3:$F$62,"&gt;"&amp;$A142,案件一覧!$C$3:$C$62,"&lt;&gt;キャンセル")&gt;1," ◆重複!",""))</f>
        <v/>
      </c>
      <c r="G142" s="18" t="str">
        <f aca="false">IF(COUNTIFS(案件一覧!$N$3:$N$62,G$3,案件一覧!$E$3:$E$62,"&lt;="&amp;$A142,案件一覧!$F$3:$F$62,"&gt;"&amp;$A142,案件一覧!$C$3:$C$62,"&lt;&gt;キャンセル")=0,"",INDEX(案件一覧!$J$3:$J$62,MATCH(1,INDEX((案件一覧!$N$3:$N$62=G$3)*(案件一覧!$E$3:$E$62&lt;=$A142)*(案件一覧!$F$3:$F$62&gt;$A142)*(案件一覧!$C$3:$C$62&lt;&gt;"キャンセル"),0),0))&amp;IF(COUNTIFS(案件一覧!$N$3:$N$62,G$3,案件一覧!$E$3:$E$62,"&lt;="&amp;$A142,案件一覧!$F$3:$F$62,"&gt;"&amp;$A142,案件一覧!$C$3:$C$62,"&lt;&gt;キャンセル")&gt;1," ◆重複!",""))</f>
        <v/>
      </c>
      <c r="H142" s="18" t="str">
        <f aca="false">IF(COUNTIFS(案件一覧!$N$3:$N$62,H$3,案件一覧!$E$3:$E$62,"&lt;="&amp;$A142,案件一覧!$F$3:$F$62,"&gt;"&amp;$A142,案件一覧!$C$3:$C$62,"&lt;&gt;キャンセル")=0,"",INDEX(案件一覧!$J$3:$J$62,MATCH(1,INDEX((案件一覧!$N$3:$N$62=H$3)*(案件一覧!$E$3:$E$62&lt;=$A142)*(案件一覧!$F$3:$F$62&gt;$A142)*(案件一覧!$C$3:$C$62&lt;&gt;"キャンセル"),0),0))&amp;IF(COUNTIFS(案件一覧!$N$3:$N$62,H$3,案件一覧!$E$3:$E$62,"&lt;="&amp;$A142,案件一覧!$F$3:$F$62,"&gt;"&amp;$A142,案件一覧!$C$3:$C$62,"&lt;&gt;キャンセル")&gt;1," ◆重複!",""))</f>
        <v/>
      </c>
    </row>
    <row r="143" customFormat="false" ht="15" hidden="false" customHeight="false" outlineLevel="0" collapsed="false">
      <c r="A143" s="16" t="n">
        <v>46343</v>
      </c>
      <c r="B143" s="17" t="s">
        <v>48</v>
      </c>
      <c r="C143" s="18" t="str">
        <f aca="false">IF(COUNTIFS(案件一覧!$N$3:$N$62,C$3,案件一覧!$E$3:$E$62,"&lt;="&amp;$A143,案件一覧!$F$3:$F$62,"&gt;"&amp;$A143,案件一覧!$C$3:$C$62,"&lt;&gt;キャンセル")=0,"",INDEX(案件一覧!$J$3:$J$62,MATCH(1,INDEX((案件一覧!$N$3:$N$62=C$3)*(案件一覧!$E$3:$E$62&lt;=$A143)*(案件一覧!$F$3:$F$62&gt;$A143)*(案件一覧!$C$3:$C$62&lt;&gt;"キャンセル"),0),0))&amp;IF(COUNTIFS(案件一覧!$N$3:$N$62,C$3,案件一覧!$E$3:$E$62,"&lt;="&amp;$A143,案件一覧!$F$3:$F$62,"&gt;"&amp;$A143,案件一覧!$C$3:$C$62,"&lt;&gt;キャンセル")&gt;1," ◆重複!",""))</f>
        <v/>
      </c>
      <c r="D143" s="18" t="str">
        <f aca="false">IF(COUNTIFS(案件一覧!$N$3:$N$62,D$3,案件一覧!$E$3:$E$62,"&lt;="&amp;$A143,案件一覧!$F$3:$F$62,"&gt;"&amp;$A143,案件一覧!$C$3:$C$62,"&lt;&gt;キャンセル")=0,"",INDEX(案件一覧!$J$3:$J$62,MATCH(1,INDEX((案件一覧!$N$3:$N$62=D$3)*(案件一覧!$E$3:$E$62&lt;=$A143)*(案件一覧!$F$3:$F$62&gt;$A143)*(案件一覧!$C$3:$C$62&lt;&gt;"キャンセル"),0),0))&amp;IF(COUNTIFS(案件一覧!$N$3:$N$62,D$3,案件一覧!$E$3:$E$62,"&lt;="&amp;$A143,案件一覧!$F$3:$F$62,"&gt;"&amp;$A143,案件一覧!$C$3:$C$62,"&lt;&gt;キャンセル")&gt;1," ◆重複!",""))</f>
        <v/>
      </c>
      <c r="E143" s="18" t="str">
        <f aca="false">IF(COUNTIFS(案件一覧!$N$3:$N$62,E$3,案件一覧!$E$3:$E$62,"&lt;="&amp;$A143,案件一覧!$F$3:$F$62,"&gt;"&amp;$A143,案件一覧!$C$3:$C$62,"&lt;&gt;キャンセル")=0,"",INDEX(案件一覧!$J$3:$J$62,MATCH(1,INDEX((案件一覧!$N$3:$N$62=E$3)*(案件一覧!$E$3:$E$62&lt;=$A143)*(案件一覧!$F$3:$F$62&gt;$A143)*(案件一覧!$C$3:$C$62&lt;&gt;"キャンセル"),0),0))&amp;IF(COUNTIFS(案件一覧!$N$3:$N$62,E$3,案件一覧!$E$3:$E$62,"&lt;="&amp;$A143,案件一覧!$F$3:$F$62,"&gt;"&amp;$A143,案件一覧!$C$3:$C$62,"&lt;&gt;キャンセル")&gt;1," ◆重複!",""))</f>
        <v/>
      </c>
      <c r="F143" s="18" t="str">
        <f aca="false">IF(COUNTIFS(案件一覧!$N$3:$N$62,F$3,案件一覧!$E$3:$E$62,"&lt;="&amp;$A143,案件一覧!$F$3:$F$62,"&gt;"&amp;$A143,案件一覧!$C$3:$C$62,"&lt;&gt;キャンセル")=0,"",INDEX(案件一覧!$J$3:$J$62,MATCH(1,INDEX((案件一覧!$N$3:$N$62=F$3)*(案件一覧!$E$3:$E$62&lt;=$A143)*(案件一覧!$F$3:$F$62&gt;$A143)*(案件一覧!$C$3:$C$62&lt;&gt;"キャンセル"),0),0))&amp;IF(COUNTIFS(案件一覧!$N$3:$N$62,F$3,案件一覧!$E$3:$E$62,"&lt;="&amp;$A143,案件一覧!$F$3:$F$62,"&gt;"&amp;$A143,案件一覧!$C$3:$C$62,"&lt;&gt;キャンセル")&gt;1," ◆重複!",""))</f>
        <v/>
      </c>
      <c r="G143" s="18" t="str">
        <f aca="false">IF(COUNTIFS(案件一覧!$N$3:$N$62,G$3,案件一覧!$E$3:$E$62,"&lt;="&amp;$A143,案件一覧!$F$3:$F$62,"&gt;"&amp;$A143,案件一覧!$C$3:$C$62,"&lt;&gt;キャンセル")=0,"",INDEX(案件一覧!$J$3:$J$62,MATCH(1,INDEX((案件一覧!$N$3:$N$62=G$3)*(案件一覧!$E$3:$E$62&lt;=$A143)*(案件一覧!$F$3:$F$62&gt;$A143)*(案件一覧!$C$3:$C$62&lt;&gt;"キャンセル"),0),0))&amp;IF(COUNTIFS(案件一覧!$N$3:$N$62,G$3,案件一覧!$E$3:$E$62,"&lt;="&amp;$A143,案件一覧!$F$3:$F$62,"&gt;"&amp;$A143,案件一覧!$C$3:$C$62,"&lt;&gt;キャンセル")&gt;1," ◆重複!",""))</f>
        <v/>
      </c>
      <c r="H143" s="18" t="str">
        <f aca="false">IF(COUNTIFS(案件一覧!$N$3:$N$62,H$3,案件一覧!$E$3:$E$62,"&lt;="&amp;$A143,案件一覧!$F$3:$F$62,"&gt;"&amp;$A143,案件一覧!$C$3:$C$62,"&lt;&gt;キャンセル")=0,"",INDEX(案件一覧!$J$3:$J$62,MATCH(1,INDEX((案件一覧!$N$3:$N$62=H$3)*(案件一覧!$E$3:$E$62&lt;=$A143)*(案件一覧!$F$3:$F$62&gt;$A143)*(案件一覧!$C$3:$C$62&lt;&gt;"キャンセル"),0),0))&amp;IF(COUNTIFS(案件一覧!$N$3:$N$62,H$3,案件一覧!$E$3:$E$62,"&lt;="&amp;$A143,案件一覧!$F$3:$F$62,"&gt;"&amp;$A143,案件一覧!$C$3:$C$62,"&lt;&gt;キャンセル")&gt;1," ◆重複!",""))</f>
        <v/>
      </c>
    </row>
    <row r="144" customFormat="false" ht="15" hidden="false" customHeight="false" outlineLevel="0" collapsed="false">
      <c r="A144" s="16" t="n">
        <v>46344</v>
      </c>
      <c r="B144" s="17" t="s">
        <v>42</v>
      </c>
      <c r="C144" s="18" t="str">
        <f aca="false">IF(COUNTIFS(案件一覧!$N$3:$N$62,C$3,案件一覧!$E$3:$E$62,"&lt;="&amp;$A144,案件一覧!$F$3:$F$62,"&gt;"&amp;$A144,案件一覧!$C$3:$C$62,"&lt;&gt;キャンセル")=0,"",INDEX(案件一覧!$J$3:$J$62,MATCH(1,INDEX((案件一覧!$N$3:$N$62=C$3)*(案件一覧!$E$3:$E$62&lt;=$A144)*(案件一覧!$F$3:$F$62&gt;$A144)*(案件一覧!$C$3:$C$62&lt;&gt;"キャンセル"),0),0))&amp;IF(COUNTIFS(案件一覧!$N$3:$N$62,C$3,案件一覧!$E$3:$E$62,"&lt;="&amp;$A144,案件一覧!$F$3:$F$62,"&gt;"&amp;$A144,案件一覧!$C$3:$C$62,"&lt;&gt;キャンセル")&gt;1," ◆重複!",""))</f>
        <v/>
      </c>
      <c r="D144" s="18" t="str">
        <f aca="false">IF(COUNTIFS(案件一覧!$N$3:$N$62,D$3,案件一覧!$E$3:$E$62,"&lt;="&amp;$A144,案件一覧!$F$3:$F$62,"&gt;"&amp;$A144,案件一覧!$C$3:$C$62,"&lt;&gt;キャンセル")=0,"",INDEX(案件一覧!$J$3:$J$62,MATCH(1,INDEX((案件一覧!$N$3:$N$62=D$3)*(案件一覧!$E$3:$E$62&lt;=$A144)*(案件一覧!$F$3:$F$62&gt;$A144)*(案件一覧!$C$3:$C$62&lt;&gt;"キャンセル"),0),0))&amp;IF(COUNTIFS(案件一覧!$N$3:$N$62,D$3,案件一覧!$E$3:$E$62,"&lt;="&amp;$A144,案件一覧!$F$3:$F$62,"&gt;"&amp;$A144,案件一覧!$C$3:$C$62,"&lt;&gt;キャンセル")&gt;1," ◆重複!",""))</f>
        <v/>
      </c>
      <c r="E144" s="18" t="str">
        <f aca="false">IF(COUNTIFS(案件一覧!$N$3:$N$62,E$3,案件一覧!$E$3:$E$62,"&lt;="&amp;$A144,案件一覧!$F$3:$F$62,"&gt;"&amp;$A144,案件一覧!$C$3:$C$62,"&lt;&gt;キャンセル")=0,"",INDEX(案件一覧!$J$3:$J$62,MATCH(1,INDEX((案件一覧!$N$3:$N$62=E$3)*(案件一覧!$E$3:$E$62&lt;=$A144)*(案件一覧!$F$3:$F$62&gt;$A144)*(案件一覧!$C$3:$C$62&lt;&gt;"キャンセル"),0),0))&amp;IF(COUNTIFS(案件一覧!$N$3:$N$62,E$3,案件一覧!$E$3:$E$62,"&lt;="&amp;$A144,案件一覧!$F$3:$F$62,"&gt;"&amp;$A144,案件一覧!$C$3:$C$62,"&lt;&gt;キャンセル")&gt;1," ◆重複!",""))</f>
        <v/>
      </c>
      <c r="F144" s="18" t="str">
        <f aca="false">IF(COUNTIFS(案件一覧!$N$3:$N$62,F$3,案件一覧!$E$3:$E$62,"&lt;="&amp;$A144,案件一覧!$F$3:$F$62,"&gt;"&amp;$A144,案件一覧!$C$3:$C$62,"&lt;&gt;キャンセル")=0,"",INDEX(案件一覧!$J$3:$J$62,MATCH(1,INDEX((案件一覧!$N$3:$N$62=F$3)*(案件一覧!$E$3:$E$62&lt;=$A144)*(案件一覧!$F$3:$F$62&gt;$A144)*(案件一覧!$C$3:$C$62&lt;&gt;"キャンセル"),0),0))&amp;IF(COUNTIFS(案件一覧!$N$3:$N$62,F$3,案件一覧!$E$3:$E$62,"&lt;="&amp;$A144,案件一覧!$F$3:$F$62,"&gt;"&amp;$A144,案件一覧!$C$3:$C$62,"&lt;&gt;キャンセル")&gt;1," ◆重複!",""))</f>
        <v/>
      </c>
      <c r="G144" s="18" t="str">
        <f aca="false">IF(COUNTIFS(案件一覧!$N$3:$N$62,G$3,案件一覧!$E$3:$E$62,"&lt;="&amp;$A144,案件一覧!$F$3:$F$62,"&gt;"&amp;$A144,案件一覧!$C$3:$C$62,"&lt;&gt;キャンセル")=0,"",INDEX(案件一覧!$J$3:$J$62,MATCH(1,INDEX((案件一覧!$N$3:$N$62=G$3)*(案件一覧!$E$3:$E$62&lt;=$A144)*(案件一覧!$F$3:$F$62&gt;$A144)*(案件一覧!$C$3:$C$62&lt;&gt;"キャンセル"),0),0))&amp;IF(COUNTIFS(案件一覧!$N$3:$N$62,G$3,案件一覧!$E$3:$E$62,"&lt;="&amp;$A144,案件一覧!$F$3:$F$62,"&gt;"&amp;$A144,案件一覧!$C$3:$C$62,"&lt;&gt;キャンセル")&gt;1," ◆重複!",""))</f>
        <v/>
      </c>
      <c r="H144" s="18" t="str">
        <f aca="false">IF(COUNTIFS(案件一覧!$N$3:$N$62,H$3,案件一覧!$E$3:$E$62,"&lt;="&amp;$A144,案件一覧!$F$3:$F$62,"&gt;"&amp;$A144,案件一覧!$C$3:$C$62,"&lt;&gt;キャンセル")=0,"",INDEX(案件一覧!$J$3:$J$62,MATCH(1,INDEX((案件一覧!$N$3:$N$62=H$3)*(案件一覧!$E$3:$E$62&lt;=$A144)*(案件一覧!$F$3:$F$62&gt;$A144)*(案件一覧!$C$3:$C$62&lt;&gt;"キャンセル"),0),0))&amp;IF(COUNTIFS(案件一覧!$N$3:$N$62,H$3,案件一覧!$E$3:$E$62,"&lt;="&amp;$A144,案件一覧!$F$3:$F$62,"&gt;"&amp;$A144,案件一覧!$C$3:$C$62,"&lt;&gt;キャンセル")&gt;1," ◆重複!",""))</f>
        <v/>
      </c>
    </row>
    <row r="145" customFormat="false" ht="15" hidden="false" customHeight="false" outlineLevel="0" collapsed="false">
      <c r="A145" s="16" t="n">
        <v>46345</v>
      </c>
      <c r="B145" s="17" t="s">
        <v>43</v>
      </c>
      <c r="C145" s="18" t="str">
        <f aca="false">IF(COUNTIFS(案件一覧!$N$3:$N$62,C$3,案件一覧!$E$3:$E$62,"&lt;="&amp;$A145,案件一覧!$F$3:$F$62,"&gt;"&amp;$A145,案件一覧!$C$3:$C$62,"&lt;&gt;キャンセル")=0,"",INDEX(案件一覧!$J$3:$J$62,MATCH(1,INDEX((案件一覧!$N$3:$N$62=C$3)*(案件一覧!$E$3:$E$62&lt;=$A145)*(案件一覧!$F$3:$F$62&gt;$A145)*(案件一覧!$C$3:$C$62&lt;&gt;"キャンセル"),0),0))&amp;IF(COUNTIFS(案件一覧!$N$3:$N$62,C$3,案件一覧!$E$3:$E$62,"&lt;="&amp;$A145,案件一覧!$F$3:$F$62,"&gt;"&amp;$A145,案件一覧!$C$3:$C$62,"&lt;&gt;キャンセル")&gt;1," ◆重複!",""))</f>
        <v/>
      </c>
      <c r="D145" s="18" t="str">
        <f aca="false">IF(COUNTIFS(案件一覧!$N$3:$N$62,D$3,案件一覧!$E$3:$E$62,"&lt;="&amp;$A145,案件一覧!$F$3:$F$62,"&gt;"&amp;$A145,案件一覧!$C$3:$C$62,"&lt;&gt;キャンセル")=0,"",INDEX(案件一覧!$J$3:$J$62,MATCH(1,INDEX((案件一覧!$N$3:$N$62=D$3)*(案件一覧!$E$3:$E$62&lt;=$A145)*(案件一覧!$F$3:$F$62&gt;$A145)*(案件一覧!$C$3:$C$62&lt;&gt;"キャンセル"),0),0))&amp;IF(COUNTIFS(案件一覧!$N$3:$N$62,D$3,案件一覧!$E$3:$E$62,"&lt;="&amp;$A145,案件一覧!$F$3:$F$62,"&gt;"&amp;$A145,案件一覧!$C$3:$C$62,"&lt;&gt;キャンセル")&gt;1," ◆重複!",""))</f>
        <v/>
      </c>
      <c r="E145" s="18" t="str">
        <f aca="false">IF(COUNTIFS(案件一覧!$N$3:$N$62,E$3,案件一覧!$E$3:$E$62,"&lt;="&amp;$A145,案件一覧!$F$3:$F$62,"&gt;"&amp;$A145,案件一覧!$C$3:$C$62,"&lt;&gt;キャンセル")=0,"",INDEX(案件一覧!$J$3:$J$62,MATCH(1,INDEX((案件一覧!$N$3:$N$62=E$3)*(案件一覧!$E$3:$E$62&lt;=$A145)*(案件一覧!$F$3:$F$62&gt;$A145)*(案件一覧!$C$3:$C$62&lt;&gt;"キャンセル"),0),0))&amp;IF(COUNTIFS(案件一覧!$N$3:$N$62,E$3,案件一覧!$E$3:$E$62,"&lt;="&amp;$A145,案件一覧!$F$3:$F$62,"&gt;"&amp;$A145,案件一覧!$C$3:$C$62,"&lt;&gt;キャンセル")&gt;1," ◆重複!",""))</f>
        <v/>
      </c>
      <c r="F145" s="18" t="str">
        <f aca="false">IF(COUNTIFS(案件一覧!$N$3:$N$62,F$3,案件一覧!$E$3:$E$62,"&lt;="&amp;$A145,案件一覧!$F$3:$F$62,"&gt;"&amp;$A145,案件一覧!$C$3:$C$62,"&lt;&gt;キャンセル")=0,"",INDEX(案件一覧!$J$3:$J$62,MATCH(1,INDEX((案件一覧!$N$3:$N$62=F$3)*(案件一覧!$E$3:$E$62&lt;=$A145)*(案件一覧!$F$3:$F$62&gt;$A145)*(案件一覧!$C$3:$C$62&lt;&gt;"キャンセル"),0),0))&amp;IF(COUNTIFS(案件一覧!$N$3:$N$62,F$3,案件一覧!$E$3:$E$62,"&lt;="&amp;$A145,案件一覧!$F$3:$F$62,"&gt;"&amp;$A145,案件一覧!$C$3:$C$62,"&lt;&gt;キャンセル")&gt;1," ◆重複!",""))</f>
        <v/>
      </c>
      <c r="G145" s="18" t="str">
        <f aca="false">IF(COUNTIFS(案件一覧!$N$3:$N$62,G$3,案件一覧!$E$3:$E$62,"&lt;="&amp;$A145,案件一覧!$F$3:$F$62,"&gt;"&amp;$A145,案件一覧!$C$3:$C$62,"&lt;&gt;キャンセル")=0,"",INDEX(案件一覧!$J$3:$J$62,MATCH(1,INDEX((案件一覧!$N$3:$N$62=G$3)*(案件一覧!$E$3:$E$62&lt;=$A145)*(案件一覧!$F$3:$F$62&gt;$A145)*(案件一覧!$C$3:$C$62&lt;&gt;"キャンセル"),0),0))&amp;IF(COUNTIFS(案件一覧!$N$3:$N$62,G$3,案件一覧!$E$3:$E$62,"&lt;="&amp;$A145,案件一覧!$F$3:$F$62,"&gt;"&amp;$A145,案件一覧!$C$3:$C$62,"&lt;&gt;キャンセル")&gt;1," ◆重複!",""))</f>
        <v/>
      </c>
      <c r="H145" s="18" t="str">
        <f aca="false">IF(COUNTIFS(案件一覧!$N$3:$N$62,H$3,案件一覧!$E$3:$E$62,"&lt;="&amp;$A145,案件一覧!$F$3:$F$62,"&gt;"&amp;$A145,案件一覧!$C$3:$C$62,"&lt;&gt;キャンセル")=0,"",INDEX(案件一覧!$J$3:$J$62,MATCH(1,INDEX((案件一覧!$N$3:$N$62=H$3)*(案件一覧!$E$3:$E$62&lt;=$A145)*(案件一覧!$F$3:$F$62&gt;$A145)*(案件一覧!$C$3:$C$62&lt;&gt;"キャンセル"),0),0))&amp;IF(COUNTIFS(案件一覧!$N$3:$N$62,H$3,案件一覧!$E$3:$E$62,"&lt;="&amp;$A145,案件一覧!$F$3:$F$62,"&gt;"&amp;$A145,案件一覧!$C$3:$C$62,"&lt;&gt;キャンセル")&gt;1," ◆重複!",""))</f>
        <v/>
      </c>
    </row>
    <row r="146" customFormat="false" ht="15" hidden="false" customHeight="false" outlineLevel="0" collapsed="false">
      <c r="A146" s="16" t="n">
        <v>46346</v>
      </c>
      <c r="B146" s="17" t="s">
        <v>44</v>
      </c>
      <c r="C146" s="18" t="str">
        <f aca="false">IF(COUNTIFS(案件一覧!$N$3:$N$62,C$3,案件一覧!$E$3:$E$62,"&lt;="&amp;$A146,案件一覧!$F$3:$F$62,"&gt;"&amp;$A146,案件一覧!$C$3:$C$62,"&lt;&gt;キャンセル")=0,"",INDEX(案件一覧!$J$3:$J$62,MATCH(1,INDEX((案件一覧!$N$3:$N$62=C$3)*(案件一覧!$E$3:$E$62&lt;=$A146)*(案件一覧!$F$3:$F$62&gt;$A146)*(案件一覧!$C$3:$C$62&lt;&gt;"キャンセル"),0),0))&amp;IF(COUNTIFS(案件一覧!$N$3:$N$62,C$3,案件一覧!$E$3:$E$62,"&lt;="&amp;$A146,案件一覧!$F$3:$F$62,"&gt;"&amp;$A146,案件一覧!$C$3:$C$62,"&lt;&gt;キャンセル")&gt;1," ◆重複!",""))</f>
        <v/>
      </c>
      <c r="D146" s="18" t="str">
        <f aca="false">IF(COUNTIFS(案件一覧!$N$3:$N$62,D$3,案件一覧!$E$3:$E$62,"&lt;="&amp;$A146,案件一覧!$F$3:$F$62,"&gt;"&amp;$A146,案件一覧!$C$3:$C$62,"&lt;&gt;キャンセル")=0,"",INDEX(案件一覧!$J$3:$J$62,MATCH(1,INDEX((案件一覧!$N$3:$N$62=D$3)*(案件一覧!$E$3:$E$62&lt;=$A146)*(案件一覧!$F$3:$F$62&gt;$A146)*(案件一覧!$C$3:$C$62&lt;&gt;"キャンセル"),0),0))&amp;IF(COUNTIFS(案件一覧!$N$3:$N$62,D$3,案件一覧!$E$3:$E$62,"&lt;="&amp;$A146,案件一覧!$F$3:$F$62,"&gt;"&amp;$A146,案件一覧!$C$3:$C$62,"&lt;&gt;キャンセル")&gt;1," ◆重複!",""))</f>
        <v/>
      </c>
      <c r="E146" s="18" t="str">
        <f aca="false">IF(COUNTIFS(案件一覧!$N$3:$N$62,E$3,案件一覧!$E$3:$E$62,"&lt;="&amp;$A146,案件一覧!$F$3:$F$62,"&gt;"&amp;$A146,案件一覧!$C$3:$C$62,"&lt;&gt;キャンセル")=0,"",INDEX(案件一覧!$J$3:$J$62,MATCH(1,INDEX((案件一覧!$N$3:$N$62=E$3)*(案件一覧!$E$3:$E$62&lt;=$A146)*(案件一覧!$F$3:$F$62&gt;$A146)*(案件一覧!$C$3:$C$62&lt;&gt;"キャンセル"),0),0))&amp;IF(COUNTIFS(案件一覧!$N$3:$N$62,E$3,案件一覧!$E$3:$E$62,"&lt;="&amp;$A146,案件一覧!$F$3:$F$62,"&gt;"&amp;$A146,案件一覧!$C$3:$C$62,"&lt;&gt;キャンセル")&gt;1," ◆重複!",""))</f>
        <v/>
      </c>
      <c r="F146" s="18" t="str">
        <f aca="false">IF(COUNTIFS(案件一覧!$N$3:$N$62,F$3,案件一覧!$E$3:$E$62,"&lt;="&amp;$A146,案件一覧!$F$3:$F$62,"&gt;"&amp;$A146,案件一覧!$C$3:$C$62,"&lt;&gt;キャンセル")=0,"",INDEX(案件一覧!$J$3:$J$62,MATCH(1,INDEX((案件一覧!$N$3:$N$62=F$3)*(案件一覧!$E$3:$E$62&lt;=$A146)*(案件一覧!$F$3:$F$62&gt;$A146)*(案件一覧!$C$3:$C$62&lt;&gt;"キャンセル"),0),0))&amp;IF(COUNTIFS(案件一覧!$N$3:$N$62,F$3,案件一覧!$E$3:$E$62,"&lt;="&amp;$A146,案件一覧!$F$3:$F$62,"&gt;"&amp;$A146,案件一覧!$C$3:$C$62,"&lt;&gt;キャンセル")&gt;1," ◆重複!",""))</f>
        <v/>
      </c>
      <c r="G146" s="18" t="str">
        <f aca="false">IF(COUNTIFS(案件一覧!$N$3:$N$62,G$3,案件一覧!$E$3:$E$62,"&lt;="&amp;$A146,案件一覧!$F$3:$F$62,"&gt;"&amp;$A146,案件一覧!$C$3:$C$62,"&lt;&gt;キャンセル")=0,"",INDEX(案件一覧!$J$3:$J$62,MATCH(1,INDEX((案件一覧!$N$3:$N$62=G$3)*(案件一覧!$E$3:$E$62&lt;=$A146)*(案件一覧!$F$3:$F$62&gt;$A146)*(案件一覧!$C$3:$C$62&lt;&gt;"キャンセル"),0),0))&amp;IF(COUNTIFS(案件一覧!$N$3:$N$62,G$3,案件一覧!$E$3:$E$62,"&lt;="&amp;$A146,案件一覧!$F$3:$F$62,"&gt;"&amp;$A146,案件一覧!$C$3:$C$62,"&lt;&gt;キャンセル")&gt;1," ◆重複!",""))</f>
        <v/>
      </c>
      <c r="H146" s="18" t="str">
        <f aca="false">IF(COUNTIFS(案件一覧!$N$3:$N$62,H$3,案件一覧!$E$3:$E$62,"&lt;="&amp;$A146,案件一覧!$F$3:$F$62,"&gt;"&amp;$A146,案件一覧!$C$3:$C$62,"&lt;&gt;キャンセル")=0,"",INDEX(案件一覧!$J$3:$J$62,MATCH(1,INDEX((案件一覧!$N$3:$N$62=H$3)*(案件一覧!$E$3:$E$62&lt;=$A146)*(案件一覧!$F$3:$F$62&gt;$A146)*(案件一覧!$C$3:$C$62&lt;&gt;"キャンセル"),0),0))&amp;IF(COUNTIFS(案件一覧!$N$3:$N$62,H$3,案件一覧!$E$3:$E$62,"&lt;="&amp;$A146,案件一覧!$F$3:$F$62,"&gt;"&amp;$A146,案件一覧!$C$3:$C$62,"&lt;&gt;キャンセル")&gt;1," ◆重複!",""))</f>
        <v/>
      </c>
    </row>
    <row r="147" customFormat="false" ht="15" hidden="false" customHeight="false" outlineLevel="0" collapsed="false">
      <c r="A147" s="19" t="n">
        <v>46347</v>
      </c>
      <c r="B147" s="20" t="s">
        <v>45</v>
      </c>
      <c r="C147" s="21" t="str">
        <f aca="false">IF(COUNTIFS(案件一覧!$N$3:$N$62,C$3,案件一覧!$E$3:$E$62,"&lt;="&amp;$A147,案件一覧!$F$3:$F$62,"&gt;"&amp;$A147,案件一覧!$C$3:$C$62,"&lt;&gt;キャンセル")=0,"",INDEX(案件一覧!$J$3:$J$62,MATCH(1,INDEX((案件一覧!$N$3:$N$62=C$3)*(案件一覧!$E$3:$E$62&lt;=$A147)*(案件一覧!$F$3:$F$62&gt;$A147)*(案件一覧!$C$3:$C$62&lt;&gt;"キャンセル"),0),0))&amp;IF(COUNTIFS(案件一覧!$N$3:$N$62,C$3,案件一覧!$E$3:$E$62,"&lt;="&amp;$A147,案件一覧!$F$3:$F$62,"&gt;"&amp;$A147,案件一覧!$C$3:$C$62,"&lt;&gt;キャンセル")&gt;1," ◆重複!",""))</f>
        <v/>
      </c>
      <c r="D147" s="21" t="str">
        <f aca="false">IF(COUNTIFS(案件一覧!$N$3:$N$62,D$3,案件一覧!$E$3:$E$62,"&lt;="&amp;$A147,案件一覧!$F$3:$F$62,"&gt;"&amp;$A147,案件一覧!$C$3:$C$62,"&lt;&gt;キャンセル")=0,"",INDEX(案件一覧!$J$3:$J$62,MATCH(1,INDEX((案件一覧!$N$3:$N$62=D$3)*(案件一覧!$E$3:$E$62&lt;=$A147)*(案件一覧!$F$3:$F$62&gt;$A147)*(案件一覧!$C$3:$C$62&lt;&gt;"キャンセル"),0),0))&amp;IF(COUNTIFS(案件一覧!$N$3:$N$62,D$3,案件一覧!$E$3:$E$62,"&lt;="&amp;$A147,案件一覧!$F$3:$F$62,"&gt;"&amp;$A147,案件一覧!$C$3:$C$62,"&lt;&gt;キャンセル")&gt;1," ◆重複!",""))</f>
        <v/>
      </c>
      <c r="E147" s="21" t="str">
        <f aca="false">IF(COUNTIFS(案件一覧!$N$3:$N$62,E$3,案件一覧!$E$3:$E$62,"&lt;="&amp;$A147,案件一覧!$F$3:$F$62,"&gt;"&amp;$A147,案件一覧!$C$3:$C$62,"&lt;&gt;キャンセル")=0,"",INDEX(案件一覧!$J$3:$J$62,MATCH(1,INDEX((案件一覧!$N$3:$N$62=E$3)*(案件一覧!$E$3:$E$62&lt;=$A147)*(案件一覧!$F$3:$F$62&gt;$A147)*(案件一覧!$C$3:$C$62&lt;&gt;"キャンセル"),0),0))&amp;IF(COUNTIFS(案件一覧!$N$3:$N$62,E$3,案件一覧!$E$3:$E$62,"&lt;="&amp;$A147,案件一覧!$F$3:$F$62,"&gt;"&amp;$A147,案件一覧!$C$3:$C$62,"&lt;&gt;キャンセル")&gt;1," ◆重複!",""))</f>
        <v/>
      </c>
      <c r="F147" s="21" t="str">
        <f aca="false">IF(COUNTIFS(案件一覧!$N$3:$N$62,F$3,案件一覧!$E$3:$E$62,"&lt;="&amp;$A147,案件一覧!$F$3:$F$62,"&gt;"&amp;$A147,案件一覧!$C$3:$C$62,"&lt;&gt;キャンセル")=0,"",INDEX(案件一覧!$J$3:$J$62,MATCH(1,INDEX((案件一覧!$N$3:$N$62=F$3)*(案件一覧!$E$3:$E$62&lt;=$A147)*(案件一覧!$F$3:$F$62&gt;$A147)*(案件一覧!$C$3:$C$62&lt;&gt;"キャンセル"),0),0))&amp;IF(COUNTIFS(案件一覧!$N$3:$N$62,F$3,案件一覧!$E$3:$E$62,"&lt;="&amp;$A147,案件一覧!$F$3:$F$62,"&gt;"&amp;$A147,案件一覧!$C$3:$C$62,"&lt;&gt;キャンセル")&gt;1," ◆重複!",""))</f>
        <v/>
      </c>
      <c r="G147" s="21" t="str">
        <f aca="false">IF(COUNTIFS(案件一覧!$N$3:$N$62,G$3,案件一覧!$E$3:$E$62,"&lt;="&amp;$A147,案件一覧!$F$3:$F$62,"&gt;"&amp;$A147,案件一覧!$C$3:$C$62,"&lt;&gt;キャンセル")=0,"",INDEX(案件一覧!$J$3:$J$62,MATCH(1,INDEX((案件一覧!$N$3:$N$62=G$3)*(案件一覧!$E$3:$E$62&lt;=$A147)*(案件一覧!$F$3:$F$62&gt;$A147)*(案件一覧!$C$3:$C$62&lt;&gt;"キャンセル"),0),0))&amp;IF(COUNTIFS(案件一覧!$N$3:$N$62,G$3,案件一覧!$E$3:$E$62,"&lt;="&amp;$A147,案件一覧!$F$3:$F$62,"&gt;"&amp;$A147,案件一覧!$C$3:$C$62,"&lt;&gt;キャンセル")&gt;1," ◆重複!",""))</f>
        <v/>
      </c>
      <c r="H147" s="21" t="str">
        <f aca="false">IF(COUNTIFS(案件一覧!$N$3:$N$62,H$3,案件一覧!$E$3:$E$62,"&lt;="&amp;$A147,案件一覧!$F$3:$F$62,"&gt;"&amp;$A147,案件一覧!$C$3:$C$62,"&lt;&gt;キャンセル")=0,"",INDEX(案件一覧!$J$3:$J$62,MATCH(1,INDEX((案件一覧!$N$3:$N$62=H$3)*(案件一覧!$E$3:$E$62&lt;=$A147)*(案件一覧!$F$3:$F$62&gt;$A147)*(案件一覧!$C$3:$C$62&lt;&gt;"キャンセル"),0),0))&amp;IF(COUNTIFS(案件一覧!$N$3:$N$62,H$3,案件一覧!$E$3:$E$62,"&lt;="&amp;$A147,案件一覧!$F$3:$F$62,"&gt;"&amp;$A147,案件一覧!$C$3:$C$62,"&lt;&gt;キャンセル")&gt;1," ◆重複!",""))</f>
        <v/>
      </c>
    </row>
    <row r="148" customFormat="false" ht="15" hidden="false" customHeight="false" outlineLevel="0" collapsed="false">
      <c r="A148" s="22" t="n">
        <v>46348</v>
      </c>
      <c r="B148" s="23" t="s">
        <v>46</v>
      </c>
      <c r="C148" s="24" t="str">
        <f aca="false">IF(COUNTIFS(案件一覧!$N$3:$N$62,C$3,案件一覧!$E$3:$E$62,"&lt;="&amp;$A148,案件一覧!$F$3:$F$62,"&gt;"&amp;$A148,案件一覧!$C$3:$C$62,"&lt;&gt;キャンセル")=0,"",INDEX(案件一覧!$J$3:$J$62,MATCH(1,INDEX((案件一覧!$N$3:$N$62=C$3)*(案件一覧!$E$3:$E$62&lt;=$A148)*(案件一覧!$F$3:$F$62&gt;$A148)*(案件一覧!$C$3:$C$62&lt;&gt;"キャンセル"),0),0))&amp;IF(COUNTIFS(案件一覧!$N$3:$N$62,C$3,案件一覧!$E$3:$E$62,"&lt;="&amp;$A148,案件一覧!$F$3:$F$62,"&gt;"&amp;$A148,案件一覧!$C$3:$C$62,"&lt;&gt;キャンセル")&gt;1," ◆重複!",""))</f>
        <v/>
      </c>
      <c r="D148" s="24" t="str">
        <f aca="false">IF(COUNTIFS(案件一覧!$N$3:$N$62,D$3,案件一覧!$E$3:$E$62,"&lt;="&amp;$A148,案件一覧!$F$3:$F$62,"&gt;"&amp;$A148,案件一覧!$C$3:$C$62,"&lt;&gt;キャンセル")=0,"",INDEX(案件一覧!$J$3:$J$62,MATCH(1,INDEX((案件一覧!$N$3:$N$62=D$3)*(案件一覧!$E$3:$E$62&lt;=$A148)*(案件一覧!$F$3:$F$62&gt;$A148)*(案件一覧!$C$3:$C$62&lt;&gt;"キャンセル"),0),0))&amp;IF(COUNTIFS(案件一覧!$N$3:$N$62,D$3,案件一覧!$E$3:$E$62,"&lt;="&amp;$A148,案件一覧!$F$3:$F$62,"&gt;"&amp;$A148,案件一覧!$C$3:$C$62,"&lt;&gt;キャンセル")&gt;1," ◆重複!",""))</f>
        <v/>
      </c>
      <c r="E148" s="24" t="str">
        <f aca="false">IF(COUNTIFS(案件一覧!$N$3:$N$62,E$3,案件一覧!$E$3:$E$62,"&lt;="&amp;$A148,案件一覧!$F$3:$F$62,"&gt;"&amp;$A148,案件一覧!$C$3:$C$62,"&lt;&gt;キャンセル")=0,"",INDEX(案件一覧!$J$3:$J$62,MATCH(1,INDEX((案件一覧!$N$3:$N$62=E$3)*(案件一覧!$E$3:$E$62&lt;=$A148)*(案件一覧!$F$3:$F$62&gt;$A148)*(案件一覧!$C$3:$C$62&lt;&gt;"キャンセル"),0),0))&amp;IF(COUNTIFS(案件一覧!$N$3:$N$62,E$3,案件一覧!$E$3:$E$62,"&lt;="&amp;$A148,案件一覧!$F$3:$F$62,"&gt;"&amp;$A148,案件一覧!$C$3:$C$62,"&lt;&gt;キャンセル")&gt;1," ◆重複!",""))</f>
        <v/>
      </c>
      <c r="F148" s="24" t="str">
        <f aca="false">IF(COUNTIFS(案件一覧!$N$3:$N$62,F$3,案件一覧!$E$3:$E$62,"&lt;="&amp;$A148,案件一覧!$F$3:$F$62,"&gt;"&amp;$A148,案件一覧!$C$3:$C$62,"&lt;&gt;キャンセル")=0,"",INDEX(案件一覧!$J$3:$J$62,MATCH(1,INDEX((案件一覧!$N$3:$N$62=F$3)*(案件一覧!$E$3:$E$62&lt;=$A148)*(案件一覧!$F$3:$F$62&gt;$A148)*(案件一覧!$C$3:$C$62&lt;&gt;"キャンセル"),0),0))&amp;IF(COUNTIFS(案件一覧!$N$3:$N$62,F$3,案件一覧!$E$3:$E$62,"&lt;="&amp;$A148,案件一覧!$F$3:$F$62,"&gt;"&amp;$A148,案件一覧!$C$3:$C$62,"&lt;&gt;キャンセル")&gt;1," ◆重複!",""))</f>
        <v/>
      </c>
      <c r="G148" s="24" t="str">
        <f aca="false">IF(COUNTIFS(案件一覧!$N$3:$N$62,G$3,案件一覧!$E$3:$E$62,"&lt;="&amp;$A148,案件一覧!$F$3:$F$62,"&gt;"&amp;$A148,案件一覧!$C$3:$C$62,"&lt;&gt;キャンセル")=0,"",INDEX(案件一覧!$J$3:$J$62,MATCH(1,INDEX((案件一覧!$N$3:$N$62=G$3)*(案件一覧!$E$3:$E$62&lt;=$A148)*(案件一覧!$F$3:$F$62&gt;$A148)*(案件一覧!$C$3:$C$62&lt;&gt;"キャンセル"),0),0))&amp;IF(COUNTIFS(案件一覧!$N$3:$N$62,G$3,案件一覧!$E$3:$E$62,"&lt;="&amp;$A148,案件一覧!$F$3:$F$62,"&gt;"&amp;$A148,案件一覧!$C$3:$C$62,"&lt;&gt;キャンセル")&gt;1," ◆重複!",""))</f>
        <v/>
      </c>
      <c r="H148" s="24" t="str">
        <f aca="false">IF(COUNTIFS(案件一覧!$N$3:$N$62,H$3,案件一覧!$E$3:$E$62,"&lt;="&amp;$A148,案件一覧!$F$3:$F$62,"&gt;"&amp;$A148,案件一覧!$C$3:$C$62,"&lt;&gt;キャンセル")=0,"",INDEX(案件一覧!$J$3:$J$62,MATCH(1,INDEX((案件一覧!$N$3:$N$62=H$3)*(案件一覧!$E$3:$E$62&lt;=$A148)*(案件一覧!$F$3:$F$62&gt;$A148)*(案件一覧!$C$3:$C$62&lt;&gt;"キャンセル"),0),0))&amp;IF(COUNTIFS(案件一覧!$N$3:$N$62,H$3,案件一覧!$E$3:$E$62,"&lt;="&amp;$A148,案件一覧!$F$3:$F$62,"&gt;"&amp;$A148,案件一覧!$C$3:$C$62,"&lt;&gt;キャンセル")&gt;1," ◆重複!",""))</f>
        <v/>
      </c>
    </row>
    <row r="149" customFormat="false" ht="15" hidden="false" customHeight="false" outlineLevel="0" collapsed="false">
      <c r="A149" s="16" t="n">
        <v>46349</v>
      </c>
      <c r="B149" s="17" t="s">
        <v>47</v>
      </c>
      <c r="C149" s="18" t="str">
        <f aca="false">IF(COUNTIFS(案件一覧!$N$3:$N$62,C$3,案件一覧!$E$3:$E$62,"&lt;="&amp;$A149,案件一覧!$F$3:$F$62,"&gt;"&amp;$A149,案件一覧!$C$3:$C$62,"&lt;&gt;キャンセル")=0,"",INDEX(案件一覧!$J$3:$J$62,MATCH(1,INDEX((案件一覧!$N$3:$N$62=C$3)*(案件一覧!$E$3:$E$62&lt;=$A149)*(案件一覧!$F$3:$F$62&gt;$A149)*(案件一覧!$C$3:$C$62&lt;&gt;"キャンセル"),0),0))&amp;IF(COUNTIFS(案件一覧!$N$3:$N$62,C$3,案件一覧!$E$3:$E$62,"&lt;="&amp;$A149,案件一覧!$F$3:$F$62,"&gt;"&amp;$A149,案件一覧!$C$3:$C$62,"&lt;&gt;キャンセル")&gt;1," ◆重複!",""))</f>
        <v/>
      </c>
      <c r="D149" s="18" t="str">
        <f aca="false">IF(COUNTIFS(案件一覧!$N$3:$N$62,D$3,案件一覧!$E$3:$E$62,"&lt;="&amp;$A149,案件一覧!$F$3:$F$62,"&gt;"&amp;$A149,案件一覧!$C$3:$C$62,"&lt;&gt;キャンセル")=0,"",INDEX(案件一覧!$J$3:$J$62,MATCH(1,INDEX((案件一覧!$N$3:$N$62=D$3)*(案件一覧!$E$3:$E$62&lt;=$A149)*(案件一覧!$F$3:$F$62&gt;$A149)*(案件一覧!$C$3:$C$62&lt;&gt;"キャンセル"),0),0))&amp;IF(COUNTIFS(案件一覧!$N$3:$N$62,D$3,案件一覧!$E$3:$E$62,"&lt;="&amp;$A149,案件一覧!$F$3:$F$62,"&gt;"&amp;$A149,案件一覧!$C$3:$C$62,"&lt;&gt;キャンセル")&gt;1," ◆重複!",""))</f>
        <v/>
      </c>
      <c r="E149" s="18" t="str">
        <f aca="false">IF(COUNTIFS(案件一覧!$N$3:$N$62,E$3,案件一覧!$E$3:$E$62,"&lt;="&amp;$A149,案件一覧!$F$3:$F$62,"&gt;"&amp;$A149,案件一覧!$C$3:$C$62,"&lt;&gt;キャンセル")=0,"",INDEX(案件一覧!$J$3:$J$62,MATCH(1,INDEX((案件一覧!$N$3:$N$62=E$3)*(案件一覧!$E$3:$E$62&lt;=$A149)*(案件一覧!$F$3:$F$62&gt;$A149)*(案件一覧!$C$3:$C$62&lt;&gt;"キャンセル"),0),0))&amp;IF(COUNTIFS(案件一覧!$N$3:$N$62,E$3,案件一覧!$E$3:$E$62,"&lt;="&amp;$A149,案件一覧!$F$3:$F$62,"&gt;"&amp;$A149,案件一覧!$C$3:$C$62,"&lt;&gt;キャンセル")&gt;1," ◆重複!",""))</f>
        <v/>
      </c>
      <c r="F149" s="18" t="str">
        <f aca="false">IF(COUNTIFS(案件一覧!$N$3:$N$62,F$3,案件一覧!$E$3:$E$62,"&lt;="&amp;$A149,案件一覧!$F$3:$F$62,"&gt;"&amp;$A149,案件一覧!$C$3:$C$62,"&lt;&gt;キャンセル")=0,"",INDEX(案件一覧!$J$3:$J$62,MATCH(1,INDEX((案件一覧!$N$3:$N$62=F$3)*(案件一覧!$E$3:$E$62&lt;=$A149)*(案件一覧!$F$3:$F$62&gt;$A149)*(案件一覧!$C$3:$C$62&lt;&gt;"キャンセル"),0),0))&amp;IF(COUNTIFS(案件一覧!$N$3:$N$62,F$3,案件一覧!$E$3:$E$62,"&lt;="&amp;$A149,案件一覧!$F$3:$F$62,"&gt;"&amp;$A149,案件一覧!$C$3:$C$62,"&lt;&gt;キャンセル")&gt;1," ◆重複!",""))</f>
        <v/>
      </c>
      <c r="G149" s="18" t="str">
        <f aca="false">IF(COUNTIFS(案件一覧!$N$3:$N$62,G$3,案件一覧!$E$3:$E$62,"&lt;="&amp;$A149,案件一覧!$F$3:$F$62,"&gt;"&amp;$A149,案件一覧!$C$3:$C$62,"&lt;&gt;キャンセル")=0,"",INDEX(案件一覧!$J$3:$J$62,MATCH(1,INDEX((案件一覧!$N$3:$N$62=G$3)*(案件一覧!$E$3:$E$62&lt;=$A149)*(案件一覧!$F$3:$F$62&gt;$A149)*(案件一覧!$C$3:$C$62&lt;&gt;"キャンセル"),0),0))&amp;IF(COUNTIFS(案件一覧!$N$3:$N$62,G$3,案件一覧!$E$3:$E$62,"&lt;="&amp;$A149,案件一覧!$F$3:$F$62,"&gt;"&amp;$A149,案件一覧!$C$3:$C$62,"&lt;&gt;キャンセル")&gt;1," ◆重複!",""))</f>
        <v/>
      </c>
      <c r="H149" s="18" t="str">
        <f aca="false">IF(COUNTIFS(案件一覧!$N$3:$N$62,H$3,案件一覧!$E$3:$E$62,"&lt;="&amp;$A149,案件一覧!$F$3:$F$62,"&gt;"&amp;$A149,案件一覧!$C$3:$C$62,"&lt;&gt;キャンセル")=0,"",INDEX(案件一覧!$J$3:$J$62,MATCH(1,INDEX((案件一覧!$N$3:$N$62=H$3)*(案件一覧!$E$3:$E$62&lt;=$A149)*(案件一覧!$F$3:$F$62&gt;$A149)*(案件一覧!$C$3:$C$62&lt;&gt;"キャンセル"),0),0))&amp;IF(COUNTIFS(案件一覧!$N$3:$N$62,H$3,案件一覧!$E$3:$E$62,"&lt;="&amp;$A149,案件一覧!$F$3:$F$62,"&gt;"&amp;$A149,案件一覧!$C$3:$C$62,"&lt;&gt;キャンセル")&gt;1," ◆重複!",""))</f>
        <v/>
      </c>
    </row>
    <row r="150" customFormat="false" ht="15" hidden="false" customHeight="false" outlineLevel="0" collapsed="false">
      <c r="A150" s="16" t="n">
        <v>46350</v>
      </c>
      <c r="B150" s="17" t="s">
        <v>48</v>
      </c>
      <c r="C150" s="18" t="str">
        <f aca="false">IF(COUNTIFS(案件一覧!$N$3:$N$62,C$3,案件一覧!$E$3:$E$62,"&lt;="&amp;$A150,案件一覧!$F$3:$F$62,"&gt;"&amp;$A150,案件一覧!$C$3:$C$62,"&lt;&gt;キャンセル")=0,"",INDEX(案件一覧!$J$3:$J$62,MATCH(1,INDEX((案件一覧!$N$3:$N$62=C$3)*(案件一覧!$E$3:$E$62&lt;=$A150)*(案件一覧!$F$3:$F$62&gt;$A150)*(案件一覧!$C$3:$C$62&lt;&gt;"キャンセル"),0),0))&amp;IF(COUNTIFS(案件一覧!$N$3:$N$62,C$3,案件一覧!$E$3:$E$62,"&lt;="&amp;$A150,案件一覧!$F$3:$F$62,"&gt;"&amp;$A150,案件一覧!$C$3:$C$62,"&lt;&gt;キャンセル")&gt;1," ◆重複!",""))</f>
        <v/>
      </c>
      <c r="D150" s="18" t="str">
        <f aca="false">IF(COUNTIFS(案件一覧!$N$3:$N$62,D$3,案件一覧!$E$3:$E$62,"&lt;="&amp;$A150,案件一覧!$F$3:$F$62,"&gt;"&amp;$A150,案件一覧!$C$3:$C$62,"&lt;&gt;キャンセル")=0,"",INDEX(案件一覧!$J$3:$J$62,MATCH(1,INDEX((案件一覧!$N$3:$N$62=D$3)*(案件一覧!$E$3:$E$62&lt;=$A150)*(案件一覧!$F$3:$F$62&gt;$A150)*(案件一覧!$C$3:$C$62&lt;&gt;"キャンセル"),0),0))&amp;IF(COUNTIFS(案件一覧!$N$3:$N$62,D$3,案件一覧!$E$3:$E$62,"&lt;="&amp;$A150,案件一覧!$F$3:$F$62,"&gt;"&amp;$A150,案件一覧!$C$3:$C$62,"&lt;&gt;キャンセル")&gt;1," ◆重複!",""))</f>
        <v/>
      </c>
      <c r="E150" s="18" t="str">
        <f aca="false">IF(COUNTIFS(案件一覧!$N$3:$N$62,E$3,案件一覧!$E$3:$E$62,"&lt;="&amp;$A150,案件一覧!$F$3:$F$62,"&gt;"&amp;$A150,案件一覧!$C$3:$C$62,"&lt;&gt;キャンセル")=0,"",INDEX(案件一覧!$J$3:$J$62,MATCH(1,INDEX((案件一覧!$N$3:$N$62=E$3)*(案件一覧!$E$3:$E$62&lt;=$A150)*(案件一覧!$F$3:$F$62&gt;$A150)*(案件一覧!$C$3:$C$62&lt;&gt;"キャンセル"),0),0))&amp;IF(COUNTIFS(案件一覧!$N$3:$N$62,E$3,案件一覧!$E$3:$E$62,"&lt;="&amp;$A150,案件一覧!$F$3:$F$62,"&gt;"&amp;$A150,案件一覧!$C$3:$C$62,"&lt;&gt;キャンセル")&gt;1," ◆重複!",""))</f>
        <v/>
      </c>
      <c r="F150" s="18" t="str">
        <f aca="false">IF(COUNTIFS(案件一覧!$N$3:$N$62,F$3,案件一覧!$E$3:$E$62,"&lt;="&amp;$A150,案件一覧!$F$3:$F$62,"&gt;"&amp;$A150,案件一覧!$C$3:$C$62,"&lt;&gt;キャンセル")=0,"",INDEX(案件一覧!$J$3:$J$62,MATCH(1,INDEX((案件一覧!$N$3:$N$62=F$3)*(案件一覧!$E$3:$E$62&lt;=$A150)*(案件一覧!$F$3:$F$62&gt;$A150)*(案件一覧!$C$3:$C$62&lt;&gt;"キャンセル"),0),0))&amp;IF(COUNTIFS(案件一覧!$N$3:$N$62,F$3,案件一覧!$E$3:$E$62,"&lt;="&amp;$A150,案件一覧!$F$3:$F$62,"&gt;"&amp;$A150,案件一覧!$C$3:$C$62,"&lt;&gt;キャンセル")&gt;1," ◆重複!",""))</f>
        <v/>
      </c>
      <c r="G150" s="18" t="str">
        <f aca="false">IF(COUNTIFS(案件一覧!$N$3:$N$62,G$3,案件一覧!$E$3:$E$62,"&lt;="&amp;$A150,案件一覧!$F$3:$F$62,"&gt;"&amp;$A150,案件一覧!$C$3:$C$62,"&lt;&gt;キャンセル")=0,"",INDEX(案件一覧!$J$3:$J$62,MATCH(1,INDEX((案件一覧!$N$3:$N$62=G$3)*(案件一覧!$E$3:$E$62&lt;=$A150)*(案件一覧!$F$3:$F$62&gt;$A150)*(案件一覧!$C$3:$C$62&lt;&gt;"キャンセル"),0),0))&amp;IF(COUNTIFS(案件一覧!$N$3:$N$62,G$3,案件一覧!$E$3:$E$62,"&lt;="&amp;$A150,案件一覧!$F$3:$F$62,"&gt;"&amp;$A150,案件一覧!$C$3:$C$62,"&lt;&gt;キャンセル")&gt;1," ◆重複!",""))</f>
        <v/>
      </c>
      <c r="H150" s="18" t="str">
        <f aca="false">IF(COUNTIFS(案件一覧!$N$3:$N$62,H$3,案件一覧!$E$3:$E$62,"&lt;="&amp;$A150,案件一覧!$F$3:$F$62,"&gt;"&amp;$A150,案件一覧!$C$3:$C$62,"&lt;&gt;キャンセル")=0,"",INDEX(案件一覧!$J$3:$J$62,MATCH(1,INDEX((案件一覧!$N$3:$N$62=H$3)*(案件一覧!$E$3:$E$62&lt;=$A150)*(案件一覧!$F$3:$F$62&gt;$A150)*(案件一覧!$C$3:$C$62&lt;&gt;"キャンセル"),0),0))&amp;IF(COUNTIFS(案件一覧!$N$3:$N$62,H$3,案件一覧!$E$3:$E$62,"&lt;="&amp;$A150,案件一覧!$F$3:$F$62,"&gt;"&amp;$A150,案件一覧!$C$3:$C$62,"&lt;&gt;キャンセル")&gt;1," ◆重複!",""))</f>
        <v/>
      </c>
    </row>
    <row r="151" customFormat="false" ht="15" hidden="false" customHeight="false" outlineLevel="0" collapsed="false">
      <c r="A151" s="16" t="n">
        <v>46351</v>
      </c>
      <c r="B151" s="17" t="s">
        <v>42</v>
      </c>
      <c r="C151" s="18" t="str">
        <f aca="false">IF(COUNTIFS(案件一覧!$N$3:$N$62,C$3,案件一覧!$E$3:$E$62,"&lt;="&amp;$A151,案件一覧!$F$3:$F$62,"&gt;"&amp;$A151,案件一覧!$C$3:$C$62,"&lt;&gt;キャンセル")=0,"",INDEX(案件一覧!$J$3:$J$62,MATCH(1,INDEX((案件一覧!$N$3:$N$62=C$3)*(案件一覧!$E$3:$E$62&lt;=$A151)*(案件一覧!$F$3:$F$62&gt;$A151)*(案件一覧!$C$3:$C$62&lt;&gt;"キャンセル"),0),0))&amp;IF(COUNTIFS(案件一覧!$N$3:$N$62,C$3,案件一覧!$E$3:$E$62,"&lt;="&amp;$A151,案件一覧!$F$3:$F$62,"&gt;"&amp;$A151,案件一覧!$C$3:$C$62,"&lt;&gt;キャンセル")&gt;1," ◆重複!",""))</f>
        <v/>
      </c>
      <c r="D151" s="18" t="str">
        <f aca="false">IF(COUNTIFS(案件一覧!$N$3:$N$62,D$3,案件一覧!$E$3:$E$62,"&lt;="&amp;$A151,案件一覧!$F$3:$F$62,"&gt;"&amp;$A151,案件一覧!$C$3:$C$62,"&lt;&gt;キャンセル")=0,"",INDEX(案件一覧!$J$3:$J$62,MATCH(1,INDEX((案件一覧!$N$3:$N$62=D$3)*(案件一覧!$E$3:$E$62&lt;=$A151)*(案件一覧!$F$3:$F$62&gt;$A151)*(案件一覧!$C$3:$C$62&lt;&gt;"キャンセル"),0),0))&amp;IF(COUNTIFS(案件一覧!$N$3:$N$62,D$3,案件一覧!$E$3:$E$62,"&lt;="&amp;$A151,案件一覧!$F$3:$F$62,"&gt;"&amp;$A151,案件一覧!$C$3:$C$62,"&lt;&gt;キャンセル")&gt;1," ◆重複!",""))</f>
        <v/>
      </c>
      <c r="E151" s="18" t="str">
        <f aca="false">IF(COUNTIFS(案件一覧!$N$3:$N$62,E$3,案件一覧!$E$3:$E$62,"&lt;="&amp;$A151,案件一覧!$F$3:$F$62,"&gt;"&amp;$A151,案件一覧!$C$3:$C$62,"&lt;&gt;キャンセル")=0,"",INDEX(案件一覧!$J$3:$J$62,MATCH(1,INDEX((案件一覧!$N$3:$N$62=E$3)*(案件一覧!$E$3:$E$62&lt;=$A151)*(案件一覧!$F$3:$F$62&gt;$A151)*(案件一覧!$C$3:$C$62&lt;&gt;"キャンセル"),0),0))&amp;IF(COUNTIFS(案件一覧!$N$3:$N$62,E$3,案件一覧!$E$3:$E$62,"&lt;="&amp;$A151,案件一覧!$F$3:$F$62,"&gt;"&amp;$A151,案件一覧!$C$3:$C$62,"&lt;&gt;キャンセル")&gt;1," ◆重複!",""))</f>
        <v/>
      </c>
      <c r="F151" s="18" t="str">
        <f aca="false">IF(COUNTIFS(案件一覧!$N$3:$N$62,F$3,案件一覧!$E$3:$E$62,"&lt;="&amp;$A151,案件一覧!$F$3:$F$62,"&gt;"&amp;$A151,案件一覧!$C$3:$C$62,"&lt;&gt;キャンセル")=0,"",INDEX(案件一覧!$J$3:$J$62,MATCH(1,INDEX((案件一覧!$N$3:$N$62=F$3)*(案件一覧!$E$3:$E$62&lt;=$A151)*(案件一覧!$F$3:$F$62&gt;$A151)*(案件一覧!$C$3:$C$62&lt;&gt;"キャンセル"),0),0))&amp;IF(COUNTIFS(案件一覧!$N$3:$N$62,F$3,案件一覧!$E$3:$E$62,"&lt;="&amp;$A151,案件一覧!$F$3:$F$62,"&gt;"&amp;$A151,案件一覧!$C$3:$C$62,"&lt;&gt;キャンセル")&gt;1," ◆重複!",""))</f>
        <v/>
      </c>
      <c r="G151" s="18" t="str">
        <f aca="false">IF(COUNTIFS(案件一覧!$N$3:$N$62,G$3,案件一覧!$E$3:$E$62,"&lt;="&amp;$A151,案件一覧!$F$3:$F$62,"&gt;"&amp;$A151,案件一覧!$C$3:$C$62,"&lt;&gt;キャンセル")=0,"",INDEX(案件一覧!$J$3:$J$62,MATCH(1,INDEX((案件一覧!$N$3:$N$62=G$3)*(案件一覧!$E$3:$E$62&lt;=$A151)*(案件一覧!$F$3:$F$62&gt;$A151)*(案件一覧!$C$3:$C$62&lt;&gt;"キャンセル"),0),0))&amp;IF(COUNTIFS(案件一覧!$N$3:$N$62,G$3,案件一覧!$E$3:$E$62,"&lt;="&amp;$A151,案件一覧!$F$3:$F$62,"&gt;"&amp;$A151,案件一覧!$C$3:$C$62,"&lt;&gt;キャンセル")&gt;1," ◆重複!",""))</f>
        <v/>
      </c>
      <c r="H151" s="18" t="str">
        <f aca="false">IF(COUNTIFS(案件一覧!$N$3:$N$62,H$3,案件一覧!$E$3:$E$62,"&lt;="&amp;$A151,案件一覧!$F$3:$F$62,"&gt;"&amp;$A151,案件一覧!$C$3:$C$62,"&lt;&gt;キャンセル")=0,"",INDEX(案件一覧!$J$3:$J$62,MATCH(1,INDEX((案件一覧!$N$3:$N$62=H$3)*(案件一覧!$E$3:$E$62&lt;=$A151)*(案件一覧!$F$3:$F$62&gt;$A151)*(案件一覧!$C$3:$C$62&lt;&gt;"キャンセル"),0),0))&amp;IF(COUNTIFS(案件一覧!$N$3:$N$62,H$3,案件一覧!$E$3:$E$62,"&lt;="&amp;$A151,案件一覧!$F$3:$F$62,"&gt;"&amp;$A151,案件一覧!$C$3:$C$62,"&lt;&gt;キャンセル")&gt;1," ◆重複!",""))</f>
        <v/>
      </c>
    </row>
    <row r="152" customFormat="false" ht="15" hidden="false" customHeight="false" outlineLevel="0" collapsed="false">
      <c r="A152" s="16" t="n">
        <v>46352</v>
      </c>
      <c r="B152" s="17" t="s">
        <v>43</v>
      </c>
      <c r="C152" s="18" t="str">
        <f aca="false">IF(COUNTIFS(案件一覧!$N$3:$N$62,C$3,案件一覧!$E$3:$E$62,"&lt;="&amp;$A152,案件一覧!$F$3:$F$62,"&gt;"&amp;$A152,案件一覧!$C$3:$C$62,"&lt;&gt;キャンセル")=0,"",INDEX(案件一覧!$J$3:$J$62,MATCH(1,INDEX((案件一覧!$N$3:$N$62=C$3)*(案件一覧!$E$3:$E$62&lt;=$A152)*(案件一覧!$F$3:$F$62&gt;$A152)*(案件一覧!$C$3:$C$62&lt;&gt;"キャンセル"),0),0))&amp;IF(COUNTIFS(案件一覧!$N$3:$N$62,C$3,案件一覧!$E$3:$E$62,"&lt;="&amp;$A152,案件一覧!$F$3:$F$62,"&gt;"&amp;$A152,案件一覧!$C$3:$C$62,"&lt;&gt;キャンセル")&gt;1," ◆重複!",""))</f>
        <v/>
      </c>
      <c r="D152" s="18" t="str">
        <f aca="false">IF(COUNTIFS(案件一覧!$N$3:$N$62,D$3,案件一覧!$E$3:$E$62,"&lt;="&amp;$A152,案件一覧!$F$3:$F$62,"&gt;"&amp;$A152,案件一覧!$C$3:$C$62,"&lt;&gt;キャンセル")=0,"",INDEX(案件一覧!$J$3:$J$62,MATCH(1,INDEX((案件一覧!$N$3:$N$62=D$3)*(案件一覧!$E$3:$E$62&lt;=$A152)*(案件一覧!$F$3:$F$62&gt;$A152)*(案件一覧!$C$3:$C$62&lt;&gt;"キャンセル"),0),0))&amp;IF(COUNTIFS(案件一覧!$N$3:$N$62,D$3,案件一覧!$E$3:$E$62,"&lt;="&amp;$A152,案件一覧!$F$3:$F$62,"&gt;"&amp;$A152,案件一覧!$C$3:$C$62,"&lt;&gt;キャンセル")&gt;1," ◆重複!",""))</f>
        <v/>
      </c>
      <c r="E152" s="18" t="str">
        <f aca="false">IF(COUNTIFS(案件一覧!$N$3:$N$62,E$3,案件一覧!$E$3:$E$62,"&lt;="&amp;$A152,案件一覧!$F$3:$F$62,"&gt;"&amp;$A152,案件一覧!$C$3:$C$62,"&lt;&gt;キャンセル")=0,"",INDEX(案件一覧!$J$3:$J$62,MATCH(1,INDEX((案件一覧!$N$3:$N$62=E$3)*(案件一覧!$E$3:$E$62&lt;=$A152)*(案件一覧!$F$3:$F$62&gt;$A152)*(案件一覧!$C$3:$C$62&lt;&gt;"キャンセル"),0),0))&amp;IF(COUNTIFS(案件一覧!$N$3:$N$62,E$3,案件一覧!$E$3:$E$62,"&lt;="&amp;$A152,案件一覧!$F$3:$F$62,"&gt;"&amp;$A152,案件一覧!$C$3:$C$62,"&lt;&gt;キャンセル")&gt;1," ◆重複!",""))</f>
        <v/>
      </c>
      <c r="F152" s="18" t="str">
        <f aca="false">IF(COUNTIFS(案件一覧!$N$3:$N$62,F$3,案件一覧!$E$3:$E$62,"&lt;="&amp;$A152,案件一覧!$F$3:$F$62,"&gt;"&amp;$A152,案件一覧!$C$3:$C$62,"&lt;&gt;キャンセル")=0,"",INDEX(案件一覧!$J$3:$J$62,MATCH(1,INDEX((案件一覧!$N$3:$N$62=F$3)*(案件一覧!$E$3:$E$62&lt;=$A152)*(案件一覧!$F$3:$F$62&gt;$A152)*(案件一覧!$C$3:$C$62&lt;&gt;"キャンセル"),0),0))&amp;IF(COUNTIFS(案件一覧!$N$3:$N$62,F$3,案件一覧!$E$3:$E$62,"&lt;="&amp;$A152,案件一覧!$F$3:$F$62,"&gt;"&amp;$A152,案件一覧!$C$3:$C$62,"&lt;&gt;キャンセル")&gt;1," ◆重複!",""))</f>
        <v/>
      </c>
      <c r="G152" s="18" t="str">
        <f aca="false">IF(COUNTIFS(案件一覧!$N$3:$N$62,G$3,案件一覧!$E$3:$E$62,"&lt;="&amp;$A152,案件一覧!$F$3:$F$62,"&gt;"&amp;$A152,案件一覧!$C$3:$C$62,"&lt;&gt;キャンセル")=0,"",INDEX(案件一覧!$J$3:$J$62,MATCH(1,INDEX((案件一覧!$N$3:$N$62=G$3)*(案件一覧!$E$3:$E$62&lt;=$A152)*(案件一覧!$F$3:$F$62&gt;$A152)*(案件一覧!$C$3:$C$62&lt;&gt;"キャンセル"),0),0))&amp;IF(COUNTIFS(案件一覧!$N$3:$N$62,G$3,案件一覧!$E$3:$E$62,"&lt;="&amp;$A152,案件一覧!$F$3:$F$62,"&gt;"&amp;$A152,案件一覧!$C$3:$C$62,"&lt;&gt;キャンセル")&gt;1," ◆重複!",""))</f>
        <v/>
      </c>
      <c r="H152" s="18" t="str">
        <f aca="false">IF(COUNTIFS(案件一覧!$N$3:$N$62,H$3,案件一覧!$E$3:$E$62,"&lt;="&amp;$A152,案件一覧!$F$3:$F$62,"&gt;"&amp;$A152,案件一覧!$C$3:$C$62,"&lt;&gt;キャンセル")=0,"",INDEX(案件一覧!$J$3:$J$62,MATCH(1,INDEX((案件一覧!$N$3:$N$62=H$3)*(案件一覧!$E$3:$E$62&lt;=$A152)*(案件一覧!$F$3:$F$62&gt;$A152)*(案件一覧!$C$3:$C$62&lt;&gt;"キャンセル"),0),0))&amp;IF(COUNTIFS(案件一覧!$N$3:$N$62,H$3,案件一覧!$E$3:$E$62,"&lt;="&amp;$A152,案件一覧!$F$3:$F$62,"&gt;"&amp;$A152,案件一覧!$C$3:$C$62,"&lt;&gt;キャンセル")&gt;1," ◆重複!",""))</f>
        <v/>
      </c>
    </row>
    <row r="153" customFormat="false" ht="15" hidden="false" customHeight="false" outlineLevel="0" collapsed="false">
      <c r="A153" s="16" t="n">
        <v>46353</v>
      </c>
      <c r="B153" s="17" t="s">
        <v>44</v>
      </c>
      <c r="C153" s="18" t="str">
        <f aca="false">IF(COUNTIFS(案件一覧!$N$3:$N$62,C$3,案件一覧!$E$3:$E$62,"&lt;="&amp;$A153,案件一覧!$F$3:$F$62,"&gt;"&amp;$A153,案件一覧!$C$3:$C$62,"&lt;&gt;キャンセル")=0,"",INDEX(案件一覧!$J$3:$J$62,MATCH(1,INDEX((案件一覧!$N$3:$N$62=C$3)*(案件一覧!$E$3:$E$62&lt;=$A153)*(案件一覧!$F$3:$F$62&gt;$A153)*(案件一覧!$C$3:$C$62&lt;&gt;"キャンセル"),0),0))&amp;IF(COUNTIFS(案件一覧!$N$3:$N$62,C$3,案件一覧!$E$3:$E$62,"&lt;="&amp;$A153,案件一覧!$F$3:$F$62,"&gt;"&amp;$A153,案件一覧!$C$3:$C$62,"&lt;&gt;キャンセル")&gt;1," ◆重複!",""))</f>
        <v/>
      </c>
      <c r="D153" s="18" t="str">
        <f aca="false">IF(COUNTIFS(案件一覧!$N$3:$N$62,D$3,案件一覧!$E$3:$E$62,"&lt;="&amp;$A153,案件一覧!$F$3:$F$62,"&gt;"&amp;$A153,案件一覧!$C$3:$C$62,"&lt;&gt;キャンセル")=0,"",INDEX(案件一覧!$J$3:$J$62,MATCH(1,INDEX((案件一覧!$N$3:$N$62=D$3)*(案件一覧!$E$3:$E$62&lt;=$A153)*(案件一覧!$F$3:$F$62&gt;$A153)*(案件一覧!$C$3:$C$62&lt;&gt;"キャンセル"),0),0))&amp;IF(COUNTIFS(案件一覧!$N$3:$N$62,D$3,案件一覧!$E$3:$E$62,"&lt;="&amp;$A153,案件一覧!$F$3:$F$62,"&gt;"&amp;$A153,案件一覧!$C$3:$C$62,"&lt;&gt;キャンセル")&gt;1," ◆重複!",""))</f>
        <v/>
      </c>
      <c r="E153" s="18" t="str">
        <f aca="false">IF(COUNTIFS(案件一覧!$N$3:$N$62,E$3,案件一覧!$E$3:$E$62,"&lt;="&amp;$A153,案件一覧!$F$3:$F$62,"&gt;"&amp;$A153,案件一覧!$C$3:$C$62,"&lt;&gt;キャンセル")=0,"",INDEX(案件一覧!$J$3:$J$62,MATCH(1,INDEX((案件一覧!$N$3:$N$62=E$3)*(案件一覧!$E$3:$E$62&lt;=$A153)*(案件一覧!$F$3:$F$62&gt;$A153)*(案件一覧!$C$3:$C$62&lt;&gt;"キャンセル"),0),0))&amp;IF(COUNTIFS(案件一覧!$N$3:$N$62,E$3,案件一覧!$E$3:$E$62,"&lt;="&amp;$A153,案件一覧!$F$3:$F$62,"&gt;"&amp;$A153,案件一覧!$C$3:$C$62,"&lt;&gt;キャンセル")&gt;1," ◆重複!",""))</f>
        <v/>
      </c>
      <c r="F153" s="18" t="str">
        <f aca="false">IF(COUNTIFS(案件一覧!$N$3:$N$62,F$3,案件一覧!$E$3:$E$62,"&lt;="&amp;$A153,案件一覧!$F$3:$F$62,"&gt;"&amp;$A153,案件一覧!$C$3:$C$62,"&lt;&gt;キャンセル")=0,"",INDEX(案件一覧!$J$3:$J$62,MATCH(1,INDEX((案件一覧!$N$3:$N$62=F$3)*(案件一覧!$E$3:$E$62&lt;=$A153)*(案件一覧!$F$3:$F$62&gt;$A153)*(案件一覧!$C$3:$C$62&lt;&gt;"キャンセル"),0),0))&amp;IF(COUNTIFS(案件一覧!$N$3:$N$62,F$3,案件一覧!$E$3:$E$62,"&lt;="&amp;$A153,案件一覧!$F$3:$F$62,"&gt;"&amp;$A153,案件一覧!$C$3:$C$62,"&lt;&gt;キャンセル")&gt;1," ◆重複!",""))</f>
        <v/>
      </c>
      <c r="G153" s="18" t="str">
        <f aca="false">IF(COUNTIFS(案件一覧!$N$3:$N$62,G$3,案件一覧!$E$3:$E$62,"&lt;="&amp;$A153,案件一覧!$F$3:$F$62,"&gt;"&amp;$A153,案件一覧!$C$3:$C$62,"&lt;&gt;キャンセル")=0,"",INDEX(案件一覧!$J$3:$J$62,MATCH(1,INDEX((案件一覧!$N$3:$N$62=G$3)*(案件一覧!$E$3:$E$62&lt;=$A153)*(案件一覧!$F$3:$F$62&gt;$A153)*(案件一覧!$C$3:$C$62&lt;&gt;"キャンセル"),0),0))&amp;IF(COUNTIFS(案件一覧!$N$3:$N$62,G$3,案件一覧!$E$3:$E$62,"&lt;="&amp;$A153,案件一覧!$F$3:$F$62,"&gt;"&amp;$A153,案件一覧!$C$3:$C$62,"&lt;&gt;キャンセル")&gt;1," ◆重複!",""))</f>
        <v/>
      </c>
      <c r="H153" s="18" t="str">
        <f aca="false">IF(COUNTIFS(案件一覧!$N$3:$N$62,H$3,案件一覧!$E$3:$E$62,"&lt;="&amp;$A153,案件一覧!$F$3:$F$62,"&gt;"&amp;$A153,案件一覧!$C$3:$C$62,"&lt;&gt;キャンセル")=0,"",INDEX(案件一覧!$J$3:$J$62,MATCH(1,INDEX((案件一覧!$N$3:$N$62=H$3)*(案件一覧!$E$3:$E$62&lt;=$A153)*(案件一覧!$F$3:$F$62&gt;$A153)*(案件一覧!$C$3:$C$62&lt;&gt;"キャンセル"),0),0))&amp;IF(COUNTIFS(案件一覧!$N$3:$N$62,H$3,案件一覧!$E$3:$E$62,"&lt;="&amp;$A153,案件一覧!$F$3:$F$62,"&gt;"&amp;$A153,案件一覧!$C$3:$C$62,"&lt;&gt;キャンセル")&gt;1," ◆重複!",""))</f>
        <v/>
      </c>
    </row>
    <row r="154" customFormat="false" ht="15" hidden="false" customHeight="false" outlineLevel="0" collapsed="false">
      <c r="A154" s="19" t="n">
        <v>46354</v>
      </c>
      <c r="B154" s="20" t="s">
        <v>45</v>
      </c>
      <c r="C154" s="21" t="str">
        <f aca="false">IF(COUNTIFS(案件一覧!$N$3:$N$62,C$3,案件一覧!$E$3:$E$62,"&lt;="&amp;$A154,案件一覧!$F$3:$F$62,"&gt;"&amp;$A154,案件一覧!$C$3:$C$62,"&lt;&gt;キャンセル")=0,"",INDEX(案件一覧!$J$3:$J$62,MATCH(1,INDEX((案件一覧!$N$3:$N$62=C$3)*(案件一覧!$E$3:$E$62&lt;=$A154)*(案件一覧!$F$3:$F$62&gt;$A154)*(案件一覧!$C$3:$C$62&lt;&gt;"キャンセル"),0),0))&amp;IF(COUNTIFS(案件一覧!$N$3:$N$62,C$3,案件一覧!$E$3:$E$62,"&lt;="&amp;$A154,案件一覧!$F$3:$F$62,"&gt;"&amp;$A154,案件一覧!$C$3:$C$62,"&lt;&gt;キャンセル")&gt;1," ◆重複!",""))</f>
        <v/>
      </c>
      <c r="D154" s="21" t="str">
        <f aca="false">IF(COUNTIFS(案件一覧!$N$3:$N$62,D$3,案件一覧!$E$3:$E$62,"&lt;="&amp;$A154,案件一覧!$F$3:$F$62,"&gt;"&amp;$A154,案件一覧!$C$3:$C$62,"&lt;&gt;キャンセル")=0,"",INDEX(案件一覧!$J$3:$J$62,MATCH(1,INDEX((案件一覧!$N$3:$N$62=D$3)*(案件一覧!$E$3:$E$62&lt;=$A154)*(案件一覧!$F$3:$F$62&gt;$A154)*(案件一覧!$C$3:$C$62&lt;&gt;"キャンセル"),0),0))&amp;IF(COUNTIFS(案件一覧!$N$3:$N$62,D$3,案件一覧!$E$3:$E$62,"&lt;="&amp;$A154,案件一覧!$F$3:$F$62,"&gt;"&amp;$A154,案件一覧!$C$3:$C$62,"&lt;&gt;キャンセル")&gt;1," ◆重複!",""))</f>
        <v/>
      </c>
      <c r="E154" s="21" t="str">
        <f aca="false">IF(COUNTIFS(案件一覧!$N$3:$N$62,E$3,案件一覧!$E$3:$E$62,"&lt;="&amp;$A154,案件一覧!$F$3:$F$62,"&gt;"&amp;$A154,案件一覧!$C$3:$C$62,"&lt;&gt;キャンセル")=0,"",INDEX(案件一覧!$J$3:$J$62,MATCH(1,INDEX((案件一覧!$N$3:$N$62=E$3)*(案件一覧!$E$3:$E$62&lt;=$A154)*(案件一覧!$F$3:$F$62&gt;$A154)*(案件一覧!$C$3:$C$62&lt;&gt;"キャンセル"),0),0))&amp;IF(COUNTIFS(案件一覧!$N$3:$N$62,E$3,案件一覧!$E$3:$E$62,"&lt;="&amp;$A154,案件一覧!$F$3:$F$62,"&gt;"&amp;$A154,案件一覧!$C$3:$C$62,"&lt;&gt;キャンセル")&gt;1," ◆重複!",""))</f>
        <v/>
      </c>
      <c r="F154" s="21" t="str">
        <f aca="false">IF(COUNTIFS(案件一覧!$N$3:$N$62,F$3,案件一覧!$E$3:$E$62,"&lt;="&amp;$A154,案件一覧!$F$3:$F$62,"&gt;"&amp;$A154,案件一覧!$C$3:$C$62,"&lt;&gt;キャンセル")=0,"",INDEX(案件一覧!$J$3:$J$62,MATCH(1,INDEX((案件一覧!$N$3:$N$62=F$3)*(案件一覧!$E$3:$E$62&lt;=$A154)*(案件一覧!$F$3:$F$62&gt;$A154)*(案件一覧!$C$3:$C$62&lt;&gt;"キャンセル"),0),0))&amp;IF(COUNTIFS(案件一覧!$N$3:$N$62,F$3,案件一覧!$E$3:$E$62,"&lt;="&amp;$A154,案件一覧!$F$3:$F$62,"&gt;"&amp;$A154,案件一覧!$C$3:$C$62,"&lt;&gt;キャンセル")&gt;1," ◆重複!",""))</f>
        <v/>
      </c>
      <c r="G154" s="21" t="str">
        <f aca="false">IF(COUNTIFS(案件一覧!$N$3:$N$62,G$3,案件一覧!$E$3:$E$62,"&lt;="&amp;$A154,案件一覧!$F$3:$F$62,"&gt;"&amp;$A154,案件一覧!$C$3:$C$62,"&lt;&gt;キャンセル")=0,"",INDEX(案件一覧!$J$3:$J$62,MATCH(1,INDEX((案件一覧!$N$3:$N$62=G$3)*(案件一覧!$E$3:$E$62&lt;=$A154)*(案件一覧!$F$3:$F$62&gt;$A154)*(案件一覧!$C$3:$C$62&lt;&gt;"キャンセル"),0),0))&amp;IF(COUNTIFS(案件一覧!$N$3:$N$62,G$3,案件一覧!$E$3:$E$62,"&lt;="&amp;$A154,案件一覧!$F$3:$F$62,"&gt;"&amp;$A154,案件一覧!$C$3:$C$62,"&lt;&gt;キャンセル")&gt;1," ◆重複!",""))</f>
        <v/>
      </c>
      <c r="H154" s="21" t="str">
        <f aca="false">IF(COUNTIFS(案件一覧!$N$3:$N$62,H$3,案件一覧!$E$3:$E$62,"&lt;="&amp;$A154,案件一覧!$F$3:$F$62,"&gt;"&amp;$A154,案件一覧!$C$3:$C$62,"&lt;&gt;キャンセル")=0,"",INDEX(案件一覧!$J$3:$J$62,MATCH(1,INDEX((案件一覧!$N$3:$N$62=H$3)*(案件一覧!$E$3:$E$62&lt;=$A154)*(案件一覧!$F$3:$F$62&gt;$A154)*(案件一覧!$C$3:$C$62&lt;&gt;"キャンセル"),0),0))&amp;IF(COUNTIFS(案件一覧!$N$3:$N$62,H$3,案件一覧!$E$3:$E$62,"&lt;="&amp;$A154,案件一覧!$F$3:$F$62,"&gt;"&amp;$A154,案件一覧!$C$3:$C$62,"&lt;&gt;キャンセル")&gt;1," ◆重複!",""))</f>
        <v/>
      </c>
    </row>
    <row r="155" customFormat="false" ht="15" hidden="false" customHeight="false" outlineLevel="0" collapsed="false">
      <c r="A155" s="22" t="n">
        <v>46355</v>
      </c>
      <c r="B155" s="23" t="s">
        <v>46</v>
      </c>
      <c r="C155" s="24" t="str">
        <f aca="false">IF(COUNTIFS(案件一覧!$N$3:$N$62,C$3,案件一覧!$E$3:$E$62,"&lt;="&amp;$A155,案件一覧!$F$3:$F$62,"&gt;"&amp;$A155,案件一覧!$C$3:$C$62,"&lt;&gt;キャンセル")=0,"",INDEX(案件一覧!$J$3:$J$62,MATCH(1,INDEX((案件一覧!$N$3:$N$62=C$3)*(案件一覧!$E$3:$E$62&lt;=$A155)*(案件一覧!$F$3:$F$62&gt;$A155)*(案件一覧!$C$3:$C$62&lt;&gt;"キャンセル"),0),0))&amp;IF(COUNTIFS(案件一覧!$N$3:$N$62,C$3,案件一覧!$E$3:$E$62,"&lt;="&amp;$A155,案件一覧!$F$3:$F$62,"&gt;"&amp;$A155,案件一覧!$C$3:$C$62,"&lt;&gt;キャンセル")&gt;1," ◆重複!",""))</f>
        <v/>
      </c>
      <c r="D155" s="24" t="str">
        <f aca="false">IF(COUNTIFS(案件一覧!$N$3:$N$62,D$3,案件一覧!$E$3:$E$62,"&lt;="&amp;$A155,案件一覧!$F$3:$F$62,"&gt;"&amp;$A155,案件一覧!$C$3:$C$62,"&lt;&gt;キャンセル")=0,"",INDEX(案件一覧!$J$3:$J$62,MATCH(1,INDEX((案件一覧!$N$3:$N$62=D$3)*(案件一覧!$E$3:$E$62&lt;=$A155)*(案件一覧!$F$3:$F$62&gt;$A155)*(案件一覧!$C$3:$C$62&lt;&gt;"キャンセル"),0),0))&amp;IF(COUNTIFS(案件一覧!$N$3:$N$62,D$3,案件一覧!$E$3:$E$62,"&lt;="&amp;$A155,案件一覧!$F$3:$F$62,"&gt;"&amp;$A155,案件一覧!$C$3:$C$62,"&lt;&gt;キャンセル")&gt;1," ◆重複!",""))</f>
        <v/>
      </c>
      <c r="E155" s="24" t="str">
        <f aca="false">IF(COUNTIFS(案件一覧!$N$3:$N$62,E$3,案件一覧!$E$3:$E$62,"&lt;="&amp;$A155,案件一覧!$F$3:$F$62,"&gt;"&amp;$A155,案件一覧!$C$3:$C$62,"&lt;&gt;キャンセル")=0,"",INDEX(案件一覧!$J$3:$J$62,MATCH(1,INDEX((案件一覧!$N$3:$N$62=E$3)*(案件一覧!$E$3:$E$62&lt;=$A155)*(案件一覧!$F$3:$F$62&gt;$A155)*(案件一覧!$C$3:$C$62&lt;&gt;"キャンセル"),0),0))&amp;IF(COUNTIFS(案件一覧!$N$3:$N$62,E$3,案件一覧!$E$3:$E$62,"&lt;="&amp;$A155,案件一覧!$F$3:$F$62,"&gt;"&amp;$A155,案件一覧!$C$3:$C$62,"&lt;&gt;キャンセル")&gt;1," ◆重複!",""))</f>
        <v/>
      </c>
      <c r="F155" s="24" t="str">
        <f aca="false">IF(COUNTIFS(案件一覧!$N$3:$N$62,F$3,案件一覧!$E$3:$E$62,"&lt;="&amp;$A155,案件一覧!$F$3:$F$62,"&gt;"&amp;$A155,案件一覧!$C$3:$C$62,"&lt;&gt;キャンセル")=0,"",INDEX(案件一覧!$J$3:$J$62,MATCH(1,INDEX((案件一覧!$N$3:$N$62=F$3)*(案件一覧!$E$3:$E$62&lt;=$A155)*(案件一覧!$F$3:$F$62&gt;$A155)*(案件一覧!$C$3:$C$62&lt;&gt;"キャンセル"),0),0))&amp;IF(COUNTIFS(案件一覧!$N$3:$N$62,F$3,案件一覧!$E$3:$E$62,"&lt;="&amp;$A155,案件一覧!$F$3:$F$62,"&gt;"&amp;$A155,案件一覧!$C$3:$C$62,"&lt;&gt;キャンセル")&gt;1," ◆重複!",""))</f>
        <v/>
      </c>
      <c r="G155" s="24" t="str">
        <f aca="false">IF(COUNTIFS(案件一覧!$N$3:$N$62,G$3,案件一覧!$E$3:$E$62,"&lt;="&amp;$A155,案件一覧!$F$3:$F$62,"&gt;"&amp;$A155,案件一覧!$C$3:$C$62,"&lt;&gt;キャンセル")=0,"",INDEX(案件一覧!$J$3:$J$62,MATCH(1,INDEX((案件一覧!$N$3:$N$62=G$3)*(案件一覧!$E$3:$E$62&lt;=$A155)*(案件一覧!$F$3:$F$62&gt;$A155)*(案件一覧!$C$3:$C$62&lt;&gt;"キャンセル"),0),0))&amp;IF(COUNTIFS(案件一覧!$N$3:$N$62,G$3,案件一覧!$E$3:$E$62,"&lt;="&amp;$A155,案件一覧!$F$3:$F$62,"&gt;"&amp;$A155,案件一覧!$C$3:$C$62,"&lt;&gt;キャンセル")&gt;1," ◆重複!",""))</f>
        <v/>
      </c>
      <c r="H155" s="24" t="str">
        <f aca="false">IF(COUNTIFS(案件一覧!$N$3:$N$62,H$3,案件一覧!$E$3:$E$62,"&lt;="&amp;$A155,案件一覧!$F$3:$F$62,"&gt;"&amp;$A155,案件一覧!$C$3:$C$62,"&lt;&gt;キャンセル")=0,"",INDEX(案件一覧!$J$3:$J$62,MATCH(1,INDEX((案件一覧!$N$3:$N$62=H$3)*(案件一覧!$E$3:$E$62&lt;=$A155)*(案件一覧!$F$3:$F$62&gt;$A155)*(案件一覧!$C$3:$C$62&lt;&gt;"キャンセル"),0),0))&amp;IF(COUNTIFS(案件一覧!$N$3:$N$62,H$3,案件一覧!$E$3:$E$62,"&lt;="&amp;$A155,案件一覧!$F$3:$F$62,"&gt;"&amp;$A155,案件一覧!$C$3:$C$62,"&lt;&gt;キャンセル")&gt;1," ◆重複!",""))</f>
        <v/>
      </c>
    </row>
    <row r="156" customFormat="false" ht="15" hidden="false" customHeight="false" outlineLevel="0" collapsed="false">
      <c r="A156" s="16" t="n">
        <v>46356</v>
      </c>
      <c r="B156" s="17" t="s">
        <v>47</v>
      </c>
      <c r="C156" s="18" t="str">
        <f aca="false">IF(COUNTIFS(案件一覧!$N$3:$N$62,C$3,案件一覧!$E$3:$E$62,"&lt;="&amp;$A156,案件一覧!$F$3:$F$62,"&gt;"&amp;$A156,案件一覧!$C$3:$C$62,"&lt;&gt;キャンセル")=0,"",INDEX(案件一覧!$J$3:$J$62,MATCH(1,INDEX((案件一覧!$N$3:$N$62=C$3)*(案件一覧!$E$3:$E$62&lt;=$A156)*(案件一覧!$F$3:$F$62&gt;$A156)*(案件一覧!$C$3:$C$62&lt;&gt;"キャンセル"),0),0))&amp;IF(COUNTIFS(案件一覧!$N$3:$N$62,C$3,案件一覧!$E$3:$E$62,"&lt;="&amp;$A156,案件一覧!$F$3:$F$62,"&gt;"&amp;$A156,案件一覧!$C$3:$C$62,"&lt;&gt;キャンセル")&gt;1," ◆重複!",""))</f>
        <v/>
      </c>
      <c r="D156" s="18" t="str">
        <f aca="false">IF(COUNTIFS(案件一覧!$N$3:$N$62,D$3,案件一覧!$E$3:$E$62,"&lt;="&amp;$A156,案件一覧!$F$3:$F$62,"&gt;"&amp;$A156,案件一覧!$C$3:$C$62,"&lt;&gt;キャンセル")=0,"",INDEX(案件一覧!$J$3:$J$62,MATCH(1,INDEX((案件一覧!$N$3:$N$62=D$3)*(案件一覧!$E$3:$E$62&lt;=$A156)*(案件一覧!$F$3:$F$62&gt;$A156)*(案件一覧!$C$3:$C$62&lt;&gt;"キャンセル"),0),0))&amp;IF(COUNTIFS(案件一覧!$N$3:$N$62,D$3,案件一覧!$E$3:$E$62,"&lt;="&amp;$A156,案件一覧!$F$3:$F$62,"&gt;"&amp;$A156,案件一覧!$C$3:$C$62,"&lt;&gt;キャンセル")&gt;1," ◆重複!",""))</f>
        <v/>
      </c>
      <c r="E156" s="18" t="str">
        <f aca="false">IF(COUNTIFS(案件一覧!$N$3:$N$62,E$3,案件一覧!$E$3:$E$62,"&lt;="&amp;$A156,案件一覧!$F$3:$F$62,"&gt;"&amp;$A156,案件一覧!$C$3:$C$62,"&lt;&gt;キャンセル")=0,"",INDEX(案件一覧!$J$3:$J$62,MATCH(1,INDEX((案件一覧!$N$3:$N$62=E$3)*(案件一覧!$E$3:$E$62&lt;=$A156)*(案件一覧!$F$3:$F$62&gt;$A156)*(案件一覧!$C$3:$C$62&lt;&gt;"キャンセル"),0),0))&amp;IF(COUNTIFS(案件一覧!$N$3:$N$62,E$3,案件一覧!$E$3:$E$62,"&lt;="&amp;$A156,案件一覧!$F$3:$F$62,"&gt;"&amp;$A156,案件一覧!$C$3:$C$62,"&lt;&gt;キャンセル")&gt;1," ◆重複!",""))</f>
        <v/>
      </c>
      <c r="F156" s="18" t="str">
        <f aca="false">IF(COUNTIFS(案件一覧!$N$3:$N$62,F$3,案件一覧!$E$3:$E$62,"&lt;="&amp;$A156,案件一覧!$F$3:$F$62,"&gt;"&amp;$A156,案件一覧!$C$3:$C$62,"&lt;&gt;キャンセル")=0,"",INDEX(案件一覧!$J$3:$J$62,MATCH(1,INDEX((案件一覧!$N$3:$N$62=F$3)*(案件一覧!$E$3:$E$62&lt;=$A156)*(案件一覧!$F$3:$F$62&gt;$A156)*(案件一覧!$C$3:$C$62&lt;&gt;"キャンセル"),0),0))&amp;IF(COUNTIFS(案件一覧!$N$3:$N$62,F$3,案件一覧!$E$3:$E$62,"&lt;="&amp;$A156,案件一覧!$F$3:$F$62,"&gt;"&amp;$A156,案件一覧!$C$3:$C$62,"&lt;&gt;キャンセル")&gt;1," ◆重複!",""))</f>
        <v/>
      </c>
      <c r="G156" s="18" t="str">
        <f aca="false">IF(COUNTIFS(案件一覧!$N$3:$N$62,G$3,案件一覧!$E$3:$E$62,"&lt;="&amp;$A156,案件一覧!$F$3:$F$62,"&gt;"&amp;$A156,案件一覧!$C$3:$C$62,"&lt;&gt;キャンセル")=0,"",INDEX(案件一覧!$J$3:$J$62,MATCH(1,INDEX((案件一覧!$N$3:$N$62=G$3)*(案件一覧!$E$3:$E$62&lt;=$A156)*(案件一覧!$F$3:$F$62&gt;$A156)*(案件一覧!$C$3:$C$62&lt;&gt;"キャンセル"),0),0))&amp;IF(COUNTIFS(案件一覧!$N$3:$N$62,G$3,案件一覧!$E$3:$E$62,"&lt;="&amp;$A156,案件一覧!$F$3:$F$62,"&gt;"&amp;$A156,案件一覧!$C$3:$C$62,"&lt;&gt;キャンセル")&gt;1," ◆重複!",""))</f>
        <v/>
      </c>
      <c r="H156" s="18" t="str">
        <f aca="false">IF(COUNTIFS(案件一覧!$N$3:$N$62,H$3,案件一覧!$E$3:$E$62,"&lt;="&amp;$A156,案件一覧!$F$3:$F$62,"&gt;"&amp;$A156,案件一覧!$C$3:$C$62,"&lt;&gt;キャンセル")=0,"",INDEX(案件一覧!$J$3:$J$62,MATCH(1,INDEX((案件一覧!$N$3:$N$62=H$3)*(案件一覧!$E$3:$E$62&lt;=$A156)*(案件一覧!$F$3:$F$62&gt;$A156)*(案件一覧!$C$3:$C$62&lt;&gt;"キャンセル"),0),0))&amp;IF(COUNTIFS(案件一覧!$N$3:$N$62,H$3,案件一覧!$E$3:$E$62,"&lt;="&amp;$A156,案件一覧!$F$3:$F$62,"&gt;"&amp;$A156,案件一覧!$C$3:$C$62,"&lt;&gt;キャンセル")&gt;1," ◆重複!",""))</f>
        <v/>
      </c>
    </row>
    <row r="157" customFormat="false" ht="15" hidden="false" customHeight="false" outlineLevel="0" collapsed="false">
      <c r="A157" s="16" t="n">
        <v>46357</v>
      </c>
      <c r="B157" s="17" t="s">
        <v>48</v>
      </c>
      <c r="C157" s="18" t="str">
        <f aca="false">IF(COUNTIFS(案件一覧!$N$3:$N$62,C$3,案件一覧!$E$3:$E$62,"&lt;="&amp;$A157,案件一覧!$F$3:$F$62,"&gt;"&amp;$A157,案件一覧!$C$3:$C$62,"&lt;&gt;キャンセル")=0,"",INDEX(案件一覧!$J$3:$J$62,MATCH(1,INDEX((案件一覧!$N$3:$N$62=C$3)*(案件一覧!$E$3:$E$62&lt;=$A157)*(案件一覧!$F$3:$F$62&gt;$A157)*(案件一覧!$C$3:$C$62&lt;&gt;"キャンセル"),0),0))&amp;IF(COUNTIFS(案件一覧!$N$3:$N$62,C$3,案件一覧!$E$3:$E$62,"&lt;="&amp;$A157,案件一覧!$F$3:$F$62,"&gt;"&amp;$A157,案件一覧!$C$3:$C$62,"&lt;&gt;キャンセル")&gt;1," ◆重複!",""))</f>
        <v/>
      </c>
      <c r="D157" s="18" t="str">
        <f aca="false">IF(COUNTIFS(案件一覧!$N$3:$N$62,D$3,案件一覧!$E$3:$E$62,"&lt;="&amp;$A157,案件一覧!$F$3:$F$62,"&gt;"&amp;$A157,案件一覧!$C$3:$C$62,"&lt;&gt;キャンセル")=0,"",INDEX(案件一覧!$J$3:$J$62,MATCH(1,INDEX((案件一覧!$N$3:$N$62=D$3)*(案件一覧!$E$3:$E$62&lt;=$A157)*(案件一覧!$F$3:$F$62&gt;$A157)*(案件一覧!$C$3:$C$62&lt;&gt;"キャンセル"),0),0))&amp;IF(COUNTIFS(案件一覧!$N$3:$N$62,D$3,案件一覧!$E$3:$E$62,"&lt;="&amp;$A157,案件一覧!$F$3:$F$62,"&gt;"&amp;$A157,案件一覧!$C$3:$C$62,"&lt;&gt;キャンセル")&gt;1," ◆重複!",""))</f>
        <v/>
      </c>
      <c r="E157" s="18" t="str">
        <f aca="false">IF(COUNTIFS(案件一覧!$N$3:$N$62,E$3,案件一覧!$E$3:$E$62,"&lt;="&amp;$A157,案件一覧!$F$3:$F$62,"&gt;"&amp;$A157,案件一覧!$C$3:$C$62,"&lt;&gt;キャンセル")=0,"",INDEX(案件一覧!$J$3:$J$62,MATCH(1,INDEX((案件一覧!$N$3:$N$62=E$3)*(案件一覧!$E$3:$E$62&lt;=$A157)*(案件一覧!$F$3:$F$62&gt;$A157)*(案件一覧!$C$3:$C$62&lt;&gt;"キャンセル"),0),0))&amp;IF(COUNTIFS(案件一覧!$N$3:$N$62,E$3,案件一覧!$E$3:$E$62,"&lt;="&amp;$A157,案件一覧!$F$3:$F$62,"&gt;"&amp;$A157,案件一覧!$C$3:$C$62,"&lt;&gt;キャンセル")&gt;1," ◆重複!",""))</f>
        <v/>
      </c>
      <c r="F157" s="18" t="str">
        <f aca="false">IF(COUNTIFS(案件一覧!$N$3:$N$62,F$3,案件一覧!$E$3:$E$62,"&lt;="&amp;$A157,案件一覧!$F$3:$F$62,"&gt;"&amp;$A157,案件一覧!$C$3:$C$62,"&lt;&gt;キャンセル")=0,"",INDEX(案件一覧!$J$3:$J$62,MATCH(1,INDEX((案件一覧!$N$3:$N$62=F$3)*(案件一覧!$E$3:$E$62&lt;=$A157)*(案件一覧!$F$3:$F$62&gt;$A157)*(案件一覧!$C$3:$C$62&lt;&gt;"キャンセル"),0),0))&amp;IF(COUNTIFS(案件一覧!$N$3:$N$62,F$3,案件一覧!$E$3:$E$62,"&lt;="&amp;$A157,案件一覧!$F$3:$F$62,"&gt;"&amp;$A157,案件一覧!$C$3:$C$62,"&lt;&gt;キャンセル")&gt;1," ◆重複!",""))</f>
        <v/>
      </c>
      <c r="G157" s="18" t="str">
        <f aca="false">IF(COUNTIFS(案件一覧!$N$3:$N$62,G$3,案件一覧!$E$3:$E$62,"&lt;="&amp;$A157,案件一覧!$F$3:$F$62,"&gt;"&amp;$A157,案件一覧!$C$3:$C$62,"&lt;&gt;キャンセル")=0,"",INDEX(案件一覧!$J$3:$J$62,MATCH(1,INDEX((案件一覧!$N$3:$N$62=G$3)*(案件一覧!$E$3:$E$62&lt;=$A157)*(案件一覧!$F$3:$F$62&gt;$A157)*(案件一覧!$C$3:$C$62&lt;&gt;"キャンセル"),0),0))&amp;IF(COUNTIFS(案件一覧!$N$3:$N$62,G$3,案件一覧!$E$3:$E$62,"&lt;="&amp;$A157,案件一覧!$F$3:$F$62,"&gt;"&amp;$A157,案件一覧!$C$3:$C$62,"&lt;&gt;キャンセル")&gt;1," ◆重複!",""))</f>
        <v/>
      </c>
      <c r="H157" s="18" t="str">
        <f aca="false">IF(COUNTIFS(案件一覧!$N$3:$N$62,H$3,案件一覧!$E$3:$E$62,"&lt;="&amp;$A157,案件一覧!$F$3:$F$62,"&gt;"&amp;$A157,案件一覧!$C$3:$C$62,"&lt;&gt;キャンセル")=0,"",INDEX(案件一覧!$J$3:$J$62,MATCH(1,INDEX((案件一覧!$N$3:$N$62=H$3)*(案件一覧!$E$3:$E$62&lt;=$A157)*(案件一覧!$F$3:$F$62&gt;$A157)*(案件一覧!$C$3:$C$62&lt;&gt;"キャンセル"),0),0))&amp;IF(COUNTIFS(案件一覧!$N$3:$N$62,H$3,案件一覧!$E$3:$E$62,"&lt;="&amp;$A157,案件一覧!$F$3:$F$62,"&gt;"&amp;$A157,案件一覧!$C$3:$C$62,"&lt;&gt;キャンセル")&gt;1," ◆重複!",""))</f>
        <v/>
      </c>
    </row>
    <row r="158" customFormat="false" ht="15" hidden="false" customHeight="false" outlineLevel="0" collapsed="false">
      <c r="A158" s="16" t="n">
        <v>46358</v>
      </c>
      <c r="B158" s="17" t="s">
        <v>42</v>
      </c>
      <c r="C158" s="18" t="str">
        <f aca="false">IF(COUNTIFS(案件一覧!$N$3:$N$62,C$3,案件一覧!$E$3:$E$62,"&lt;="&amp;$A158,案件一覧!$F$3:$F$62,"&gt;"&amp;$A158,案件一覧!$C$3:$C$62,"&lt;&gt;キャンセル")=0,"",INDEX(案件一覧!$J$3:$J$62,MATCH(1,INDEX((案件一覧!$N$3:$N$62=C$3)*(案件一覧!$E$3:$E$62&lt;=$A158)*(案件一覧!$F$3:$F$62&gt;$A158)*(案件一覧!$C$3:$C$62&lt;&gt;"キャンセル"),0),0))&amp;IF(COUNTIFS(案件一覧!$N$3:$N$62,C$3,案件一覧!$E$3:$E$62,"&lt;="&amp;$A158,案件一覧!$F$3:$F$62,"&gt;"&amp;$A158,案件一覧!$C$3:$C$62,"&lt;&gt;キャンセル")&gt;1," ◆重複!",""))</f>
        <v/>
      </c>
      <c r="D158" s="18" t="str">
        <f aca="false">IF(COUNTIFS(案件一覧!$N$3:$N$62,D$3,案件一覧!$E$3:$E$62,"&lt;="&amp;$A158,案件一覧!$F$3:$F$62,"&gt;"&amp;$A158,案件一覧!$C$3:$C$62,"&lt;&gt;キャンセル")=0,"",INDEX(案件一覧!$J$3:$J$62,MATCH(1,INDEX((案件一覧!$N$3:$N$62=D$3)*(案件一覧!$E$3:$E$62&lt;=$A158)*(案件一覧!$F$3:$F$62&gt;$A158)*(案件一覧!$C$3:$C$62&lt;&gt;"キャンセル"),0),0))&amp;IF(COUNTIFS(案件一覧!$N$3:$N$62,D$3,案件一覧!$E$3:$E$62,"&lt;="&amp;$A158,案件一覧!$F$3:$F$62,"&gt;"&amp;$A158,案件一覧!$C$3:$C$62,"&lt;&gt;キャンセル")&gt;1," ◆重複!",""))</f>
        <v/>
      </c>
      <c r="E158" s="18" t="str">
        <f aca="false">IF(COUNTIFS(案件一覧!$N$3:$N$62,E$3,案件一覧!$E$3:$E$62,"&lt;="&amp;$A158,案件一覧!$F$3:$F$62,"&gt;"&amp;$A158,案件一覧!$C$3:$C$62,"&lt;&gt;キャンセル")=0,"",INDEX(案件一覧!$J$3:$J$62,MATCH(1,INDEX((案件一覧!$N$3:$N$62=E$3)*(案件一覧!$E$3:$E$62&lt;=$A158)*(案件一覧!$F$3:$F$62&gt;$A158)*(案件一覧!$C$3:$C$62&lt;&gt;"キャンセル"),0),0))&amp;IF(COUNTIFS(案件一覧!$N$3:$N$62,E$3,案件一覧!$E$3:$E$62,"&lt;="&amp;$A158,案件一覧!$F$3:$F$62,"&gt;"&amp;$A158,案件一覧!$C$3:$C$62,"&lt;&gt;キャンセル")&gt;1," ◆重複!",""))</f>
        <v/>
      </c>
      <c r="F158" s="18" t="str">
        <f aca="false">IF(COUNTIFS(案件一覧!$N$3:$N$62,F$3,案件一覧!$E$3:$E$62,"&lt;="&amp;$A158,案件一覧!$F$3:$F$62,"&gt;"&amp;$A158,案件一覧!$C$3:$C$62,"&lt;&gt;キャンセル")=0,"",INDEX(案件一覧!$J$3:$J$62,MATCH(1,INDEX((案件一覧!$N$3:$N$62=F$3)*(案件一覧!$E$3:$E$62&lt;=$A158)*(案件一覧!$F$3:$F$62&gt;$A158)*(案件一覧!$C$3:$C$62&lt;&gt;"キャンセル"),0),0))&amp;IF(COUNTIFS(案件一覧!$N$3:$N$62,F$3,案件一覧!$E$3:$E$62,"&lt;="&amp;$A158,案件一覧!$F$3:$F$62,"&gt;"&amp;$A158,案件一覧!$C$3:$C$62,"&lt;&gt;キャンセル")&gt;1," ◆重複!",""))</f>
        <v/>
      </c>
      <c r="G158" s="18" t="str">
        <f aca="false">IF(COUNTIFS(案件一覧!$N$3:$N$62,G$3,案件一覧!$E$3:$E$62,"&lt;="&amp;$A158,案件一覧!$F$3:$F$62,"&gt;"&amp;$A158,案件一覧!$C$3:$C$62,"&lt;&gt;キャンセル")=0,"",INDEX(案件一覧!$J$3:$J$62,MATCH(1,INDEX((案件一覧!$N$3:$N$62=G$3)*(案件一覧!$E$3:$E$62&lt;=$A158)*(案件一覧!$F$3:$F$62&gt;$A158)*(案件一覧!$C$3:$C$62&lt;&gt;"キャンセル"),0),0))&amp;IF(COUNTIFS(案件一覧!$N$3:$N$62,G$3,案件一覧!$E$3:$E$62,"&lt;="&amp;$A158,案件一覧!$F$3:$F$62,"&gt;"&amp;$A158,案件一覧!$C$3:$C$62,"&lt;&gt;キャンセル")&gt;1," ◆重複!",""))</f>
        <v/>
      </c>
      <c r="H158" s="18" t="str">
        <f aca="false">IF(COUNTIFS(案件一覧!$N$3:$N$62,H$3,案件一覧!$E$3:$E$62,"&lt;="&amp;$A158,案件一覧!$F$3:$F$62,"&gt;"&amp;$A158,案件一覧!$C$3:$C$62,"&lt;&gt;キャンセル")=0,"",INDEX(案件一覧!$J$3:$J$62,MATCH(1,INDEX((案件一覧!$N$3:$N$62=H$3)*(案件一覧!$E$3:$E$62&lt;=$A158)*(案件一覧!$F$3:$F$62&gt;$A158)*(案件一覧!$C$3:$C$62&lt;&gt;"キャンセル"),0),0))&amp;IF(COUNTIFS(案件一覧!$N$3:$N$62,H$3,案件一覧!$E$3:$E$62,"&lt;="&amp;$A158,案件一覧!$F$3:$F$62,"&gt;"&amp;$A158,案件一覧!$C$3:$C$62,"&lt;&gt;キャンセル")&gt;1," ◆重複!",""))</f>
        <v/>
      </c>
    </row>
    <row r="159" customFormat="false" ht="15" hidden="false" customHeight="false" outlineLevel="0" collapsed="false">
      <c r="A159" s="16" t="n">
        <v>46359</v>
      </c>
      <c r="B159" s="17" t="s">
        <v>43</v>
      </c>
      <c r="C159" s="18" t="str">
        <f aca="false">IF(COUNTIFS(案件一覧!$N$3:$N$62,C$3,案件一覧!$E$3:$E$62,"&lt;="&amp;$A159,案件一覧!$F$3:$F$62,"&gt;"&amp;$A159,案件一覧!$C$3:$C$62,"&lt;&gt;キャンセル")=0,"",INDEX(案件一覧!$J$3:$J$62,MATCH(1,INDEX((案件一覧!$N$3:$N$62=C$3)*(案件一覧!$E$3:$E$62&lt;=$A159)*(案件一覧!$F$3:$F$62&gt;$A159)*(案件一覧!$C$3:$C$62&lt;&gt;"キャンセル"),0),0))&amp;IF(COUNTIFS(案件一覧!$N$3:$N$62,C$3,案件一覧!$E$3:$E$62,"&lt;="&amp;$A159,案件一覧!$F$3:$F$62,"&gt;"&amp;$A159,案件一覧!$C$3:$C$62,"&lt;&gt;キャンセル")&gt;1," ◆重複!",""))</f>
        <v/>
      </c>
      <c r="D159" s="18" t="str">
        <f aca="false">IF(COUNTIFS(案件一覧!$N$3:$N$62,D$3,案件一覧!$E$3:$E$62,"&lt;="&amp;$A159,案件一覧!$F$3:$F$62,"&gt;"&amp;$A159,案件一覧!$C$3:$C$62,"&lt;&gt;キャンセル")=0,"",INDEX(案件一覧!$J$3:$J$62,MATCH(1,INDEX((案件一覧!$N$3:$N$62=D$3)*(案件一覧!$E$3:$E$62&lt;=$A159)*(案件一覧!$F$3:$F$62&gt;$A159)*(案件一覧!$C$3:$C$62&lt;&gt;"キャンセル"),0),0))&amp;IF(COUNTIFS(案件一覧!$N$3:$N$62,D$3,案件一覧!$E$3:$E$62,"&lt;="&amp;$A159,案件一覧!$F$3:$F$62,"&gt;"&amp;$A159,案件一覧!$C$3:$C$62,"&lt;&gt;キャンセル")&gt;1," ◆重複!",""))</f>
        <v/>
      </c>
      <c r="E159" s="18" t="str">
        <f aca="false">IF(COUNTIFS(案件一覧!$N$3:$N$62,E$3,案件一覧!$E$3:$E$62,"&lt;="&amp;$A159,案件一覧!$F$3:$F$62,"&gt;"&amp;$A159,案件一覧!$C$3:$C$62,"&lt;&gt;キャンセル")=0,"",INDEX(案件一覧!$J$3:$J$62,MATCH(1,INDEX((案件一覧!$N$3:$N$62=E$3)*(案件一覧!$E$3:$E$62&lt;=$A159)*(案件一覧!$F$3:$F$62&gt;$A159)*(案件一覧!$C$3:$C$62&lt;&gt;"キャンセル"),0),0))&amp;IF(COUNTIFS(案件一覧!$N$3:$N$62,E$3,案件一覧!$E$3:$E$62,"&lt;="&amp;$A159,案件一覧!$F$3:$F$62,"&gt;"&amp;$A159,案件一覧!$C$3:$C$62,"&lt;&gt;キャンセル")&gt;1," ◆重複!",""))</f>
        <v/>
      </c>
      <c r="F159" s="18" t="str">
        <f aca="false">IF(COUNTIFS(案件一覧!$N$3:$N$62,F$3,案件一覧!$E$3:$E$62,"&lt;="&amp;$A159,案件一覧!$F$3:$F$62,"&gt;"&amp;$A159,案件一覧!$C$3:$C$62,"&lt;&gt;キャンセル")=0,"",INDEX(案件一覧!$J$3:$J$62,MATCH(1,INDEX((案件一覧!$N$3:$N$62=F$3)*(案件一覧!$E$3:$E$62&lt;=$A159)*(案件一覧!$F$3:$F$62&gt;$A159)*(案件一覧!$C$3:$C$62&lt;&gt;"キャンセル"),0),0))&amp;IF(COUNTIFS(案件一覧!$N$3:$N$62,F$3,案件一覧!$E$3:$E$62,"&lt;="&amp;$A159,案件一覧!$F$3:$F$62,"&gt;"&amp;$A159,案件一覧!$C$3:$C$62,"&lt;&gt;キャンセル")&gt;1," ◆重複!",""))</f>
        <v/>
      </c>
      <c r="G159" s="18" t="str">
        <f aca="false">IF(COUNTIFS(案件一覧!$N$3:$N$62,G$3,案件一覧!$E$3:$E$62,"&lt;="&amp;$A159,案件一覧!$F$3:$F$62,"&gt;"&amp;$A159,案件一覧!$C$3:$C$62,"&lt;&gt;キャンセル")=0,"",INDEX(案件一覧!$J$3:$J$62,MATCH(1,INDEX((案件一覧!$N$3:$N$62=G$3)*(案件一覧!$E$3:$E$62&lt;=$A159)*(案件一覧!$F$3:$F$62&gt;$A159)*(案件一覧!$C$3:$C$62&lt;&gt;"キャンセル"),0),0))&amp;IF(COUNTIFS(案件一覧!$N$3:$N$62,G$3,案件一覧!$E$3:$E$62,"&lt;="&amp;$A159,案件一覧!$F$3:$F$62,"&gt;"&amp;$A159,案件一覧!$C$3:$C$62,"&lt;&gt;キャンセル")&gt;1," ◆重複!",""))</f>
        <v/>
      </c>
      <c r="H159" s="18" t="str">
        <f aca="false">IF(COUNTIFS(案件一覧!$N$3:$N$62,H$3,案件一覧!$E$3:$E$62,"&lt;="&amp;$A159,案件一覧!$F$3:$F$62,"&gt;"&amp;$A159,案件一覧!$C$3:$C$62,"&lt;&gt;キャンセル")=0,"",INDEX(案件一覧!$J$3:$J$62,MATCH(1,INDEX((案件一覧!$N$3:$N$62=H$3)*(案件一覧!$E$3:$E$62&lt;=$A159)*(案件一覧!$F$3:$F$62&gt;$A159)*(案件一覧!$C$3:$C$62&lt;&gt;"キャンセル"),0),0))&amp;IF(COUNTIFS(案件一覧!$N$3:$N$62,H$3,案件一覧!$E$3:$E$62,"&lt;="&amp;$A159,案件一覧!$F$3:$F$62,"&gt;"&amp;$A159,案件一覧!$C$3:$C$62,"&lt;&gt;キャンセル")&gt;1," ◆重複!",""))</f>
        <v/>
      </c>
    </row>
    <row r="160" customFormat="false" ht="15" hidden="false" customHeight="false" outlineLevel="0" collapsed="false">
      <c r="A160" s="16" t="n">
        <v>46360</v>
      </c>
      <c r="B160" s="17" t="s">
        <v>44</v>
      </c>
      <c r="C160" s="18" t="str">
        <f aca="false">IF(COUNTIFS(案件一覧!$N$3:$N$62,C$3,案件一覧!$E$3:$E$62,"&lt;="&amp;$A160,案件一覧!$F$3:$F$62,"&gt;"&amp;$A160,案件一覧!$C$3:$C$62,"&lt;&gt;キャンセル")=0,"",INDEX(案件一覧!$J$3:$J$62,MATCH(1,INDEX((案件一覧!$N$3:$N$62=C$3)*(案件一覧!$E$3:$E$62&lt;=$A160)*(案件一覧!$F$3:$F$62&gt;$A160)*(案件一覧!$C$3:$C$62&lt;&gt;"キャンセル"),0),0))&amp;IF(COUNTIFS(案件一覧!$N$3:$N$62,C$3,案件一覧!$E$3:$E$62,"&lt;="&amp;$A160,案件一覧!$F$3:$F$62,"&gt;"&amp;$A160,案件一覧!$C$3:$C$62,"&lt;&gt;キャンセル")&gt;1," ◆重複!",""))</f>
        <v/>
      </c>
      <c r="D160" s="18" t="str">
        <f aca="false">IF(COUNTIFS(案件一覧!$N$3:$N$62,D$3,案件一覧!$E$3:$E$62,"&lt;="&amp;$A160,案件一覧!$F$3:$F$62,"&gt;"&amp;$A160,案件一覧!$C$3:$C$62,"&lt;&gt;キャンセル")=0,"",INDEX(案件一覧!$J$3:$J$62,MATCH(1,INDEX((案件一覧!$N$3:$N$62=D$3)*(案件一覧!$E$3:$E$62&lt;=$A160)*(案件一覧!$F$3:$F$62&gt;$A160)*(案件一覧!$C$3:$C$62&lt;&gt;"キャンセル"),0),0))&amp;IF(COUNTIFS(案件一覧!$N$3:$N$62,D$3,案件一覧!$E$3:$E$62,"&lt;="&amp;$A160,案件一覧!$F$3:$F$62,"&gt;"&amp;$A160,案件一覧!$C$3:$C$62,"&lt;&gt;キャンセル")&gt;1," ◆重複!",""))</f>
        <v/>
      </c>
      <c r="E160" s="18" t="str">
        <f aca="false">IF(COUNTIFS(案件一覧!$N$3:$N$62,E$3,案件一覧!$E$3:$E$62,"&lt;="&amp;$A160,案件一覧!$F$3:$F$62,"&gt;"&amp;$A160,案件一覧!$C$3:$C$62,"&lt;&gt;キャンセル")=0,"",INDEX(案件一覧!$J$3:$J$62,MATCH(1,INDEX((案件一覧!$N$3:$N$62=E$3)*(案件一覧!$E$3:$E$62&lt;=$A160)*(案件一覧!$F$3:$F$62&gt;$A160)*(案件一覧!$C$3:$C$62&lt;&gt;"キャンセル"),0),0))&amp;IF(COUNTIFS(案件一覧!$N$3:$N$62,E$3,案件一覧!$E$3:$E$62,"&lt;="&amp;$A160,案件一覧!$F$3:$F$62,"&gt;"&amp;$A160,案件一覧!$C$3:$C$62,"&lt;&gt;キャンセル")&gt;1," ◆重複!",""))</f>
        <v/>
      </c>
      <c r="F160" s="18" t="str">
        <f aca="false">IF(COUNTIFS(案件一覧!$N$3:$N$62,F$3,案件一覧!$E$3:$E$62,"&lt;="&amp;$A160,案件一覧!$F$3:$F$62,"&gt;"&amp;$A160,案件一覧!$C$3:$C$62,"&lt;&gt;キャンセル")=0,"",INDEX(案件一覧!$J$3:$J$62,MATCH(1,INDEX((案件一覧!$N$3:$N$62=F$3)*(案件一覧!$E$3:$E$62&lt;=$A160)*(案件一覧!$F$3:$F$62&gt;$A160)*(案件一覧!$C$3:$C$62&lt;&gt;"キャンセル"),0),0))&amp;IF(COUNTIFS(案件一覧!$N$3:$N$62,F$3,案件一覧!$E$3:$E$62,"&lt;="&amp;$A160,案件一覧!$F$3:$F$62,"&gt;"&amp;$A160,案件一覧!$C$3:$C$62,"&lt;&gt;キャンセル")&gt;1," ◆重複!",""))</f>
        <v/>
      </c>
      <c r="G160" s="18" t="str">
        <f aca="false">IF(COUNTIFS(案件一覧!$N$3:$N$62,G$3,案件一覧!$E$3:$E$62,"&lt;="&amp;$A160,案件一覧!$F$3:$F$62,"&gt;"&amp;$A160,案件一覧!$C$3:$C$62,"&lt;&gt;キャンセル")=0,"",INDEX(案件一覧!$J$3:$J$62,MATCH(1,INDEX((案件一覧!$N$3:$N$62=G$3)*(案件一覧!$E$3:$E$62&lt;=$A160)*(案件一覧!$F$3:$F$62&gt;$A160)*(案件一覧!$C$3:$C$62&lt;&gt;"キャンセル"),0),0))&amp;IF(COUNTIFS(案件一覧!$N$3:$N$62,G$3,案件一覧!$E$3:$E$62,"&lt;="&amp;$A160,案件一覧!$F$3:$F$62,"&gt;"&amp;$A160,案件一覧!$C$3:$C$62,"&lt;&gt;キャンセル")&gt;1," ◆重複!",""))</f>
        <v/>
      </c>
      <c r="H160" s="18" t="str">
        <f aca="false">IF(COUNTIFS(案件一覧!$N$3:$N$62,H$3,案件一覧!$E$3:$E$62,"&lt;="&amp;$A160,案件一覧!$F$3:$F$62,"&gt;"&amp;$A160,案件一覧!$C$3:$C$62,"&lt;&gt;キャンセル")=0,"",INDEX(案件一覧!$J$3:$J$62,MATCH(1,INDEX((案件一覧!$N$3:$N$62=H$3)*(案件一覧!$E$3:$E$62&lt;=$A160)*(案件一覧!$F$3:$F$62&gt;$A160)*(案件一覧!$C$3:$C$62&lt;&gt;"キャンセル"),0),0))&amp;IF(COUNTIFS(案件一覧!$N$3:$N$62,H$3,案件一覧!$E$3:$E$62,"&lt;="&amp;$A160,案件一覧!$F$3:$F$62,"&gt;"&amp;$A160,案件一覧!$C$3:$C$62,"&lt;&gt;キャンセル")&gt;1," ◆重複!",""))</f>
        <v/>
      </c>
    </row>
    <row r="161" customFormat="false" ht="15" hidden="false" customHeight="false" outlineLevel="0" collapsed="false">
      <c r="A161" s="19" t="n">
        <v>46361</v>
      </c>
      <c r="B161" s="20" t="s">
        <v>45</v>
      </c>
      <c r="C161" s="21" t="str">
        <f aca="false">IF(COUNTIFS(案件一覧!$N$3:$N$62,C$3,案件一覧!$E$3:$E$62,"&lt;="&amp;$A161,案件一覧!$F$3:$F$62,"&gt;"&amp;$A161,案件一覧!$C$3:$C$62,"&lt;&gt;キャンセル")=0,"",INDEX(案件一覧!$J$3:$J$62,MATCH(1,INDEX((案件一覧!$N$3:$N$62=C$3)*(案件一覧!$E$3:$E$62&lt;=$A161)*(案件一覧!$F$3:$F$62&gt;$A161)*(案件一覧!$C$3:$C$62&lt;&gt;"キャンセル"),0),0))&amp;IF(COUNTIFS(案件一覧!$N$3:$N$62,C$3,案件一覧!$E$3:$E$62,"&lt;="&amp;$A161,案件一覧!$F$3:$F$62,"&gt;"&amp;$A161,案件一覧!$C$3:$C$62,"&lt;&gt;キャンセル")&gt;1," ◆重複!",""))</f>
        <v/>
      </c>
      <c r="D161" s="21" t="str">
        <f aca="false">IF(COUNTIFS(案件一覧!$N$3:$N$62,D$3,案件一覧!$E$3:$E$62,"&lt;="&amp;$A161,案件一覧!$F$3:$F$62,"&gt;"&amp;$A161,案件一覧!$C$3:$C$62,"&lt;&gt;キャンセル")=0,"",INDEX(案件一覧!$J$3:$J$62,MATCH(1,INDEX((案件一覧!$N$3:$N$62=D$3)*(案件一覧!$E$3:$E$62&lt;=$A161)*(案件一覧!$F$3:$F$62&gt;$A161)*(案件一覧!$C$3:$C$62&lt;&gt;"キャンセル"),0),0))&amp;IF(COUNTIFS(案件一覧!$N$3:$N$62,D$3,案件一覧!$E$3:$E$62,"&lt;="&amp;$A161,案件一覧!$F$3:$F$62,"&gt;"&amp;$A161,案件一覧!$C$3:$C$62,"&lt;&gt;キャンセル")&gt;1," ◆重複!",""))</f>
        <v/>
      </c>
      <c r="E161" s="21" t="str">
        <f aca="false">IF(COUNTIFS(案件一覧!$N$3:$N$62,E$3,案件一覧!$E$3:$E$62,"&lt;="&amp;$A161,案件一覧!$F$3:$F$62,"&gt;"&amp;$A161,案件一覧!$C$3:$C$62,"&lt;&gt;キャンセル")=0,"",INDEX(案件一覧!$J$3:$J$62,MATCH(1,INDEX((案件一覧!$N$3:$N$62=E$3)*(案件一覧!$E$3:$E$62&lt;=$A161)*(案件一覧!$F$3:$F$62&gt;$A161)*(案件一覧!$C$3:$C$62&lt;&gt;"キャンセル"),0),0))&amp;IF(COUNTIFS(案件一覧!$N$3:$N$62,E$3,案件一覧!$E$3:$E$62,"&lt;="&amp;$A161,案件一覧!$F$3:$F$62,"&gt;"&amp;$A161,案件一覧!$C$3:$C$62,"&lt;&gt;キャンセル")&gt;1," ◆重複!",""))</f>
        <v/>
      </c>
      <c r="F161" s="21" t="str">
        <f aca="false">IF(COUNTIFS(案件一覧!$N$3:$N$62,F$3,案件一覧!$E$3:$E$62,"&lt;="&amp;$A161,案件一覧!$F$3:$F$62,"&gt;"&amp;$A161,案件一覧!$C$3:$C$62,"&lt;&gt;キャンセル")=0,"",INDEX(案件一覧!$J$3:$J$62,MATCH(1,INDEX((案件一覧!$N$3:$N$62=F$3)*(案件一覧!$E$3:$E$62&lt;=$A161)*(案件一覧!$F$3:$F$62&gt;$A161)*(案件一覧!$C$3:$C$62&lt;&gt;"キャンセル"),0),0))&amp;IF(COUNTIFS(案件一覧!$N$3:$N$62,F$3,案件一覧!$E$3:$E$62,"&lt;="&amp;$A161,案件一覧!$F$3:$F$62,"&gt;"&amp;$A161,案件一覧!$C$3:$C$62,"&lt;&gt;キャンセル")&gt;1," ◆重複!",""))</f>
        <v/>
      </c>
      <c r="G161" s="21" t="str">
        <f aca="false">IF(COUNTIFS(案件一覧!$N$3:$N$62,G$3,案件一覧!$E$3:$E$62,"&lt;="&amp;$A161,案件一覧!$F$3:$F$62,"&gt;"&amp;$A161,案件一覧!$C$3:$C$62,"&lt;&gt;キャンセル")=0,"",INDEX(案件一覧!$J$3:$J$62,MATCH(1,INDEX((案件一覧!$N$3:$N$62=G$3)*(案件一覧!$E$3:$E$62&lt;=$A161)*(案件一覧!$F$3:$F$62&gt;$A161)*(案件一覧!$C$3:$C$62&lt;&gt;"キャンセル"),0),0))&amp;IF(COUNTIFS(案件一覧!$N$3:$N$62,G$3,案件一覧!$E$3:$E$62,"&lt;="&amp;$A161,案件一覧!$F$3:$F$62,"&gt;"&amp;$A161,案件一覧!$C$3:$C$62,"&lt;&gt;キャンセル")&gt;1," ◆重複!",""))</f>
        <v/>
      </c>
      <c r="H161" s="21" t="str">
        <f aca="false">IF(COUNTIFS(案件一覧!$N$3:$N$62,H$3,案件一覧!$E$3:$E$62,"&lt;="&amp;$A161,案件一覧!$F$3:$F$62,"&gt;"&amp;$A161,案件一覧!$C$3:$C$62,"&lt;&gt;キャンセル")=0,"",INDEX(案件一覧!$J$3:$J$62,MATCH(1,INDEX((案件一覧!$N$3:$N$62=H$3)*(案件一覧!$E$3:$E$62&lt;=$A161)*(案件一覧!$F$3:$F$62&gt;$A161)*(案件一覧!$C$3:$C$62&lt;&gt;"キャンセル"),0),0))&amp;IF(COUNTIFS(案件一覧!$N$3:$N$62,H$3,案件一覧!$E$3:$E$62,"&lt;="&amp;$A161,案件一覧!$F$3:$F$62,"&gt;"&amp;$A161,案件一覧!$C$3:$C$62,"&lt;&gt;キャンセル")&gt;1," ◆重複!",""))</f>
        <v/>
      </c>
    </row>
    <row r="162" customFormat="false" ht="15" hidden="false" customHeight="false" outlineLevel="0" collapsed="false">
      <c r="A162" s="22" t="n">
        <v>46362</v>
      </c>
      <c r="B162" s="23" t="s">
        <v>46</v>
      </c>
      <c r="C162" s="24" t="str">
        <f aca="false">IF(COUNTIFS(案件一覧!$N$3:$N$62,C$3,案件一覧!$E$3:$E$62,"&lt;="&amp;$A162,案件一覧!$F$3:$F$62,"&gt;"&amp;$A162,案件一覧!$C$3:$C$62,"&lt;&gt;キャンセル")=0,"",INDEX(案件一覧!$J$3:$J$62,MATCH(1,INDEX((案件一覧!$N$3:$N$62=C$3)*(案件一覧!$E$3:$E$62&lt;=$A162)*(案件一覧!$F$3:$F$62&gt;$A162)*(案件一覧!$C$3:$C$62&lt;&gt;"キャンセル"),0),0))&amp;IF(COUNTIFS(案件一覧!$N$3:$N$62,C$3,案件一覧!$E$3:$E$62,"&lt;="&amp;$A162,案件一覧!$F$3:$F$62,"&gt;"&amp;$A162,案件一覧!$C$3:$C$62,"&lt;&gt;キャンセル")&gt;1," ◆重複!",""))</f>
        <v/>
      </c>
      <c r="D162" s="24" t="str">
        <f aca="false">IF(COUNTIFS(案件一覧!$N$3:$N$62,D$3,案件一覧!$E$3:$E$62,"&lt;="&amp;$A162,案件一覧!$F$3:$F$62,"&gt;"&amp;$A162,案件一覧!$C$3:$C$62,"&lt;&gt;キャンセル")=0,"",INDEX(案件一覧!$J$3:$J$62,MATCH(1,INDEX((案件一覧!$N$3:$N$62=D$3)*(案件一覧!$E$3:$E$62&lt;=$A162)*(案件一覧!$F$3:$F$62&gt;$A162)*(案件一覧!$C$3:$C$62&lt;&gt;"キャンセル"),0),0))&amp;IF(COUNTIFS(案件一覧!$N$3:$N$62,D$3,案件一覧!$E$3:$E$62,"&lt;="&amp;$A162,案件一覧!$F$3:$F$62,"&gt;"&amp;$A162,案件一覧!$C$3:$C$62,"&lt;&gt;キャンセル")&gt;1," ◆重複!",""))</f>
        <v/>
      </c>
      <c r="E162" s="24" t="str">
        <f aca="false">IF(COUNTIFS(案件一覧!$N$3:$N$62,E$3,案件一覧!$E$3:$E$62,"&lt;="&amp;$A162,案件一覧!$F$3:$F$62,"&gt;"&amp;$A162,案件一覧!$C$3:$C$62,"&lt;&gt;キャンセル")=0,"",INDEX(案件一覧!$J$3:$J$62,MATCH(1,INDEX((案件一覧!$N$3:$N$62=E$3)*(案件一覧!$E$3:$E$62&lt;=$A162)*(案件一覧!$F$3:$F$62&gt;$A162)*(案件一覧!$C$3:$C$62&lt;&gt;"キャンセル"),0),0))&amp;IF(COUNTIFS(案件一覧!$N$3:$N$62,E$3,案件一覧!$E$3:$E$62,"&lt;="&amp;$A162,案件一覧!$F$3:$F$62,"&gt;"&amp;$A162,案件一覧!$C$3:$C$62,"&lt;&gt;キャンセル")&gt;1," ◆重複!",""))</f>
        <v/>
      </c>
      <c r="F162" s="24" t="str">
        <f aca="false">IF(COUNTIFS(案件一覧!$N$3:$N$62,F$3,案件一覧!$E$3:$E$62,"&lt;="&amp;$A162,案件一覧!$F$3:$F$62,"&gt;"&amp;$A162,案件一覧!$C$3:$C$62,"&lt;&gt;キャンセル")=0,"",INDEX(案件一覧!$J$3:$J$62,MATCH(1,INDEX((案件一覧!$N$3:$N$62=F$3)*(案件一覧!$E$3:$E$62&lt;=$A162)*(案件一覧!$F$3:$F$62&gt;$A162)*(案件一覧!$C$3:$C$62&lt;&gt;"キャンセル"),0),0))&amp;IF(COUNTIFS(案件一覧!$N$3:$N$62,F$3,案件一覧!$E$3:$E$62,"&lt;="&amp;$A162,案件一覧!$F$3:$F$62,"&gt;"&amp;$A162,案件一覧!$C$3:$C$62,"&lt;&gt;キャンセル")&gt;1," ◆重複!",""))</f>
        <v/>
      </c>
      <c r="G162" s="24" t="str">
        <f aca="false">IF(COUNTIFS(案件一覧!$N$3:$N$62,G$3,案件一覧!$E$3:$E$62,"&lt;="&amp;$A162,案件一覧!$F$3:$F$62,"&gt;"&amp;$A162,案件一覧!$C$3:$C$62,"&lt;&gt;キャンセル")=0,"",INDEX(案件一覧!$J$3:$J$62,MATCH(1,INDEX((案件一覧!$N$3:$N$62=G$3)*(案件一覧!$E$3:$E$62&lt;=$A162)*(案件一覧!$F$3:$F$62&gt;$A162)*(案件一覧!$C$3:$C$62&lt;&gt;"キャンセル"),0),0))&amp;IF(COUNTIFS(案件一覧!$N$3:$N$62,G$3,案件一覧!$E$3:$E$62,"&lt;="&amp;$A162,案件一覧!$F$3:$F$62,"&gt;"&amp;$A162,案件一覧!$C$3:$C$62,"&lt;&gt;キャンセル")&gt;1," ◆重複!",""))</f>
        <v/>
      </c>
      <c r="H162" s="24" t="str">
        <f aca="false">IF(COUNTIFS(案件一覧!$N$3:$N$62,H$3,案件一覧!$E$3:$E$62,"&lt;="&amp;$A162,案件一覧!$F$3:$F$62,"&gt;"&amp;$A162,案件一覧!$C$3:$C$62,"&lt;&gt;キャンセル")=0,"",INDEX(案件一覧!$J$3:$J$62,MATCH(1,INDEX((案件一覧!$N$3:$N$62=H$3)*(案件一覧!$E$3:$E$62&lt;=$A162)*(案件一覧!$F$3:$F$62&gt;$A162)*(案件一覧!$C$3:$C$62&lt;&gt;"キャンセル"),0),0))&amp;IF(COUNTIFS(案件一覧!$N$3:$N$62,H$3,案件一覧!$E$3:$E$62,"&lt;="&amp;$A162,案件一覧!$F$3:$F$62,"&gt;"&amp;$A162,案件一覧!$C$3:$C$62,"&lt;&gt;キャンセル")&gt;1," ◆重複!",""))</f>
        <v/>
      </c>
    </row>
    <row r="163" customFormat="false" ht="15" hidden="false" customHeight="false" outlineLevel="0" collapsed="false">
      <c r="A163" s="16" t="n">
        <v>46363</v>
      </c>
      <c r="B163" s="17" t="s">
        <v>47</v>
      </c>
      <c r="C163" s="18" t="str">
        <f aca="false">IF(COUNTIFS(案件一覧!$N$3:$N$62,C$3,案件一覧!$E$3:$E$62,"&lt;="&amp;$A163,案件一覧!$F$3:$F$62,"&gt;"&amp;$A163,案件一覧!$C$3:$C$62,"&lt;&gt;キャンセル")=0,"",INDEX(案件一覧!$J$3:$J$62,MATCH(1,INDEX((案件一覧!$N$3:$N$62=C$3)*(案件一覧!$E$3:$E$62&lt;=$A163)*(案件一覧!$F$3:$F$62&gt;$A163)*(案件一覧!$C$3:$C$62&lt;&gt;"キャンセル"),0),0))&amp;IF(COUNTIFS(案件一覧!$N$3:$N$62,C$3,案件一覧!$E$3:$E$62,"&lt;="&amp;$A163,案件一覧!$F$3:$F$62,"&gt;"&amp;$A163,案件一覧!$C$3:$C$62,"&lt;&gt;キャンセル")&gt;1," ◆重複!",""))</f>
        <v/>
      </c>
      <c r="D163" s="18" t="str">
        <f aca="false">IF(COUNTIFS(案件一覧!$N$3:$N$62,D$3,案件一覧!$E$3:$E$62,"&lt;="&amp;$A163,案件一覧!$F$3:$F$62,"&gt;"&amp;$A163,案件一覧!$C$3:$C$62,"&lt;&gt;キャンセル")=0,"",INDEX(案件一覧!$J$3:$J$62,MATCH(1,INDEX((案件一覧!$N$3:$N$62=D$3)*(案件一覧!$E$3:$E$62&lt;=$A163)*(案件一覧!$F$3:$F$62&gt;$A163)*(案件一覧!$C$3:$C$62&lt;&gt;"キャンセル"),0),0))&amp;IF(COUNTIFS(案件一覧!$N$3:$N$62,D$3,案件一覧!$E$3:$E$62,"&lt;="&amp;$A163,案件一覧!$F$3:$F$62,"&gt;"&amp;$A163,案件一覧!$C$3:$C$62,"&lt;&gt;キャンセル")&gt;1," ◆重複!",""))</f>
        <v/>
      </c>
      <c r="E163" s="18" t="str">
        <f aca="false">IF(COUNTIFS(案件一覧!$N$3:$N$62,E$3,案件一覧!$E$3:$E$62,"&lt;="&amp;$A163,案件一覧!$F$3:$F$62,"&gt;"&amp;$A163,案件一覧!$C$3:$C$62,"&lt;&gt;キャンセル")=0,"",INDEX(案件一覧!$J$3:$J$62,MATCH(1,INDEX((案件一覧!$N$3:$N$62=E$3)*(案件一覧!$E$3:$E$62&lt;=$A163)*(案件一覧!$F$3:$F$62&gt;$A163)*(案件一覧!$C$3:$C$62&lt;&gt;"キャンセル"),0),0))&amp;IF(COUNTIFS(案件一覧!$N$3:$N$62,E$3,案件一覧!$E$3:$E$62,"&lt;="&amp;$A163,案件一覧!$F$3:$F$62,"&gt;"&amp;$A163,案件一覧!$C$3:$C$62,"&lt;&gt;キャンセル")&gt;1," ◆重複!",""))</f>
        <v/>
      </c>
      <c r="F163" s="18" t="str">
        <f aca="false">IF(COUNTIFS(案件一覧!$N$3:$N$62,F$3,案件一覧!$E$3:$E$62,"&lt;="&amp;$A163,案件一覧!$F$3:$F$62,"&gt;"&amp;$A163,案件一覧!$C$3:$C$62,"&lt;&gt;キャンセル")=0,"",INDEX(案件一覧!$J$3:$J$62,MATCH(1,INDEX((案件一覧!$N$3:$N$62=F$3)*(案件一覧!$E$3:$E$62&lt;=$A163)*(案件一覧!$F$3:$F$62&gt;$A163)*(案件一覧!$C$3:$C$62&lt;&gt;"キャンセル"),0),0))&amp;IF(COUNTIFS(案件一覧!$N$3:$N$62,F$3,案件一覧!$E$3:$E$62,"&lt;="&amp;$A163,案件一覧!$F$3:$F$62,"&gt;"&amp;$A163,案件一覧!$C$3:$C$62,"&lt;&gt;キャンセル")&gt;1," ◆重複!",""))</f>
        <v/>
      </c>
      <c r="G163" s="18" t="str">
        <f aca="false">IF(COUNTIFS(案件一覧!$N$3:$N$62,G$3,案件一覧!$E$3:$E$62,"&lt;="&amp;$A163,案件一覧!$F$3:$F$62,"&gt;"&amp;$A163,案件一覧!$C$3:$C$62,"&lt;&gt;キャンセル")=0,"",INDEX(案件一覧!$J$3:$J$62,MATCH(1,INDEX((案件一覧!$N$3:$N$62=G$3)*(案件一覧!$E$3:$E$62&lt;=$A163)*(案件一覧!$F$3:$F$62&gt;$A163)*(案件一覧!$C$3:$C$62&lt;&gt;"キャンセル"),0),0))&amp;IF(COUNTIFS(案件一覧!$N$3:$N$62,G$3,案件一覧!$E$3:$E$62,"&lt;="&amp;$A163,案件一覧!$F$3:$F$62,"&gt;"&amp;$A163,案件一覧!$C$3:$C$62,"&lt;&gt;キャンセル")&gt;1," ◆重複!",""))</f>
        <v/>
      </c>
      <c r="H163" s="18" t="str">
        <f aca="false">IF(COUNTIFS(案件一覧!$N$3:$N$62,H$3,案件一覧!$E$3:$E$62,"&lt;="&amp;$A163,案件一覧!$F$3:$F$62,"&gt;"&amp;$A163,案件一覧!$C$3:$C$62,"&lt;&gt;キャンセル")=0,"",INDEX(案件一覧!$J$3:$J$62,MATCH(1,INDEX((案件一覧!$N$3:$N$62=H$3)*(案件一覧!$E$3:$E$62&lt;=$A163)*(案件一覧!$F$3:$F$62&gt;$A163)*(案件一覧!$C$3:$C$62&lt;&gt;"キャンセル"),0),0))&amp;IF(COUNTIFS(案件一覧!$N$3:$N$62,H$3,案件一覧!$E$3:$E$62,"&lt;="&amp;$A163,案件一覧!$F$3:$F$62,"&gt;"&amp;$A163,案件一覧!$C$3:$C$62,"&lt;&gt;キャンセル")&gt;1," ◆重複!",""))</f>
        <v/>
      </c>
    </row>
    <row r="164" customFormat="false" ht="15" hidden="false" customHeight="false" outlineLevel="0" collapsed="false">
      <c r="A164" s="16" t="n">
        <v>46364</v>
      </c>
      <c r="B164" s="17" t="s">
        <v>48</v>
      </c>
      <c r="C164" s="18" t="str">
        <f aca="false">IF(COUNTIFS(案件一覧!$N$3:$N$62,C$3,案件一覧!$E$3:$E$62,"&lt;="&amp;$A164,案件一覧!$F$3:$F$62,"&gt;"&amp;$A164,案件一覧!$C$3:$C$62,"&lt;&gt;キャンセル")=0,"",INDEX(案件一覧!$J$3:$J$62,MATCH(1,INDEX((案件一覧!$N$3:$N$62=C$3)*(案件一覧!$E$3:$E$62&lt;=$A164)*(案件一覧!$F$3:$F$62&gt;$A164)*(案件一覧!$C$3:$C$62&lt;&gt;"キャンセル"),0),0))&amp;IF(COUNTIFS(案件一覧!$N$3:$N$62,C$3,案件一覧!$E$3:$E$62,"&lt;="&amp;$A164,案件一覧!$F$3:$F$62,"&gt;"&amp;$A164,案件一覧!$C$3:$C$62,"&lt;&gt;キャンセル")&gt;1," ◆重複!",""))</f>
        <v/>
      </c>
      <c r="D164" s="18" t="str">
        <f aca="false">IF(COUNTIFS(案件一覧!$N$3:$N$62,D$3,案件一覧!$E$3:$E$62,"&lt;="&amp;$A164,案件一覧!$F$3:$F$62,"&gt;"&amp;$A164,案件一覧!$C$3:$C$62,"&lt;&gt;キャンセル")=0,"",INDEX(案件一覧!$J$3:$J$62,MATCH(1,INDEX((案件一覧!$N$3:$N$62=D$3)*(案件一覧!$E$3:$E$62&lt;=$A164)*(案件一覧!$F$3:$F$62&gt;$A164)*(案件一覧!$C$3:$C$62&lt;&gt;"キャンセル"),0),0))&amp;IF(COUNTIFS(案件一覧!$N$3:$N$62,D$3,案件一覧!$E$3:$E$62,"&lt;="&amp;$A164,案件一覧!$F$3:$F$62,"&gt;"&amp;$A164,案件一覧!$C$3:$C$62,"&lt;&gt;キャンセル")&gt;1," ◆重複!",""))</f>
        <v/>
      </c>
      <c r="E164" s="18" t="str">
        <f aca="false">IF(COUNTIFS(案件一覧!$N$3:$N$62,E$3,案件一覧!$E$3:$E$62,"&lt;="&amp;$A164,案件一覧!$F$3:$F$62,"&gt;"&amp;$A164,案件一覧!$C$3:$C$62,"&lt;&gt;キャンセル")=0,"",INDEX(案件一覧!$J$3:$J$62,MATCH(1,INDEX((案件一覧!$N$3:$N$62=E$3)*(案件一覧!$E$3:$E$62&lt;=$A164)*(案件一覧!$F$3:$F$62&gt;$A164)*(案件一覧!$C$3:$C$62&lt;&gt;"キャンセル"),0),0))&amp;IF(COUNTIFS(案件一覧!$N$3:$N$62,E$3,案件一覧!$E$3:$E$62,"&lt;="&amp;$A164,案件一覧!$F$3:$F$62,"&gt;"&amp;$A164,案件一覧!$C$3:$C$62,"&lt;&gt;キャンセル")&gt;1," ◆重複!",""))</f>
        <v/>
      </c>
      <c r="F164" s="18" t="str">
        <f aca="false">IF(COUNTIFS(案件一覧!$N$3:$N$62,F$3,案件一覧!$E$3:$E$62,"&lt;="&amp;$A164,案件一覧!$F$3:$F$62,"&gt;"&amp;$A164,案件一覧!$C$3:$C$62,"&lt;&gt;キャンセル")=0,"",INDEX(案件一覧!$J$3:$J$62,MATCH(1,INDEX((案件一覧!$N$3:$N$62=F$3)*(案件一覧!$E$3:$E$62&lt;=$A164)*(案件一覧!$F$3:$F$62&gt;$A164)*(案件一覧!$C$3:$C$62&lt;&gt;"キャンセル"),0),0))&amp;IF(COUNTIFS(案件一覧!$N$3:$N$62,F$3,案件一覧!$E$3:$E$62,"&lt;="&amp;$A164,案件一覧!$F$3:$F$62,"&gt;"&amp;$A164,案件一覧!$C$3:$C$62,"&lt;&gt;キャンセル")&gt;1," ◆重複!",""))</f>
        <v/>
      </c>
      <c r="G164" s="18" t="str">
        <f aca="false">IF(COUNTIFS(案件一覧!$N$3:$N$62,G$3,案件一覧!$E$3:$E$62,"&lt;="&amp;$A164,案件一覧!$F$3:$F$62,"&gt;"&amp;$A164,案件一覧!$C$3:$C$62,"&lt;&gt;キャンセル")=0,"",INDEX(案件一覧!$J$3:$J$62,MATCH(1,INDEX((案件一覧!$N$3:$N$62=G$3)*(案件一覧!$E$3:$E$62&lt;=$A164)*(案件一覧!$F$3:$F$62&gt;$A164)*(案件一覧!$C$3:$C$62&lt;&gt;"キャンセル"),0),0))&amp;IF(COUNTIFS(案件一覧!$N$3:$N$62,G$3,案件一覧!$E$3:$E$62,"&lt;="&amp;$A164,案件一覧!$F$3:$F$62,"&gt;"&amp;$A164,案件一覧!$C$3:$C$62,"&lt;&gt;キャンセル")&gt;1," ◆重複!",""))</f>
        <v/>
      </c>
      <c r="H164" s="18" t="str">
        <f aca="false">IF(COUNTIFS(案件一覧!$N$3:$N$62,H$3,案件一覧!$E$3:$E$62,"&lt;="&amp;$A164,案件一覧!$F$3:$F$62,"&gt;"&amp;$A164,案件一覧!$C$3:$C$62,"&lt;&gt;キャンセル")=0,"",INDEX(案件一覧!$J$3:$J$62,MATCH(1,INDEX((案件一覧!$N$3:$N$62=H$3)*(案件一覧!$E$3:$E$62&lt;=$A164)*(案件一覧!$F$3:$F$62&gt;$A164)*(案件一覧!$C$3:$C$62&lt;&gt;"キャンセル"),0),0))&amp;IF(COUNTIFS(案件一覧!$N$3:$N$62,H$3,案件一覧!$E$3:$E$62,"&lt;="&amp;$A164,案件一覧!$F$3:$F$62,"&gt;"&amp;$A164,案件一覧!$C$3:$C$62,"&lt;&gt;キャンセル")&gt;1," ◆重複!",""))</f>
        <v/>
      </c>
    </row>
    <row r="165" customFormat="false" ht="15" hidden="false" customHeight="false" outlineLevel="0" collapsed="false">
      <c r="A165" s="16" t="n">
        <v>46365</v>
      </c>
      <c r="B165" s="17" t="s">
        <v>42</v>
      </c>
      <c r="C165" s="18" t="str">
        <f aca="false">IF(COUNTIFS(案件一覧!$N$3:$N$62,C$3,案件一覧!$E$3:$E$62,"&lt;="&amp;$A165,案件一覧!$F$3:$F$62,"&gt;"&amp;$A165,案件一覧!$C$3:$C$62,"&lt;&gt;キャンセル")=0,"",INDEX(案件一覧!$J$3:$J$62,MATCH(1,INDEX((案件一覧!$N$3:$N$62=C$3)*(案件一覧!$E$3:$E$62&lt;=$A165)*(案件一覧!$F$3:$F$62&gt;$A165)*(案件一覧!$C$3:$C$62&lt;&gt;"キャンセル"),0),0))&amp;IF(COUNTIFS(案件一覧!$N$3:$N$62,C$3,案件一覧!$E$3:$E$62,"&lt;="&amp;$A165,案件一覧!$F$3:$F$62,"&gt;"&amp;$A165,案件一覧!$C$3:$C$62,"&lt;&gt;キャンセル")&gt;1," ◆重複!",""))</f>
        <v/>
      </c>
      <c r="D165" s="18" t="str">
        <f aca="false">IF(COUNTIFS(案件一覧!$N$3:$N$62,D$3,案件一覧!$E$3:$E$62,"&lt;="&amp;$A165,案件一覧!$F$3:$F$62,"&gt;"&amp;$A165,案件一覧!$C$3:$C$62,"&lt;&gt;キャンセル")=0,"",INDEX(案件一覧!$J$3:$J$62,MATCH(1,INDEX((案件一覧!$N$3:$N$62=D$3)*(案件一覧!$E$3:$E$62&lt;=$A165)*(案件一覧!$F$3:$F$62&gt;$A165)*(案件一覧!$C$3:$C$62&lt;&gt;"キャンセル"),0),0))&amp;IF(COUNTIFS(案件一覧!$N$3:$N$62,D$3,案件一覧!$E$3:$E$62,"&lt;="&amp;$A165,案件一覧!$F$3:$F$62,"&gt;"&amp;$A165,案件一覧!$C$3:$C$62,"&lt;&gt;キャンセル")&gt;1," ◆重複!",""))</f>
        <v/>
      </c>
      <c r="E165" s="18" t="str">
        <f aca="false">IF(COUNTIFS(案件一覧!$N$3:$N$62,E$3,案件一覧!$E$3:$E$62,"&lt;="&amp;$A165,案件一覧!$F$3:$F$62,"&gt;"&amp;$A165,案件一覧!$C$3:$C$62,"&lt;&gt;キャンセル")=0,"",INDEX(案件一覧!$J$3:$J$62,MATCH(1,INDEX((案件一覧!$N$3:$N$62=E$3)*(案件一覧!$E$3:$E$62&lt;=$A165)*(案件一覧!$F$3:$F$62&gt;$A165)*(案件一覧!$C$3:$C$62&lt;&gt;"キャンセル"),0),0))&amp;IF(COUNTIFS(案件一覧!$N$3:$N$62,E$3,案件一覧!$E$3:$E$62,"&lt;="&amp;$A165,案件一覧!$F$3:$F$62,"&gt;"&amp;$A165,案件一覧!$C$3:$C$62,"&lt;&gt;キャンセル")&gt;1," ◆重複!",""))</f>
        <v/>
      </c>
      <c r="F165" s="18" t="str">
        <f aca="false">IF(COUNTIFS(案件一覧!$N$3:$N$62,F$3,案件一覧!$E$3:$E$62,"&lt;="&amp;$A165,案件一覧!$F$3:$F$62,"&gt;"&amp;$A165,案件一覧!$C$3:$C$62,"&lt;&gt;キャンセル")=0,"",INDEX(案件一覧!$J$3:$J$62,MATCH(1,INDEX((案件一覧!$N$3:$N$62=F$3)*(案件一覧!$E$3:$E$62&lt;=$A165)*(案件一覧!$F$3:$F$62&gt;$A165)*(案件一覧!$C$3:$C$62&lt;&gt;"キャンセル"),0),0))&amp;IF(COUNTIFS(案件一覧!$N$3:$N$62,F$3,案件一覧!$E$3:$E$62,"&lt;="&amp;$A165,案件一覧!$F$3:$F$62,"&gt;"&amp;$A165,案件一覧!$C$3:$C$62,"&lt;&gt;キャンセル")&gt;1," ◆重複!",""))</f>
        <v/>
      </c>
      <c r="G165" s="18" t="str">
        <f aca="false">IF(COUNTIFS(案件一覧!$N$3:$N$62,G$3,案件一覧!$E$3:$E$62,"&lt;="&amp;$A165,案件一覧!$F$3:$F$62,"&gt;"&amp;$A165,案件一覧!$C$3:$C$62,"&lt;&gt;キャンセル")=0,"",INDEX(案件一覧!$J$3:$J$62,MATCH(1,INDEX((案件一覧!$N$3:$N$62=G$3)*(案件一覧!$E$3:$E$62&lt;=$A165)*(案件一覧!$F$3:$F$62&gt;$A165)*(案件一覧!$C$3:$C$62&lt;&gt;"キャンセル"),0),0))&amp;IF(COUNTIFS(案件一覧!$N$3:$N$62,G$3,案件一覧!$E$3:$E$62,"&lt;="&amp;$A165,案件一覧!$F$3:$F$62,"&gt;"&amp;$A165,案件一覧!$C$3:$C$62,"&lt;&gt;キャンセル")&gt;1," ◆重複!",""))</f>
        <v/>
      </c>
      <c r="H165" s="18" t="str">
        <f aca="false">IF(COUNTIFS(案件一覧!$N$3:$N$62,H$3,案件一覧!$E$3:$E$62,"&lt;="&amp;$A165,案件一覧!$F$3:$F$62,"&gt;"&amp;$A165,案件一覧!$C$3:$C$62,"&lt;&gt;キャンセル")=0,"",INDEX(案件一覧!$J$3:$J$62,MATCH(1,INDEX((案件一覧!$N$3:$N$62=H$3)*(案件一覧!$E$3:$E$62&lt;=$A165)*(案件一覧!$F$3:$F$62&gt;$A165)*(案件一覧!$C$3:$C$62&lt;&gt;"キャンセル"),0),0))&amp;IF(COUNTIFS(案件一覧!$N$3:$N$62,H$3,案件一覧!$E$3:$E$62,"&lt;="&amp;$A165,案件一覧!$F$3:$F$62,"&gt;"&amp;$A165,案件一覧!$C$3:$C$62,"&lt;&gt;キャンセル")&gt;1," ◆重複!",""))</f>
        <v/>
      </c>
    </row>
    <row r="166" customFormat="false" ht="15" hidden="false" customHeight="false" outlineLevel="0" collapsed="false">
      <c r="A166" s="16" t="n">
        <v>46366</v>
      </c>
      <c r="B166" s="17" t="s">
        <v>43</v>
      </c>
      <c r="C166" s="18" t="str">
        <f aca="false">IF(COUNTIFS(案件一覧!$N$3:$N$62,C$3,案件一覧!$E$3:$E$62,"&lt;="&amp;$A166,案件一覧!$F$3:$F$62,"&gt;"&amp;$A166,案件一覧!$C$3:$C$62,"&lt;&gt;キャンセル")=0,"",INDEX(案件一覧!$J$3:$J$62,MATCH(1,INDEX((案件一覧!$N$3:$N$62=C$3)*(案件一覧!$E$3:$E$62&lt;=$A166)*(案件一覧!$F$3:$F$62&gt;$A166)*(案件一覧!$C$3:$C$62&lt;&gt;"キャンセル"),0),0))&amp;IF(COUNTIFS(案件一覧!$N$3:$N$62,C$3,案件一覧!$E$3:$E$62,"&lt;="&amp;$A166,案件一覧!$F$3:$F$62,"&gt;"&amp;$A166,案件一覧!$C$3:$C$62,"&lt;&gt;キャンセル")&gt;1," ◆重複!",""))</f>
        <v/>
      </c>
      <c r="D166" s="18" t="str">
        <f aca="false">IF(COUNTIFS(案件一覧!$N$3:$N$62,D$3,案件一覧!$E$3:$E$62,"&lt;="&amp;$A166,案件一覧!$F$3:$F$62,"&gt;"&amp;$A166,案件一覧!$C$3:$C$62,"&lt;&gt;キャンセル")=0,"",INDEX(案件一覧!$J$3:$J$62,MATCH(1,INDEX((案件一覧!$N$3:$N$62=D$3)*(案件一覧!$E$3:$E$62&lt;=$A166)*(案件一覧!$F$3:$F$62&gt;$A166)*(案件一覧!$C$3:$C$62&lt;&gt;"キャンセル"),0),0))&amp;IF(COUNTIFS(案件一覧!$N$3:$N$62,D$3,案件一覧!$E$3:$E$62,"&lt;="&amp;$A166,案件一覧!$F$3:$F$62,"&gt;"&amp;$A166,案件一覧!$C$3:$C$62,"&lt;&gt;キャンセル")&gt;1," ◆重複!",""))</f>
        <v/>
      </c>
      <c r="E166" s="18" t="str">
        <f aca="false">IF(COUNTIFS(案件一覧!$N$3:$N$62,E$3,案件一覧!$E$3:$E$62,"&lt;="&amp;$A166,案件一覧!$F$3:$F$62,"&gt;"&amp;$A166,案件一覧!$C$3:$C$62,"&lt;&gt;キャンセル")=0,"",INDEX(案件一覧!$J$3:$J$62,MATCH(1,INDEX((案件一覧!$N$3:$N$62=E$3)*(案件一覧!$E$3:$E$62&lt;=$A166)*(案件一覧!$F$3:$F$62&gt;$A166)*(案件一覧!$C$3:$C$62&lt;&gt;"キャンセル"),0),0))&amp;IF(COUNTIFS(案件一覧!$N$3:$N$62,E$3,案件一覧!$E$3:$E$62,"&lt;="&amp;$A166,案件一覧!$F$3:$F$62,"&gt;"&amp;$A166,案件一覧!$C$3:$C$62,"&lt;&gt;キャンセル")&gt;1," ◆重複!",""))</f>
        <v/>
      </c>
      <c r="F166" s="18" t="str">
        <f aca="false">IF(COUNTIFS(案件一覧!$N$3:$N$62,F$3,案件一覧!$E$3:$E$62,"&lt;="&amp;$A166,案件一覧!$F$3:$F$62,"&gt;"&amp;$A166,案件一覧!$C$3:$C$62,"&lt;&gt;キャンセル")=0,"",INDEX(案件一覧!$J$3:$J$62,MATCH(1,INDEX((案件一覧!$N$3:$N$62=F$3)*(案件一覧!$E$3:$E$62&lt;=$A166)*(案件一覧!$F$3:$F$62&gt;$A166)*(案件一覧!$C$3:$C$62&lt;&gt;"キャンセル"),0),0))&amp;IF(COUNTIFS(案件一覧!$N$3:$N$62,F$3,案件一覧!$E$3:$E$62,"&lt;="&amp;$A166,案件一覧!$F$3:$F$62,"&gt;"&amp;$A166,案件一覧!$C$3:$C$62,"&lt;&gt;キャンセル")&gt;1," ◆重複!",""))</f>
        <v/>
      </c>
      <c r="G166" s="18" t="str">
        <f aca="false">IF(COUNTIFS(案件一覧!$N$3:$N$62,G$3,案件一覧!$E$3:$E$62,"&lt;="&amp;$A166,案件一覧!$F$3:$F$62,"&gt;"&amp;$A166,案件一覧!$C$3:$C$62,"&lt;&gt;キャンセル")=0,"",INDEX(案件一覧!$J$3:$J$62,MATCH(1,INDEX((案件一覧!$N$3:$N$62=G$3)*(案件一覧!$E$3:$E$62&lt;=$A166)*(案件一覧!$F$3:$F$62&gt;$A166)*(案件一覧!$C$3:$C$62&lt;&gt;"キャンセル"),0),0))&amp;IF(COUNTIFS(案件一覧!$N$3:$N$62,G$3,案件一覧!$E$3:$E$62,"&lt;="&amp;$A166,案件一覧!$F$3:$F$62,"&gt;"&amp;$A166,案件一覧!$C$3:$C$62,"&lt;&gt;キャンセル")&gt;1," ◆重複!",""))</f>
        <v/>
      </c>
      <c r="H166" s="18" t="str">
        <f aca="false">IF(COUNTIFS(案件一覧!$N$3:$N$62,H$3,案件一覧!$E$3:$E$62,"&lt;="&amp;$A166,案件一覧!$F$3:$F$62,"&gt;"&amp;$A166,案件一覧!$C$3:$C$62,"&lt;&gt;キャンセル")=0,"",INDEX(案件一覧!$J$3:$J$62,MATCH(1,INDEX((案件一覧!$N$3:$N$62=H$3)*(案件一覧!$E$3:$E$62&lt;=$A166)*(案件一覧!$F$3:$F$62&gt;$A166)*(案件一覧!$C$3:$C$62&lt;&gt;"キャンセル"),0),0))&amp;IF(COUNTIFS(案件一覧!$N$3:$N$62,H$3,案件一覧!$E$3:$E$62,"&lt;="&amp;$A166,案件一覧!$F$3:$F$62,"&gt;"&amp;$A166,案件一覧!$C$3:$C$62,"&lt;&gt;キャンセル")&gt;1," ◆重複!",""))</f>
        <v/>
      </c>
    </row>
    <row r="167" customFormat="false" ht="15" hidden="false" customHeight="false" outlineLevel="0" collapsed="false">
      <c r="A167" s="16" t="n">
        <v>46367</v>
      </c>
      <c r="B167" s="17" t="s">
        <v>44</v>
      </c>
      <c r="C167" s="18" t="str">
        <f aca="false">IF(COUNTIFS(案件一覧!$N$3:$N$62,C$3,案件一覧!$E$3:$E$62,"&lt;="&amp;$A167,案件一覧!$F$3:$F$62,"&gt;"&amp;$A167,案件一覧!$C$3:$C$62,"&lt;&gt;キャンセル")=0,"",INDEX(案件一覧!$J$3:$J$62,MATCH(1,INDEX((案件一覧!$N$3:$N$62=C$3)*(案件一覧!$E$3:$E$62&lt;=$A167)*(案件一覧!$F$3:$F$62&gt;$A167)*(案件一覧!$C$3:$C$62&lt;&gt;"キャンセル"),0),0))&amp;IF(COUNTIFS(案件一覧!$N$3:$N$62,C$3,案件一覧!$E$3:$E$62,"&lt;="&amp;$A167,案件一覧!$F$3:$F$62,"&gt;"&amp;$A167,案件一覧!$C$3:$C$62,"&lt;&gt;キャンセル")&gt;1," ◆重複!",""))</f>
        <v/>
      </c>
      <c r="D167" s="18" t="str">
        <f aca="false">IF(COUNTIFS(案件一覧!$N$3:$N$62,D$3,案件一覧!$E$3:$E$62,"&lt;="&amp;$A167,案件一覧!$F$3:$F$62,"&gt;"&amp;$A167,案件一覧!$C$3:$C$62,"&lt;&gt;キャンセル")=0,"",INDEX(案件一覧!$J$3:$J$62,MATCH(1,INDEX((案件一覧!$N$3:$N$62=D$3)*(案件一覧!$E$3:$E$62&lt;=$A167)*(案件一覧!$F$3:$F$62&gt;$A167)*(案件一覧!$C$3:$C$62&lt;&gt;"キャンセル"),0),0))&amp;IF(COUNTIFS(案件一覧!$N$3:$N$62,D$3,案件一覧!$E$3:$E$62,"&lt;="&amp;$A167,案件一覧!$F$3:$F$62,"&gt;"&amp;$A167,案件一覧!$C$3:$C$62,"&lt;&gt;キャンセル")&gt;1," ◆重複!",""))</f>
        <v/>
      </c>
      <c r="E167" s="18" t="str">
        <f aca="false">IF(COUNTIFS(案件一覧!$N$3:$N$62,E$3,案件一覧!$E$3:$E$62,"&lt;="&amp;$A167,案件一覧!$F$3:$F$62,"&gt;"&amp;$A167,案件一覧!$C$3:$C$62,"&lt;&gt;キャンセル")=0,"",INDEX(案件一覧!$J$3:$J$62,MATCH(1,INDEX((案件一覧!$N$3:$N$62=E$3)*(案件一覧!$E$3:$E$62&lt;=$A167)*(案件一覧!$F$3:$F$62&gt;$A167)*(案件一覧!$C$3:$C$62&lt;&gt;"キャンセル"),0),0))&amp;IF(COUNTIFS(案件一覧!$N$3:$N$62,E$3,案件一覧!$E$3:$E$62,"&lt;="&amp;$A167,案件一覧!$F$3:$F$62,"&gt;"&amp;$A167,案件一覧!$C$3:$C$62,"&lt;&gt;キャンセル")&gt;1," ◆重複!",""))</f>
        <v/>
      </c>
      <c r="F167" s="18" t="str">
        <f aca="false">IF(COUNTIFS(案件一覧!$N$3:$N$62,F$3,案件一覧!$E$3:$E$62,"&lt;="&amp;$A167,案件一覧!$F$3:$F$62,"&gt;"&amp;$A167,案件一覧!$C$3:$C$62,"&lt;&gt;キャンセル")=0,"",INDEX(案件一覧!$J$3:$J$62,MATCH(1,INDEX((案件一覧!$N$3:$N$62=F$3)*(案件一覧!$E$3:$E$62&lt;=$A167)*(案件一覧!$F$3:$F$62&gt;$A167)*(案件一覧!$C$3:$C$62&lt;&gt;"キャンセル"),0),0))&amp;IF(COUNTIFS(案件一覧!$N$3:$N$62,F$3,案件一覧!$E$3:$E$62,"&lt;="&amp;$A167,案件一覧!$F$3:$F$62,"&gt;"&amp;$A167,案件一覧!$C$3:$C$62,"&lt;&gt;キャンセル")&gt;1," ◆重複!",""))</f>
        <v/>
      </c>
      <c r="G167" s="18" t="str">
        <f aca="false">IF(COUNTIFS(案件一覧!$N$3:$N$62,G$3,案件一覧!$E$3:$E$62,"&lt;="&amp;$A167,案件一覧!$F$3:$F$62,"&gt;"&amp;$A167,案件一覧!$C$3:$C$62,"&lt;&gt;キャンセル")=0,"",INDEX(案件一覧!$J$3:$J$62,MATCH(1,INDEX((案件一覧!$N$3:$N$62=G$3)*(案件一覧!$E$3:$E$62&lt;=$A167)*(案件一覧!$F$3:$F$62&gt;$A167)*(案件一覧!$C$3:$C$62&lt;&gt;"キャンセル"),0),0))&amp;IF(COUNTIFS(案件一覧!$N$3:$N$62,G$3,案件一覧!$E$3:$E$62,"&lt;="&amp;$A167,案件一覧!$F$3:$F$62,"&gt;"&amp;$A167,案件一覧!$C$3:$C$62,"&lt;&gt;キャンセル")&gt;1," ◆重複!",""))</f>
        <v/>
      </c>
      <c r="H167" s="18" t="str">
        <f aca="false">IF(COUNTIFS(案件一覧!$N$3:$N$62,H$3,案件一覧!$E$3:$E$62,"&lt;="&amp;$A167,案件一覧!$F$3:$F$62,"&gt;"&amp;$A167,案件一覧!$C$3:$C$62,"&lt;&gt;キャンセル")=0,"",INDEX(案件一覧!$J$3:$J$62,MATCH(1,INDEX((案件一覧!$N$3:$N$62=H$3)*(案件一覧!$E$3:$E$62&lt;=$A167)*(案件一覧!$F$3:$F$62&gt;$A167)*(案件一覧!$C$3:$C$62&lt;&gt;"キャンセル"),0),0))&amp;IF(COUNTIFS(案件一覧!$N$3:$N$62,H$3,案件一覧!$E$3:$E$62,"&lt;="&amp;$A167,案件一覧!$F$3:$F$62,"&gt;"&amp;$A167,案件一覧!$C$3:$C$62,"&lt;&gt;キャンセル")&gt;1," ◆重複!",""))</f>
        <v/>
      </c>
    </row>
    <row r="168" customFormat="false" ht="15" hidden="false" customHeight="false" outlineLevel="0" collapsed="false">
      <c r="A168" s="19" t="n">
        <v>46368</v>
      </c>
      <c r="B168" s="20" t="s">
        <v>45</v>
      </c>
      <c r="C168" s="21" t="str">
        <f aca="false">IF(COUNTIFS(案件一覧!$N$3:$N$62,C$3,案件一覧!$E$3:$E$62,"&lt;="&amp;$A168,案件一覧!$F$3:$F$62,"&gt;"&amp;$A168,案件一覧!$C$3:$C$62,"&lt;&gt;キャンセル")=0,"",INDEX(案件一覧!$J$3:$J$62,MATCH(1,INDEX((案件一覧!$N$3:$N$62=C$3)*(案件一覧!$E$3:$E$62&lt;=$A168)*(案件一覧!$F$3:$F$62&gt;$A168)*(案件一覧!$C$3:$C$62&lt;&gt;"キャンセル"),0),0))&amp;IF(COUNTIFS(案件一覧!$N$3:$N$62,C$3,案件一覧!$E$3:$E$62,"&lt;="&amp;$A168,案件一覧!$F$3:$F$62,"&gt;"&amp;$A168,案件一覧!$C$3:$C$62,"&lt;&gt;キャンセル")&gt;1," ◆重複!",""))</f>
        <v/>
      </c>
      <c r="D168" s="21" t="str">
        <f aca="false">IF(COUNTIFS(案件一覧!$N$3:$N$62,D$3,案件一覧!$E$3:$E$62,"&lt;="&amp;$A168,案件一覧!$F$3:$F$62,"&gt;"&amp;$A168,案件一覧!$C$3:$C$62,"&lt;&gt;キャンセル")=0,"",INDEX(案件一覧!$J$3:$J$62,MATCH(1,INDEX((案件一覧!$N$3:$N$62=D$3)*(案件一覧!$E$3:$E$62&lt;=$A168)*(案件一覧!$F$3:$F$62&gt;$A168)*(案件一覧!$C$3:$C$62&lt;&gt;"キャンセル"),0),0))&amp;IF(COUNTIFS(案件一覧!$N$3:$N$62,D$3,案件一覧!$E$3:$E$62,"&lt;="&amp;$A168,案件一覧!$F$3:$F$62,"&gt;"&amp;$A168,案件一覧!$C$3:$C$62,"&lt;&gt;キャンセル")&gt;1," ◆重複!",""))</f>
        <v/>
      </c>
      <c r="E168" s="21" t="str">
        <f aca="false">IF(COUNTIFS(案件一覧!$N$3:$N$62,E$3,案件一覧!$E$3:$E$62,"&lt;="&amp;$A168,案件一覧!$F$3:$F$62,"&gt;"&amp;$A168,案件一覧!$C$3:$C$62,"&lt;&gt;キャンセル")=0,"",INDEX(案件一覧!$J$3:$J$62,MATCH(1,INDEX((案件一覧!$N$3:$N$62=E$3)*(案件一覧!$E$3:$E$62&lt;=$A168)*(案件一覧!$F$3:$F$62&gt;$A168)*(案件一覧!$C$3:$C$62&lt;&gt;"キャンセル"),0),0))&amp;IF(COUNTIFS(案件一覧!$N$3:$N$62,E$3,案件一覧!$E$3:$E$62,"&lt;="&amp;$A168,案件一覧!$F$3:$F$62,"&gt;"&amp;$A168,案件一覧!$C$3:$C$62,"&lt;&gt;キャンセル")&gt;1," ◆重複!",""))</f>
        <v/>
      </c>
      <c r="F168" s="21" t="str">
        <f aca="false">IF(COUNTIFS(案件一覧!$N$3:$N$62,F$3,案件一覧!$E$3:$E$62,"&lt;="&amp;$A168,案件一覧!$F$3:$F$62,"&gt;"&amp;$A168,案件一覧!$C$3:$C$62,"&lt;&gt;キャンセル")=0,"",INDEX(案件一覧!$J$3:$J$62,MATCH(1,INDEX((案件一覧!$N$3:$N$62=F$3)*(案件一覧!$E$3:$E$62&lt;=$A168)*(案件一覧!$F$3:$F$62&gt;$A168)*(案件一覧!$C$3:$C$62&lt;&gt;"キャンセル"),0),0))&amp;IF(COUNTIFS(案件一覧!$N$3:$N$62,F$3,案件一覧!$E$3:$E$62,"&lt;="&amp;$A168,案件一覧!$F$3:$F$62,"&gt;"&amp;$A168,案件一覧!$C$3:$C$62,"&lt;&gt;キャンセル")&gt;1," ◆重複!",""))</f>
        <v/>
      </c>
      <c r="G168" s="21" t="str">
        <f aca="false">IF(COUNTIFS(案件一覧!$N$3:$N$62,G$3,案件一覧!$E$3:$E$62,"&lt;="&amp;$A168,案件一覧!$F$3:$F$62,"&gt;"&amp;$A168,案件一覧!$C$3:$C$62,"&lt;&gt;キャンセル")=0,"",INDEX(案件一覧!$J$3:$J$62,MATCH(1,INDEX((案件一覧!$N$3:$N$62=G$3)*(案件一覧!$E$3:$E$62&lt;=$A168)*(案件一覧!$F$3:$F$62&gt;$A168)*(案件一覧!$C$3:$C$62&lt;&gt;"キャンセル"),0),0))&amp;IF(COUNTIFS(案件一覧!$N$3:$N$62,G$3,案件一覧!$E$3:$E$62,"&lt;="&amp;$A168,案件一覧!$F$3:$F$62,"&gt;"&amp;$A168,案件一覧!$C$3:$C$62,"&lt;&gt;キャンセル")&gt;1," ◆重複!",""))</f>
        <v/>
      </c>
      <c r="H168" s="21" t="str">
        <f aca="false">IF(COUNTIFS(案件一覧!$N$3:$N$62,H$3,案件一覧!$E$3:$E$62,"&lt;="&amp;$A168,案件一覧!$F$3:$F$62,"&gt;"&amp;$A168,案件一覧!$C$3:$C$62,"&lt;&gt;キャンセル")=0,"",INDEX(案件一覧!$J$3:$J$62,MATCH(1,INDEX((案件一覧!$N$3:$N$62=H$3)*(案件一覧!$E$3:$E$62&lt;=$A168)*(案件一覧!$F$3:$F$62&gt;$A168)*(案件一覧!$C$3:$C$62&lt;&gt;"キャンセル"),0),0))&amp;IF(COUNTIFS(案件一覧!$N$3:$N$62,H$3,案件一覧!$E$3:$E$62,"&lt;="&amp;$A168,案件一覧!$F$3:$F$62,"&gt;"&amp;$A168,案件一覧!$C$3:$C$62,"&lt;&gt;キャンセル")&gt;1," ◆重複!",""))</f>
        <v/>
      </c>
    </row>
    <row r="169" customFormat="false" ht="15" hidden="false" customHeight="false" outlineLevel="0" collapsed="false">
      <c r="A169" s="22" t="n">
        <v>46369</v>
      </c>
      <c r="B169" s="23" t="s">
        <v>46</v>
      </c>
      <c r="C169" s="24" t="str">
        <f aca="false">IF(COUNTIFS(案件一覧!$N$3:$N$62,C$3,案件一覧!$E$3:$E$62,"&lt;="&amp;$A169,案件一覧!$F$3:$F$62,"&gt;"&amp;$A169,案件一覧!$C$3:$C$62,"&lt;&gt;キャンセル")=0,"",INDEX(案件一覧!$J$3:$J$62,MATCH(1,INDEX((案件一覧!$N$3:$N$62=C$3)*(案件一覧!$E$3:$E$62&lt;=$A169)*(案件一覧!$F$3:$F$62&gt;$A169)*(案件一覧!$C$3:$C$62&lt;&gt;"キャンセル"),0),0))&amp;IF(COUNTIFS(案件一覧!$N$3:$N$62,C$3,案件一覧!$E$3:$E$62,"&lt;="&amp;$A169,案件一覧!$F$3:$F$62,"&gt;"&amp;$A169,案件一覧!$C$3:$C$62,"&lt;&gt;キャンセル")&gt;1," ◆重複!",""))</f>
        <v/>
      </c>
      <c r="D169" s="24" t="str">
        <f aca="false">IF(COUNTIFS(案件一覧!$N$3:$N$62,D$3,案件一覧!$E$3:$E$62,"&lt;="&amp;$A169,案件一覧!$F$3:$F$62,"&gt;"&amp;$A169,案件一覧!$C$3:$C$62,"&lt;&gt;キャンセル")=0,"",INDEX(案件一覧!$J$3:$J$62,MATCH(1,INDEX((案件一覧!$N$3:$N$62=D$3)*(案件一覧!$E$3:$E$62&lt;=$A169)*(案件一覧!$F$3:$F$62&gt;$A169)*(案件一覧!$C$3:$C$62&lt;&gt;"キャンセル"),0),0))&amp;IF(COUNTIFS(案件一覧!$N$3:$N$62,D$3,案件一覧!$E$3:$E$62,"&lt;="&amp;$A169,案件一覧!$F$3:$F$62,"&gt;"&amp;$A169,案件一覧!$C$3:$C$62,"&lt;&gt;キャンセル")&gt;1," ◆重複!",""))</f>
        <v/>
      </c>
      <c r="E169" s="24" t="str">
        <f aca="false">IF(COUNTIFS(案件一覧!$N$3:$N$62,E$3,案件一覧!$E$3:$E$62,"&lt;="&amp;$A169,案件一覧!$F$3:$F$62,"&gt;"&amp;$A169,案件一覧!$C$3:$C$62,"&lt;&gt;キャンセル")=0,"",INDEX(案件一覧!$J$3:$J$62,MATCH(1,INDEX((案件一覧!$N$3:$N$62=E$3)*(案件一覧!$E$3:$E$62&lt;=$A169)*(案件一覧!$F$3:$F$62&gt;$A169)*(案件一覧!$C$3:$C$62&lt;&gt;"キャンセル"),0),0))&amp;IF(COUNTIFS(案件一覧!$N$3:$N$62,E$3,案件一覧!$E$3:$E$62,"&lt;="&amp;$A169,案件一覧!$F$3:$F$62,"&gt;"&amp;$A169,案件一覧!$C$3:$C$62,"&lt;&gt;キャンセル")&gt;1," ◆重複!",""))</f>
        <v/>
      </c>
      <c r="F169" s="24" t="str">
        <f aca="false">IF(COUNTIFS(案件一覧!$N$3:$N$62,F$3,案件一覧!$E$3:$E$62,"&lt;="&amp;$A169,案件一覧!$F$3:$F$62,"&gt;"&amp;$A169,案件一覧!$C$3:$C$62,"&lt;&gt;キャンセル")=0,"",INDEX(案件一覧!$J$3:$J$62,MATCH(1,INDEX((案件一覧!$N$3:$N$62=F$3)*(案件一覧!$E$3:$E$62&lt;=$A169)*(案件一覧!$F$3:$F$62&gt;$A169)*(案件一覧!$C$3:$C$62&lt;&gt;"キャンセル"),0),0))&amp;IF(COUNTIFS(案件一覧!$N$3:$N$62,F$3,案件一覧!$E$3:$E$62,"&lt;="&amp;$A169,案件一覧!$F$3:$F$62,"&gt;"&amp;$A169,案件一覧!$C$3:$C$62,"&lt;&gt;キャンセル")&gt;1," ◆重複!",""))</f>
        <v/>
      </c>
      <c r="G169" s="24" t="str">
        <f aca="false">IF(COUNTIFS(案件一覧!$N$3:$N$62,G$3,案件一覧!$E$3:$E$62,"&lt;="&amp;$A169,案件一覧!$F$3:$F$62,"&gt;"&amp;$A169,案件一覧!$C$3:$C$62,"&lt;&gt;キャンセル")=0,"",INDEX(案件一覧!$J$3:$J$62,MATCH(1,INDEX((案件一覧!$N$3:$N$62=G$3)*(案件一覧!$E$3:$E$62&lt;=$A169)*(案件一覧!$F$3:$F$62&gt;$A169)*(案件一覧!$C$3:$C$62&lt;&gt;"キャンセル"),0),0))&amp;IF(COUNTIFS(案件一覧!$N$3:$N$62,G$3,案件一覧!$E$3:$E$62,"&lt;="&amp;$A169,案件一覧!$F$3:$F$62,"&gt;"&amp;$A169,案件一覧!$C$3:$C$62,"&lt;&gt;キャンセル")&gt;1," ◆重複!",""))</f>
        <v/>
      </c>
      <c r="H169" s="24" t="str">
        <f aca="false">IF(COUNTIFS(案件一覧!$N$3:$N$62,H$3,案件一覧!$E$3:$E$62,"&lt;="&amp;$A169,案件一覧!$F$3:$F$62,"&gt;"&amp;$A169,案件一覧!$C$3:$C$62,"&lt;&gt;キャンセル")=0,"",INDEX(案件一覧!$J$3:$J$62,MATCH(1,INDEX((案件一覧!$N$3:$N$62=H$3)*(案件一覧!$E$3:$E$62&lt;=$A169)*(案件一覧!$F$3:$F$62&gt;$A169)*(案件一覧!$C$3:$C$62&lt;&gt;"キャンセル"),0),0))&amp;IF(COUNTIFS(案件一覧!$N$3:$N$62,H$3,案件一覧!$E$3:$E$62,"&lt;="&amp;$A169,案件一覧!$F$3:$F$62,"&gt;"&amp;$A169,案件一覧!$C$3:$C$62,"&lt;&gt;キャンセル")&gt;1," ◆重複!",""))</f>
        <v/>
      </c>
    </row>
    <row r="170" customFormat="false" ht="15" hidden="false" customHeight="false" outlineLevel="0" collapsed="false">
      <c r="A170" s="16" t="n">
        <v>46370</v>
      </c>
      <c r="B170" s="17" t="s">
        <v>47</v>
      </c>
      <c r="C170" s="18" t="str">
        <f aca="false">IF(COUNTIFS(案件一覧!$N$3:$N$62,C$3,案件一覧!$E$3:$E$62,"&lt;="&amp;$A170,案件一覧!$F$3:$F$62,"&gt;"&amp;$A170,案件一覧!$C$3:$C$62,"&lt;&gt;キャンセル")=0,"",INDEX(案件一覧!$J$3:$J$62,MATCH(1,INDEX((案件一覧!$N$3:$N$62=C$3)*(案件一覧!$E$3:$E$62&lt;=$A170)*(案件一覧!$F$3:$F$62&gt;$A170)*(案件一覧!$C$3:$C$62&lt;&gt;"キャンセル"),0),0))&amp;IF(COUNTIFS(案件一覧!$N$3:$N$62,C$3,案件一覧!$E$3:$E$62,"&lt;="&amp;$A170,案件一覧!$F$3:$F$62,"&gt;"&amp;$A170,案件一覧!$C$3:$C$62,"&lt;&gt;キャンセル")&gt;1," ◆重複!",""))</f>
        <v/>
      </c>
      <c r="D170" s="18" t="str">
        <f aca="false">IF(COUNTIFS(案件一覧!$N$3:$N$62,D$3,案件一覧!$E$3:$E$62,"&lt;="&amp;$A170,案件一覧!$F$3:$F$62,"&gt;"&amp;$A170,案件一覧!$C$3:$C$62,"&lt;&gt;キャンセル")=0,"",INDEX(案件一覧!$J$3:$J$62,MATCH(1,INDEX((案件一覧!$N$3:$N$62=D$3)*(案件一覧!$E$3:$E$62&lt;=$A170)*(案件一覧!$F$3:$F$62&gt;$A170)*(案件一覧!$C$3:$C$62&lt;&gt;"キャンセル"),0),0))&amp;IF(COUNTIFS(案件一覧!$N$3:$N$62,D$3,案件一覧!$E$3:$E$62,"&lt;="&amp;$A170,案件一覧!$F$3:$F$62,"&gt;"&amp;$A170,案件一覧!$C$3:$C$62,"&lt;&gt;キャンセル")&gt;1," ◆重複!",""))</f>
        <v/>
      </c>
      <c r="E170" s="18" t="str">
        <f aca="false">IF(COUNTIFS(案件一覧!$N$3:$N$62,E$3,案件一覧!$E$3:$E$62,"&lt;="&amp;$A170,案件一覧!$F$3:$F$62,"&gt;"&amp;$A170,案件一覧!$C$3:$C$62,"&lt;&gt;キャンセル")=0,"",INDEX(案件一覧!$J$3:$J$62,MATCH(1,INDEX((案件一覧!$N$3:$N$62=E$3)*(案件一覧!$E$3:$E$62&lt;=$A170)*(案件一覧!$F$3:$F$62&gt;$A170)*(案件一覧!$C$3:$C$62&lt;&gt;"キャンセル"),0),0))&amp;IF(COUNTIFS(案件一覧!$N$3:$N$62,E$3,案件一覧!$E$3:$E$62,"&lt;="&amp;$A170,案件一覧!$F$3:$F$62,"&gt;"&amp;$A170,案件一覧!$C$3:$C$62,"&lt;&gt;キャンセル")&gt;1," ◆重複!",""))</f>
        <v/>
      </c>
      <c r="F170" s="18" t="str">
        <f aca="false">IF(COUNTIFS(案件一覧!$N$3:$N$62,F$3,案件一覧!$E$3:$E$62,"&lt;="&amp;$A170,案件一覧!$F$3:$F$62,"&gt;"&amp;$A170,案件一覧!$C$3:$C$62,"&lt;&gt;キャンセル")=0,"",INDEX(案件一覧!$J$3:$J$62,MATCH(1,INDEX((案件一覧!$N$3:$N$62=F$3)*(案件一覧!$E$3:$E$62&lt;=$A170)*(案件一覧!$F$3:$F$62&gt;$A170)*(案件一覧!$C$3:$C$62&lt;&gt;"キャンセル"),0),0))&amp;IF(COUNTIFS(案件一覧!$N$3:$N$62,F$3,案件一覧!$E$3:$E$62,"&lt;="&amp;$A170,案件一覧!$F$3:$F$62,"&gt;"&amp;$A170,案件一覧!$C$3:$C$62,"&lt;&gt;キャンセル")&gt;1," ◆重複!",""))</f>
        <v/>
      </c>
      <c r="G170" s="18" t="str">
        <f aca="false">IF(COUNTIFS(案件一覧!$N$3:$N$62,G$3,案件一覧!$E$3:$E$62,"&lt;="&amp;$A170,案件一覧!$F$3:$F$62,"&gt;"&amp;$A170,案件一覧!$C$3:$C$62,"&lt;&gt;キャンセル")=0,"",INDEX(案件一覧!$J$3:$J$62,MATCH(1,INDEX((案件一覧!$N$3:$N$62=G$3)*(案件一覧!$E$3:$E$62&lt;=$A170)*(案件一覧!$F$3:$F$62&gt;$A170)*(案件一覧!$C$3:$C$62&lt;&gt;"キャンセル"),0),0))&amp;IF(COUNTIFS(案件一覧!$N$3:$N$62,G$3,案件一覧!$E$3:$E$62,"&lt;="&amp;$A170,案件一覧!$F$3:$F$62,"&gt;"&amp;$A170,案件一覧!$C$3:$C$62,"&lt;&gt;キャンセル")&gt;1," ◆重複!",""))</f>
        <v/>
      </c>
      <c r="H170" s="18" t="str">
        <f aca="false">IF(COUNTIFS(案件一覧!$N$3:$N$62,H$3,案件一覧!$E$3:$E$62,"&lt;="&amp;$A170,案件一覧!$F$3:$F$62,"&gt;"&amp;$A170,案件一覧!$C$3:$C$62,"&lt;&gt;キャンセル")=0,"",INDEX(案件一覧!$J$3:$J$62,MATCH(1,INDEX((案件一覧!$N$3:$N$62=H$3)*(案件一覧!$E$3:$E$62&lt;=$A170)*(案件一覧!$F$3:$F$62&gt;$A170)*(案件一覧!$C$3:$C$62&lt;&gt;"キャンセル"),0),0))&amp;IF(COUNTIFS(案件一覧!$N$3:$N$62,H$3,案件一覧!$E$3:$E$62,"&lt;="&amp;$A170,案件一覧!$F$3:$F$62,"&gt;"&amp;$A170,案件一覧!$C$3:$C$62,"&lt;&gt;キャンセル")&gt;1," ◆重複!",""))</f>
        <v/>
      </c>
    </row>
    <row r="171" customFormat="false" ht="15" hidden="false" customHeight="false" outlineLevel="0" collapsed="false">
      <c r="A171" s="16" t="n">
        <v>46371</v>
      </c>
      <c r="B171" s="17" t="s">
        <v>48</v>
      </c>
      <c r="C171" s="18" t="str">
        <f aca="false">IF(COUNTIFS(案件一覧!$N$3:$N$62,C$3,案件一覧!$E$3:$E$62,"&lt;="&amp;$A171,案件一覧!$F$3:$F$62,"&gt;"&amp;$A171,案件一覧!$C$3:$C$62,"&lt;&gt;キャンセル")=0,"",INDEX(案件一覧!$J$3:$J$62,MATCH(1,INDEX((案件一覧!$N$3:$N$62=C$3)*(案件一覧!$E$3:$E$62&lt;=$A171)*(案件一覧!$F$3:$F$62&gt;$A171)*(案件一覧!$C$3:$C$62&lt;&gt;"キャンセル"),0),0))&amp;IF(COUNTIFS(案件一覧!$N$3:$N$62,C$3,案件一覧!$E$3:$E$62,"&lt;="&amp;$A171,案件一覧!$F$3:$F$62,"&gt;"&amp;$A171,案件一覧!$C$3:$C$62,"&lt;&gt;キャンセル")&gt;1," ◆重複!",""))</f>
        <v/>
      </c>
      <c r="D171" s="18" t="str">
        <f aca="false">IF(COUNTIFS(案件一覧!$N$3:$N$62,D$3,案件一覧!$E$3:$E$62,"&lt;="&amp;$A171,案件一覧!$F$3:$F$62,"&gt;"&amp;$A171,案件一覧!$C$3:$C$62,"&lt;&gt;キャンセル")=0,"",INDEX(案件一覧!$J$3:$J$62,MATCH(1,INDEX((案件一覧!$N$3:$N$62=D$3)*(案件一覧!$E$3:$E$62&lt;=$A171)*(案件一覧!$F$3:$F$62&gt;$A171)*(案件一覧!$C$3:$C$62&lt;&gt;"キャンセル"),0),0))&amp;IF(COUNTIFS(案件一覧!$N$3:$N$62,D$3,案件一覧!$E$3:$E$62,"&lt;="&amp;$A171,案件一覧!$F$3:$F$62,"&gt;"&amp;$A171,案件一覧!$C$3:$C$62,"&lt;&gt;キャンセル")&gt;1," ◆重複!",""))</f>
        <v/>
      </c>
      <c r="E171" s="18" t="str">
        <f aca="false">IF(COUNTIFS(案件一覧!$N$3:$N$62,E$3,案件一覧!$E$3:$E$62,"&lt;="&amp;$A171,案件一覧!$F$3:$F$62,"&gt;"&amp;$A171,案件一覧!$C$3:$C$62,"&lt;&gt;キャンセル")=0,"",INDEX(案件一覧!$J$3:$J$62,MATCH(1,INDEX((案件一覧!$N$3:$N$62=E$3)*(案件一覧!$E$3:$E$62&lt;=$A171)*(案件一覧!$F$3:$F$62&gt;$A171)*(案件一覧!$C$3:$C$62&lt;&gt;"キャンセル"),0),0))&amp;IF(COUNTIFS(案件一覧!$N$3:$N$62,E$3,案件一覧!$E$3:$E$62,"&lt;="&amp;$A171,案件一覧!$F$3:$F$62,"&gt;"&amp;$A171,案件一覧!$C$3:$C$62,"&lt;&gt;キャンセル")&gt;1," ◆重複!",""))</f>
        <v/>
      </c>
      <c r="F171" s="18" t="str">
        <f aca="false">IF(COUNTIFS(案件一覧!$N$3:$N$62,F$3,案件一覧!$E$3:$E$62,"&lt;="&amp;$A171,案件一覧!$F$3:$F$62,"&gt;"&amp;$A171,案件一覧!$C$3:$C$62,"&lt;&gt;キャンセル")=0,"",INDEX(案件一覧!$J$3:$J$62,MATCH(1,INDEX((案件一覧!$N$3:$N$62=F$3)*(案件一覧!$E$3:$E$62&lt;=$A171)*(案件一覧!$F$3:$F$62&gt;$A171)*(案件一覧!$C$3:$C$62&lt;&gt;"キャンセル"),0),0))&amp;IF(COUNTIFS(案件一覧!$N$3:$N$62,F$3,案件一覧!$E$3:$E$62,"&lt;="&amp;$A171,案件一覧!$F$3:$F$62,"&gt;"&amp;$A171,案件一覧!$C$3:$C$62,"&lt;&gt;キャンセル")&gt;1," ◆重複!",""))</f>
        <v/>
      </c>
      <c r="G171" s="18" t="str">
        <f aca="false">IF(COUNTIFS(案件一覧!$N$3:$N$62,G$3,案件一覧!$E$3:$E$62,"&lt;="&amp;$A171,案件一覧!$F$3:$F$62,"&gt;"&amp;$A171,案件一覧!$C$3:$C$62,"&lt;&gt;キャンセル")=0,"",INDEX(案件一覧!$J$3:$J$62,MATCH(1,INDEX((案件一覧!$N$3:$N$62=G$3)*(案件一覧!$E$3:$E$62&lt;=$A171)*(案件一覧!$F$3:$F$62&gt;$A171)*(案件一覧!$C$3:$C$62&lt;&gt;"キャンセル"),0),0))&amp;IF(COUNTIFS(案件一覧!$N$3:$N$62,G$3,案件一覧!$E$3:$E$62,"&lt;="&amp;$A171,案件一覧!$F$3:$F$62,"&gt;"&amp;$A171,案件一覧!$C$3:$C$62,"&lt;&gt;キャンセル")&gt;1," ◆重複!",""))</f>
        <v/>
      </c>
      <c r="H171" s="18" t="str">
        <f aca="false">IF(COUNTIFS(案件一覧!$N$3:$N$62,H$3,案件一覧!$E$3:$E$62,"&lt;="&amp;$A171,案件一覧!$F$3:$F$62,"&gt;"&amp;$A171,案件一覧!$C$3:$C$62,"&lt;&gt;キャンセル")=0,"",INDEX(案件一覧!$J$3:$J$62,MATCH(1,INDEX((案件一覧!$N$3:$N$62=H$3)*(案件一覧!$E$3:$E$62&lt;=$A171)*(案件一覧!$F$3:$F$62&gt;$A171)*(案件一覧!$C$3:$C$62&lt;&gt;"キャンセル"),0),0))&amp;IF(COUNTIFS(案件一覧!$N$3:$N$62,H$3,案件一覧!$E$3:$E$62,"&lt;="&amp;$A171,案件一覧!$F$3:$F$62,"&gt;"&amp;$A171,案件一覧!$C$3:$C$62,"&lt;&gt;キャンセル")&gt;1," ◆重複!",""))</f>
        <v/>
      </c>
    </row>
    <row r="172" customFormat="false" ht="15" hidden="false" customHeight="false" outlineLevel="0" collapsed="false">
      <c r="A172" s="16" t="n">
        <v>46372</v>
      </c>
      <c r="B172" s="17" t="s">
        <v>42</v>
      </c>
      <c r="C172" s="18" t="str">
        <f aca="false">IF(COUNTIFS(案件一覧!$N$3:$N$62,C$3,案件一覧!$E$3:$E$62,"&lt;="&amp;$A172,案件一覧!$F$3:$F$62,"&gt;"&amp;$A172,案件一覧!$C$3:$C$62,"&lt;&gt;キャンセル")=0,"",INDEX(案件一覧!$J$3:$J$62,MATCH(1,INDEX((案件一覧!$N$3:$N$62=C$3)*(案件一覧!$E$3:$E$62&lt;=$A172)*(案件一覧!$F$3:$F$62&gt;$A172)*(案件一覧!$C$3:$C$62&lt;&gt;"キャンセル"),0),0))&amp;IF(COUNTIFS(案件一覧!$N$3:$N$62,C$3,案件一覧!$E$3:$E$62,"&lt;="&amp;$A172,案件一覧!$F$3:$F$62,"&gt;"&amp;$A172,案件一覧!$C$3:$C$62,"&lt;&gt;キャンセル")&gt;1," ◆重複!",""))</f>
        <v/>
      </c>
      <c r="D172" s="18" t="str">
        <f aca="false">IF(COUNTIFS(案件一覧!$N$3:$N$62,D$3,案件一覧!$E$3:$E$62,"&lt;="&amp;$A172,案件一覧!$F$3:$F$62,"&gt;"&amp;$A172,案件一覧!$C$3:$C$62,"&lt;&gt;キャンセル")=0,"",INDEX(案件一覧!$J$3:$J$62,MATCH(1,INDEX((案件一覧!$N$3:$N$62=D$3)*(案件一覧!$E$3:$E$62&lt;=$A172)*(案件一覧!$F$3:$F$62&gt;$A172)*(案件一覧!$C$3:$C$62&lt;&gt;"キャンセル"),0),0))&amp;IF(COUNTIFS(案件一覧!$N$3:$N$62,D$3,案件一覧!$E$3:$E$62,"&lt;="&amp;$A172,案件一覧!$F$3:$F$62,"&gt;"&amp;$A172,案件一覧!$C$3:$C$62,"&lt;&gt;キャンセル")&gt;1," ◆重複!",""))</f>
        <v/>
      </c>
      <c r="E172" s="18" t="str">
        <f aca="false">IF(COUNTIFS(案件一覧!$N$3:$N$62,E$3,案件一覧!$E$3:$E$62,"&lt;="&amp;$A172,案件一覧!$F$3:$F$62,"&gt;"&amp;$A172,案件一覧!$C$3:$C$62,"&lt;&gt;キャンセル")=0,"",INDEX(案件一覧!$J$3:$J$62,MATCH(1,INDEX((案件一覧!$N$3:$N$62=E$3)*(案件一覧!$E$3:$E$62&lt;=$A172)*(案件一覧!$F$3:$F$62&gt;$A172)*(案件一覧!$C$3:$C$62&lt;&gt;"キャンセル"),0),0))&amp;IF(COUNTIFS(案件一覧!$N$3:$N$62,E$3,案件一覧!$E$3:$E$62,"&lt;="&amp;$A172,案件一覧!$F$3:$F$62,"&gt;"&amp;$A172,案件一覧!$C$3:$C$62,"&lt;&gt;キャンセル")&gt;1," ◆重複!",""))</f>
        <v/>
      </c>
      <c r="F172" s="18" t="str">
        <f aca="false">IF(COUNTIFS(案件一覧!$N$3:$N$62,F$3,案件一覧!$E$3:$E$62,"&lt;="&amp;$A172,案件一覧!$F$3:$F$62,"&gt;"&amp;$A172,案件一覧!$C$3:$C$62,"&lt;&gt;キャンセル")=0,"",INDEX(案件一覧!$J$3:$J$62,MATCH(1,INDEX((案件一覧!$N$3:$N$62=F$3)*(案件一覧!$E$3:$E$62&lt;=$A172)*(案件一覧!$F$3:$F$62&gt;$A172)*(案件一覧!$C$3:$C$62&lt;&gt;"キャンセル"),0),0))&amp;IF(COUNTIFS(案件一覧!$N$3:$N$62,F$3,案件一覧!$E$3:$E$62,"&lt;="&amp;$A172,案件一覧!$F$3:$F$62,"&gt;"&amp;$A172,案件一覧!$C$3:$C$62,"&lt;&gt;キャンセル")&gt;1," ◆重複!",""))</f>
        <v/>
      </c>
      <c r="G172" s="18" t="str">
        <f aca="false">IF(COUNTIFS(案件一覧!$N$3:$N$62,G$3,案件一覧!$E$3:$E$62,"&lt;="&amp;$A172,案件一覧!$F$3:$F$62,"&gt;"&amp;$A172,案件一覧!$C$3:$C$62,"&lt;&gt;キャンセル")=0,"",INDEX(案件一覧!$J$3:$J$62,MATCH(1,INDEX((案件一覧!$N$3:$N$62=G$3)*(案件一覧!$E$3:$E$62&lt;=$A172)*(案件一覧!$F$3:$F$62&gt;$A172)*(案件一覧!$C$3:$C$62&lt;&gt;"キャンセル"),0),0))&amp;IF(COUNTIFS(案件一覧!$N$3:$N$62,G$3,案件一覧!$E$3:$E$62,"&lt;="&amp;$A172,案件一覧!$F$3:$F$62,"&gt;"&amp;$A172,案件一覧!$C$3:$C$62,"&lt;&gt;キャンセル")&gt;1," ◆重複!",""))</f>
        <v/>
      </c>
      <c r="H172" s="18" t="str">
        <f aca="false">IF(COUNTIFS(案件一覧!$N$3:$N$62,H$3,案件一覧!$E$3:$E$62,"&lt;="&amp;$A172,案件一覧!$F$3:$F$62,"&gt;"&amp;$A172,案件一覧!$C$3:$C$62,"&lt;&gt;キャンセル")=0,"",INDEX(案件一覧!$J$3:$J$62,MATCH(1,INDEX((案件一覧!$N$3:$N$62=H$3)*(案件一覧!$E$3:$E$62&lt;=$A172)*(案件一覧!$F$3:$F$62&gt;$A172)*(案件一覧!$C$3:$C$62&lt;&gt;"キャンセル"),0),0))&amp;IF(COUNTIFS(案件一覧!$N$3:$N$62,H$3,案件一覧!$E$3:$E$62,"&lt;="&amp;$A172,案件一覧!$F$3:$F$62,"&gt;"&amp;$A172,案件一覧!$C$3:$C$62,"&lt;&gt;キャンセル")&gt;1," ◆重複!",""))</f>
        <v/>
      </c>
    </row>
    <row r="173" customFormat="false" ht="15" hidden="false" customHeight="false" outlineLevel="0" collapsed="false">
      <c r="A173" s="16" t="n">
        <v>46373</v>
      </c>
      <c r="B173" s="17" t="s">
        <v>43</v>
      </c>
      <c r="C173" s="18" t="str">
        <f aca="false">IF(COUNTIFS(案件一覧!$N$3:$N$62,C$3,案件一覧!$E$3:$E$62,"&lt;="&amp;$A173,案件一覧!$F$3:$F$62,"&gt;"&amp;$A173,案件一覧!$C$3:$C$62,"&lt;&gt;キャンセル")=0,"",INDEX(案件一覧!$J$3:$J$62,MATCH(1,INDEX((案件一覧!$N$3:$N$62=C$3)*(案件一覧!$E$3:$E$62&lt;=$A173)*(案件一覧!$F$3:$F$62&gt;$A173)*(案件一覧!$C$3:$C$62&lt;&gt;"キャンセル"),0),0))&amp;IF(COUNTIFS(案件一覧!$N$3:$N$62,C$3,案件一覧!$E$3:$E$62,"&lt;="&amp;$A173,案件一覧!$F$3:$F$62,"&gt;"&amp;$A173,案件一覧!$C$3:$C$62,"&lt;&gt;キャンセル")&gt;1," ◆重複!",""))</f>
        <v/>
      </c>
      <c r="D173" s="18" t="str">
        <f aca="false">IF(COUNTIFS(案件一覧!$N$3:$N$62,D$3,案件一覧!$E$3:$E$62,"&lt;="&amp;$A173,案件一覧!$F$3:$F$62,"&gt;"&amp;$A173,案件一覧!$C$3:$C$62,"&lt;&gt;キャンセル")=0,"",INDEX(案件一覧!$J$3:$J$62,MATCH(1,INDEX((案件一覧!$N$3:$N$62=D$3)*(案件一覧!$E$3:$E$62&lt;=$A173)*(案件一覧!$F$3:$F$62&gt;$A173)*(案件一覧!$C$3:$C$62&lt;&gt;"キャンセル"),0),0))&amp;IF(COUNTIFS(案件一覧!$N$3:$N$62,D$3,案件一覧!$E$3:$E$62,"&lt;="&amp;$A173,案件一覧!$F$3:$F$62,"&gt;"&amp;$A173,案件一覧!$C$3:$C$62,"&lt;&gt;キャンセル")&gt;1," ◆重複!",""))</f>
        <v/>
      </c>
      <c r="E173" s="18" t="str">
        <f aca="false">IF(COUNTIFS(案件一覧!$N$3:$N$62,E$3,案件一覧!$E$3:$E$62,"&lt;="&amp;$A173,案件一覧!$F$3:$F$62,"&gt;"&amp;$A173,案件一覧!$C$3:$C$62,"&lt;&gt;キャンセル")=0,"",INDEX(案件一覧!$J$3:$J$62,MATCH(1,INDEX((案件一覧!$N$3:$N$62=E$3)*(案件一覧!$E$3:$E$62&lt;=$A173)*(案件一覧!$F$3:$F$62&gt;$A173)*(案件一覧!$C$3:$C$62&lt;&gt;"キャンセル"),0),0))&amp;IF(COUNTIFS(案件一覧!$N$3:$N$62,E$3,案件一覧!$E$3:$E$62,"&lt;="&amp;$A173,案件一覧!$F$3:$F$62,"&gt;"&amp;$A173,案件一覧!$C$3:$C$62,"&lt;&gt;キャンセル")&gt;1," ◆重複!",""))</f>
        <v/>
      </c>
      <c r="F173" s="18" t="str">
        <f aca="false">IF(COUNTIFS(案件一覧!$N$3:$N$62,F$3,案件一覧!$E$3:$E$62,"&lt;="&amp;$A173,案件一覧!$F$3:$F$62,"&gt;"&amp;$A173,案件一覧!$C$3:$C$62,"&lt;&gt;キャンセル")=0,"",INDEX(案件一覧!$J$3:$J$62,MATCH(1,INDEX((案件一覧!$N$3:$N$62=F$3)*(案件一覧!$E$3:$E$62&lt;=$A173)*(案件一覧!$F$3:$F$62&gt;$A173)*(案件一覧!$C$3:$C$62&lt;&gt;"キャンセル"),0),0))&amp;IF(COUNTIFS(案件一覧!$N$3:$N$62,F$3,案件一覧!$E$3:$E$62,"&lt;="&amp;$A173,案件一覧!$F$3:$F$62,"&gt;"&amp;$A173,案件一覧!$C$3:$C$62,"&lt;&gt;キャンセル")&gt;1," ◆重複!",""))</f>
        <v/>
      </c>
      <c r="G173" s="18" t="str">
        <f aca="false">IF(COUNTIFS(案件一覧!$N$3:$N$62,G$3,案件一覧!$E$3:$E$62,"&lt;="&amp;$A173,案件一覧!$F$3:$F$62,"&gt;"&amp;$A173,案件一覧!$C$3:$C$62,"&lt;&gt;キャンセル")=0,"",INDEX(案件一覧!$J$3:$J$62,MATCH(1,INDEX((案件一覧!$N$3:$N$62=G$3)*(案件一覧!$E$3:$E$62&lt;=$A173)*(案件一覧!$F$3:$F$62&gt;$A173)*(案件一覧!$C$3:$C$62&lt;&gt;"キャンセル"),0),0))&amp;IF(COUNTIFS(案件一覧!$N$3:$N$62,G$3,案件一覧!$E$3:$E$62,"&lt;="&amp;$A173,案件一覧!$F$3:$F$62,"&gt;"&amp;$A173,案件一覧!$C$3:$C$62,"&lt;&gt;キャンセル")&gt;1," ◆重複!",""))</f>
        <v/>
      </c>
      <c r="H173" s="18" t="str">
        <f aca="false">IF(COUNTIFS(案件一覧!$N$3:$N$62,H$3,案件一覧!$E$3:$E$62,"&lt;="&amp;$A173,案件一覧!$F$3:$F$62,"&gt;"&amp;$A173,案件一覧!$C$3:$C$62,"&lt;&gt;キャンセル")=0,"",INDEX(案件一覧!$J$3:$J$62,MATCH(1,INDEX((案件一覧!$N$3:$N$62=H$3)*(案件一覧!$E$3:$E$62&lt;=$A173)*(案件一覧!$F$3:$F$62&gt;$A173)*(案件一覧!$C$3:$C$62&lt;&gt;"キャンセル"),0),0))&amp;IF(COUNTIFS(案件一覧!$N$3:$N$62,H$3,案件一覧!$E$3:$E$62,"&lt;="&amp;$A173,案件一覧!$F$3:$F$62,"&gt;"&amp;$A173,案件一覧!$C$3:$C$62,"&lt;&gt;キャンセル")&gt;1," ◆重複!",""))</f>
        <v/>
      </c>
    </row>
    <row r="174" customFormat="false" ht="15" hidden="false" customHeight="false" outlineLevel="0" collapsed="false">
      <c r="A174" s="16" t="n">
        <v>46374</v>
      </c>
      <c r="B174" s="17" t="s">
        <v>44</v>
      </c>
      <c r="C174" s="18" t="str">
        <f aca="false">IF(COUNTIFS(案件一覧!$N$3:$N$62,C$3,案件一覧!$E$3:$E$62,"&lt;="&amp;$A174,案件一覧!$F$3:$F$62,"&gt;"&amp;$A174,案件一覧!$C$3:$C$62,"&lt;&gt;キャンセル")=0,"",INDEX(案件一覧!$J$3:$J$62,MATCH(1,INDEX((案件一覧!$N$3:$N$62=C$3)*(案件一覧!$E$3:$E$62&lt;=$A174)*(案件一覧!$F$3:$F$62&gt;$A174)*(案件一覧!$C$3:$C$62&lt;&gt;"キャンセル"),0),0))&amp;IF(COUNTIFS(案件一覧!$N$3:$N$62,C$3,案件一覧!$E$3:$E$62,"&lt;="&amp;$A174,案件一覧!$F$3:$F$62,"&gt;"&amp;$A174,案件一覧!$C$3:$C$62,"&lt;&gt;キャンセル")&gt;1," ◆重複!",""))</f>
        <v/>
      </c>
      <c r="D174" s="18" t="str">
        <f aca="false">IF(COUNTIFS(案件一覧!$N$3:$N$62,D$3,案件一覧!$E$3:$E$62,"&lt;="&amp;$A174,案件一覧!$F$3:$F$62,"&gt;"&amp;$A174,案件一覧!$C$3:$C$62,"&lt;&gt;キャンセル")=0,"",INDEX(案件一覧!$J$3:$J$62,MATCH(1,INDEX((案件一覧!$N$3:$N$62=D$3)*(案件一覧!$E$3:$E$62&lt;=$A174)*(案件一覧!$F$3:$F$62&gt;$A174)*(案件一覧!$C$3:$C$62&lt;&gt;"キャンセル"),0),0))&amp;IF(COUNTIFS(案件一覧!$N$3:$N$62,D$3,案件一覧!$E$3:$E$62,"&lt;="&amp;$A174,案件一覧!$F$3:$F$62,"&gt;"&amp;$A174,案件一覧!$C$3:$C$62,"&lt;&gt;キャンセル")&gt;1," ◆重複!",""))</f>
        <v/>
      </c>
      <c r="E174" s="18" t="str">
        <f aca="false">IF(COUNTIFS(案件一覧!$N$3:$N$62,E$3,案件一覧!$E$3:$E$62,"&lt;="&amp;$A174,案件一覧!$F$3:$F$62,"&gt;"&amp;$A174,案件一覧!$C$3:$C$62,"&lt;&gt;キャンセル")=0,"",INDEX(案件一覧!$J$3:$J$62,MATCH(1,INDEX((案件一覧!$N$3:$N$62=E$3)*(案件一覧!$E$3:$E$62&lt;=$A174)*(案件一覧!$F$3:$F$62&gt;$A174)*(案件一覧!$C$3:$C$62&lt;&gt;"キャンセル"),0),0))&amp;IF(COUNTIFS(案件一覧!$N$3:$N$62,E$3,案件一覧!$E$3:$E$62,"&lt;="&amp;$A174,案件一覧!$F$3:$F$62,"&gt;"&amp;$A174,案件一覧!$C$3:$C$62,"&lt;&gt;キャンセル")&gt;1," ◆重複!",""))</f>
        <v/>
      </c>
      <c r="F174" s="18" t="str">
        <f aca="false">IF(COUNTIFS(案件一覧!$N$3:$N$62,F$3,案件一覧!$E$3:$E$62,"&lt;="&amp;$A174,案件一覧!$F$3:$F$62,"&gt;"&amp;$A174,案件一覧!$C$3:$C$62,"&lt;&gt;キャンセル")=0,"",INDEX(案件一覧!$J$3:$J$62,MATCH(1,INDEX((案件一覧!$N$3:$N$62=F$3)*(案件一覧!$E$3:$E$62&lt;=$A174)*(案件一覧!$F$3:$F$62&gt;$A174)*(案件一覧!$C$3:$C$62&lt;&gt;"キャンセル"),0),0))&amp;IF(COUNTIFS(案件一覧!$N$3:$N$62,F$3,案件一覧!$E$3:$E$62,"&lt;="&amp;$A174,案件一覧!$F$3:$F$62,"&gt;"&amp;$A174,案件一覧!$C$3:$C$62,"&lt;&gt;キャンセル")&gt;1," ◆重複!",""))</f>
        <v/>
      </c>
      <c r="G174" s="18" t="str">
        <f aca="false">IF(COUNTIFS(案件一覧!$N$3:$N$62,G$3,案件一覧!$E$3:$E$62,"&lt;="&amp;$A174,案件一覧!$F$3:$F$62,"&gt;"&amp;$A174,案件一覧!$C$3:$C$62,"&lt;&gt;キャンセル")=0,"",INDEX(案件一覧!$J$3:$J$62,MATCH(1,INDEX((案件一覧!$N$3:$N$62=G$3)*(案件一覧!$E$3:$E$62&lt;=$A174)*(案件一覧!$F$3:$F$62&gt;$A174)*(案件一覧!$C$3:$C$62&lt;&gt;"キャンセル"),0),0))&amp;IF(COUNTIFS(案件一覧!$N$3:$N$62,G$3,案件一覧!$E$3:$E$62,"&lt;="&amp;$A174,案件一覧!$F$3:$F$62,"&gt;"&amp;$A174,案件一覧!$C$3:$C$62,"&lt;&gt;キャンセル")&gt;1," ◆重複!",""))</f>
        <v/>
      </c>
      <c r="H174" s="18" t="str">
        <f aca="false">IF(COUNTIFS(案件一覧!$N$3:$N$62,H$3,案件一覧!$E$3:$E$62,"&lt;="&amp;$A174,案件一覧!$F$3:$F$62,"&gt;"&amp;$A174,案件一覧!$C$3:$C$62,"&lt;&gt;キャンセル")=0,"",INDEX(案件一覧!$J$3:$J$62,MATCH(1,INDEX((案件一覧!$N$3:$N$62=H$3)*(案件一覧!$E$3:$E$62&lt;=$A174)*(案件一覧!$F$3:$F$62&gt;$A174)*(案件一覧!$C$3:$C$62&lt;&gt;"キャンセル"),0),0))&amp;IF(COUNTIFS(案件一覧!$N$3:$N$62,H$3,案件一覧!$E$3:$E$62,"&lt;="&amp;$A174,案件一覧!$F$3:$F$62,"&gt;"&amp;$A174,案件一覧!$C$3:$C$62,"&lt;&gt;キャンセル")&gt;1," ◆重複!",""))</f>
        <v/>
      </c>
    </row>
    <row r="175" customFormat="false" ht="15" hidden="false" customHeight="false" outlineLevel="0" collapsed="false">
      <c r="A175" s="19" t="n">
        <v>46375</v>
      </c>
      <c r="B175" s="20" t="s">
        <v>45</v>
      </c>
      <c r="C175" s="21" t="str">
        <f aca="false">IF(COUNTIFS(案件一覧!$N$3:$N$62,C$3,案件一覧!$E$3:$E$62,"&lt;="&amp;$A175,案件一覧!$F$3:$F$62,"&gt;"&amp;$A175,案件一覧!$C$3:$C$62,"&lt;&gt;キャンセル")=0,"",INDEX(案件一覧!$J$3:$J$62,MATCH(1,INDEX((案件一覧!$N$3:$N$62=C$3)*(案件一覧!$E$3:$E$62&lt;=$A175)*(案件一覧!$F$3:$F$62&gt;$A175)*(案件一覧!$C$3:$C$62&lt;&gt;"キャンセル"),0),0))&amp;IF(COUNTIFS(案件一覧!$N$3:$N$62,C$3,案件一覧!$E$3:$E$62,"&lt;="&amp;$A175,案件一覧!$F$3:$F$62,"&gt;"&amp;$A175,案件一覧!$C$3:$C$62,"&lt;&gt;キャンセル")&gt;1," ◆重複!",""))</f>
        <v/>
      </c>
      <c r="D175" s="21" t="str">
        <f aca="false">IF(COUNTIFS(案件一覧!$N$3:$N$62,D$3,案件一覧!$E$3:$E$62,"&lt;="&amp;$A175,案件一覧!$F$3:$F$62,"&gt;"&amp;$A175,案件一覧!$C$3:$C$62,"&lt;&gt;キャンセル")=0,"",INDEX(案件一覧!$J$3:$J$62,MATCH(1,INDEX((案件一覧!$N$3:$N$62=D$3)*(案件一覧!$E$3:$E$62&lt;=$A175)*(案件一覧!$F$3:$F$62&gt;$A175)*(案件一覧!$C$3:$C$62&lt;&gt;"キャンセル"),0),0))&amp;IF(COUNTIFS(案件一覧!$N$3:$N$62,D$3,案件一覧!$E$3:$E$62,"&lt;="&amp;$A175,案件一覧!$F$3:$F$62,"&gt;"&amp;$A175,案件一覧!$C$3:$C$62,"&lt;&gt;キャンセル")&gt;1," ◆重複!",""))</f>
        <v/>
      </c>
      <c r="E175" s="21" t="str">
        <f aca="false">IF(COUNTIFS(案件一覧!$N$3:$N$62,E$3,案件一覧!$E$3:$E$62,"&lt;="&amp;$A175,案件一覧!$F$3:$F$62,"&gt;"&amp;$A175,案件一覧!$C$3:$C$62,"&lt;&gt;キャンセル")=0,"",INDEX(案件一覧!$J$3:$J$62,MATCH(1,INDEX((案件一覧!$N$3:$N$62=E$3)*(案件一覧!$E$3:$E$62&lt;=$A175)*(案件一覧!$F$3:$F$62&gt;$A175)*(案件一覧!$C$3:$C$62&lt;&gt;"キャンセル"),0),0))&amp;IF(COUNTIFS(案件一覧!$N$3:$N$62,E$3,案件一覧!$E$3:$E$62,"&lt;="&amp;$A175,案件一覧!$F$3:$F$62,"&gt;"&amp;$A175,案件一覧!$C$3:$C$62,"&lt;&gt;キャンセル")&gt;1," ◆重複!",""))</f>
        <v/>
      </c>
      <c r="F175" s="21" t="str">
        <f aca="false">IF(COUNTIFS(案件一覧!$N$3:$N$62,F$3,案件一覧!$E$3:$E$62,"&lt;="&amp;$A175,案件一覧!$F$3:$F$62,"&gt;"&amp;$A175,案件一覧!$C$3:$C$62,"&lt;&gt;キャンセル")=0,"",INDEX(案件一覧!$J$3:$J$62,MATCH(1,INDEX((案件一覧!$N$3:$N$62=F$3)*(案件一覧!$E$3:$E$62&lt;=$A175)*(案件一覧!$F$3:$F$62&gt;$A175)*(案件一覧!$C$3:$C$62&lt;&gt;"キャンセル"),0),0))&amp;IF(COUNTIFS(案件一覧!$N$3:$N$62,F$3,案件一覧!$E$3:$E$62,"&lt;="&amp;$A175,案件一覧!$F$3:$F$62,"&gt;"&amp;$A175,案件一覧!$C$3:$C$62,"&lt;&gt;キャンセル")&gt;1," ◆重複!",""))</f>
        <v/>
      </c>
      <c r="G175" s="21" t="str">
        <f aca="false">IF(COUNTIFS(案件一覧!$N$3:$N$62,G$3,案件一覧!$E$3:$E$62,"&lt;="&amp;$A175,案件一覧!$F$3:$F$62,"&gt;"&amp;$A175,案件一覧!$C$3:$C$62,"&lt;&gt;キャンセル")=0,"",INDEX(案件一覧!$J$3:$J$62,MATCH(1,INDEX((案件一覧!$N$3:$N$62=G$3)*(案件一覧!$E$3:$E$62&lt;=$A175)*(案件一覧!$F$3:$F$62&gt;$A175)*(案件一覧!$C$3:$C$62&lt;&gt;"キャンセル"),0),0))&amp;IF(COUNTIFS(案件一覧!$N$3:$N$62,G$3,案件一覧!$E$3:$E$62,"&lt;="&amp;$A175,案件一覧!$F$3:$F$62,"&gt;"&amp;$A175,案件一覧!$C$3:$C$62,"&lt;&gt;キャンセル")&gt;1," ◆重複!",""))</f>
        <v/>
      </c>
      <c r="H175" s="21" t="str">
        <f aca="false">IF(COUNTIFS(案件一覧!$N$3:$N$62,H$3,案件一覧!$E$3:$E$62,"&lt;="&amp;$A175,案件一覧!$F$3:$F$62,"&gt;"&amp;$A175,案件一覧!$C$3:$C$62,"&lt;&gt;キャンセル")=0,"",INDEX(案件一覧!$J$3:$J$62,MATCH(1,INDEX((案件一覧!$N$3:$N$62=H$3)*(案件一覧!$E$3:$E$62&lt;=$A175)*(案件一覧!$F$3:$F$62&gt;$A175)*(案件一覧!$C$3:$C$62&lt;&gt;"キャンセル"),0),0))&amp;IF(COUNTIFS(案件一覧!$N$3:$N$62,H$3,案件一覧!$E$3:$E$62,"&lt;="&amp;$A175,案件一覧!$F$3:$F$62,"&gt;"&amp;$A175,案件一覧!$C$3:$C$62,"&lt;&gt;キャンセル")&gt;1," ◆重複!",""))</f>
        <v/>
      </c>
    </row>
    <row r="176" customFormat="false" ht="15" hidden="false" customHeight="false" outlineLevel="0" collapsed="false">
      <c r="A176" s="22" t="n">
        <v>46376</v>
      </c>
      <c r="B176" s="23" t="s">
        <v>46</v>
      </c>
      <c r="C176" s="24" t="str">
        <f aca="false">IF(COUNTIFS(案件一覧!$N$3:$N$62,C$3,案件一覧!$E$3:$E$62,"&lt;="&amp;$A176,案件一覧!$F$3:$F$62,"&gt;"&amp;$A176,案件一覧!$C$3:$C$62,"&lt;&gt;キャンセル")=0,"",INDEX(案件一覧!$J$3:$J$62,MATCH(1,INDEX((案件一覧!$N$3:$N$62=C$3)*(案件一覧!$E$3:$E$62&lt;=$A176)*(案件一覧!$F$3:$F$62&gt;$A176)*(案件一覧!$C$3:$C$62&lt;&gt;"キャンセル"),0),0))&amp;IF(COUNTIFS(案件一覧!$N$3:$N$62,C$3,案件一覧!$E$3:$E$62,"&lt;="&amp;$A176,案件一覧!$F$3:$F$62,"&gt;"&amp;$A176,案件一覧!$C$3:$C$62,"&lt;&gt;キャンセル")&gt;1," ◆重複!",""))</f>
        <v/>
      </c>
      <c r="D176" s="24" t="str">
        <f aca="false">IF(COUNTIFS(案件一覧!$N$3:$N$62,D$3,案件一覧!$E$3:$E$62,"&lt;="&amp;$A176,案件一覧!$F$3:$F$62,"&gt;"&amp;$A176,案件一覧!$C$3:$C$62,"&lt;&gt;キャンセル")=0,"",INDEX(案件一覧!$J$3:$J$62,MATCH(1,INDEX((案件一覧!$N$3:$N$62=D$3)*(案件一覧!$E$3:$E$62&lt;=$A176)*(案件一覧!$F$3:$F$62&gt;$A176)*(案件一覧!$C$3:$C$62&lt;&gt;"キャンセル"),0),0))&amp;IF(COUNTIFS(案件一覧!$N$3:$N$62,D$3,案件一覧!$E$3:$E$62,"&lt;="&amp;$A176,案件一覧!$F$3:$F$62,"&gt;"&amp;$A176,案件一覧!$C$3:$C$62,"&lt;&gt;キャンセル")&gt;1," ◆重複!",""))</f>
        <v/>
      </c>
      <c r="E176" s="24" t="str">
        <f aca="false">IF(COUNTIFS(案件一覧!$N$3:$N$62,E$3,案件一覧!$E$3:$E$62,"&lt;="&amp;$A176,案件一覧!$F$3:$F$62,"&gt;"&amp;$A176,案件一覧!$C$3:$C$62,"&lt;&gt;キャンセル")=0,"",INDEX(案件一覧!$J$3:$J$62,MATCH(1,INDEX((案件一覧!$N$3:$N$62=E$3)*(案件一覧!$E$3:$E$62&lt;=$A176)*(案件一覧!$F$3:$F$62&gt;$A176)*(案件一覧!$C$3:$C$62&lt;&gt;"キャンセル"),0),0))&amp;IF(COUNTIFS(案件一覧!$N$3:$N$62,E$3,案件一覧!$E$3:$E$62,"&lt;="&amp;$A176,案件一覧!$F$3:$F$62,"&gt;"&amp;$A176,案件一覧!$C$3:$C$62,"&lt;&gt;キャンセル")&gt;1," ◆重複!",""))</f>
        <v/>
      </c>
      <c r="F176" s="24" t="str">
        <f aca="false">IF(COUNTIFS(案件一覧!$N$3:$N$62,F$3,案件一覧!$E$3:$E$62,"&lt;="&amp;$A176,案件一覧!$F$3:$F$62,"&gt;"&amp;$A176,案件一覧!$C$3:$C$62,"&lt;&gt;キャンセル")=0,"",INDEX(案件一覧!$J$3:$J$62,MATCH(1,INDEX((案件一覧!$N$3:$N$62=F$3)*(案件一覧!$E$3:$E$62&lt;=$A176)*(案件一覧!$F$3:$F$62&gt;$A176)*(案件一覧!$C$3:$C$62&lt;&gt;"キャンセル"),0),0))&amp;IF(COUNTIFS(案件一覧!$N$3:$N$62,F$3,案件一覧!$E$3:$E$62,"&lt;="&amp;$A176,案件一覧!$F$3:$F$62,"&gt;"&amp;$A176,案件一覧!$C$3:$C$62,"&lt;&gt;キャンセル")&gt;1," ◆重複!",""))</f>
        <v/>
      </c>
      <c r="G176" s="24" t="str">
        <f aca="false">IF(COUNTIFS(案件一覧!$N$3:$N$62,G$3,案件一覧!$E$3:$E$62,"&lt;="&amp;$A176,案件一覧!$F$3:$F$62,"&gt;"&amp;$A176,案件一覧!$C$3:$C$62,"&lt;&gt;キャンセル")=0,"",INDEX(案件一覧!$J$3:$J$62,MATCH(1,INDEX((案件一覧!$N$3:$N$62=G$3)*(案件一覧!$E$3:$E$62&lt;=$A176)*(案件一覧!$F$3:$F$62&gt;$A176)*(案件一覧!$C$3:$C$62&lt;&gt;"キャンセル"),0),0))&amp;IF(COUNTIFS(案件一覧!$N$3:$N$62,G$3,案件一覧!$E$3:$E$62,"&lt;="&amp;$A176,案件一覧!$F$3:$F$62,"&gt;"&amp;$A176,案件一覧!$C$3:$C$62,"&lt;&gt;キャンセル")&gt;1," ◆重複!",""))</f>
        <v/>
      </c>
      <c r="H176" s="24" t="str">
        <f aca="false">IF(COUNTIFS(案件一覧!$N$3:$N$62,H$3,案件一覧!$E$3:$E$62,"&lt;="&amp;$A176,案件一覧!$F$3:$F$62,"&gt;"&amp;$A176,案件一覧!$C$3:$C$62,"&lt;&gt;キャンセル")=0,"",INDEX(案件一覧!$J$3:$J$62,MATCH(1,INDEX((案件一覧!$N$3:$N$62=H$3)*(案件一覧!$E$3:$E$62&lt;=$A176)*(案件一覧!$F$3:$F$62&gt;$A176)*(案件一覧!$C$3:$C$62&lt;&gt;"キャンセル"),0),0))&amp;IF(COUNTIFS(案件一覧!$N$3:$N$62,H$3,案件一覧!$E$3:$E$62,"&lt;="&amp;$A176,案件一覧!$F$3:$F$62,"&gt;"&amp;$A176,案件一覧!$C$3:$C$62,"&lt;&gt;キャンセル")&gt;1," ◆重複!",""))</f>
        <v/>
      </c>
    </row>
    <row r="177" customFormat="false" ht="15" hidden="false" customHeight="false" outlineLevel="0" collapsed="false">
      <c r="A177" s="16" t="n">
        <v>46377</v>
      </c>
      <c r="B177" s="17" t="s">
        <v>47</v>
      </c>
      <c r="C177" s="18" t="str">
        <f aca="false">IF(COUNTIFS(案件一覧!$N$3:$N$62,C$3,案件一覧!$E$3:$E$62,"&lt;="&amp;$A177,案件一覧!$F$3:$F$62,"&gt;"&amp;$A177,案件一覧!$C$3:$C$62,"&lt;&gt;キャンセル")=0,"",INDEX(案件一覧!$J$3:$J$62,MATCH(1,INDEX((案件一覧!$N$3:$N$62=C$3)*(案件一覧!$E$3:$E$62&lt;=$A177)*(案件一覧!$F$3:$F$62&gt;$A177)*(案件一覧!$C$3:$C$62&lt;&gt;"キャンセル"),0),0))&amp;IF(COUNTIFS(案件一覧!$N$3:$N$62,C$3,案件一覧!$E$3:$E$62,"&lt;="&amp;$A177,案件一覧!$F$3:$F$62,"&gt;"&amp;$A177,案件一覧!$C$3:$C$62,"&lt;&gt;キャンセル")&gt;1," ◆重複!",""))</f>
        <v/>
      </c>
      <c r="D177" s="18" t="str">
        <f aca="false">IF(COUNTIFS(案件一覧!$N$3:$N$62,D$3,案件一覧!$E$3:$E$62,"&lt;="&amp;$A177,案件一覧!$F$3:$F$62,"&gt;"&amp;$A177,案件一覧!$C$3:$C$62,"&lt;&gt;キャンセル")=0,"",INDEX(案件一覧!$J$3:$J$62,MATCH(1,INDEX((案件一覧!$N$3:$N$62=D$3)*(案件一覧!$E$3:$E$62&lt;=$A177)*(案件一覧!$F$3:$F$62&gt;$A177)*(案件一覧!$C$3:$C$62&lt;&gt;"キャンセル"),0),0))&amp;IF(COUNTIFS(案件一覧!$N$3:$N$62,D$3,案件一覧!$E$3:$E$62,"&lt;="&amp;$A177,案件一覧!$F$3:$F$62,"&gt;"&amp;$A177,案件一覧!$C$3:$C$62,"&lt;&gt;キャンセル")&gt;1," ◆重複!",""))</f>
        <v/>
      </c>
      <c r="E177" s="18" t="str">
        <f aca="false">IF(COUNTIFS(案件一覧!$N$3:$N$62,E$3,案件一覧!$E$3:$E$62,"&lt;="&amp;$A177,案件一覧!$F$3:$F$62,"&gt;"&amp;$A177,案件一覧!$C$3:$C$62,"&lt;&gt;キャンセル")=0,"",INDEX(案件一覧!$J$3:$J$62,MATCH(1,INDEX((案件一覧!$N$3:$N$62=E$3)*(案件一覧!$E$3:$E$62&lt;=$A177)*(案件一覧!$F$3:$F$62&gt;$A177)*(案件一覧!$C$3:$C$62&lt;&gt;"キャンセル"),0),0))&amp;IF(COUNTIFS(案件一覧!$N$3:$N$62,E$3,案件一覧!$E$3:$E$62,"&lt;="&amp;$A177,案件一覧!$F$3:$F$62,"&gt;"&amp;$A177,案件一覧!$C$3:$C$62,"&lt;&gt;キャンセル")&gt;1," ◆重複!",""))</f>
        <v/>
      </c>
      <c r="F177" s="18" t="str">
        <f aca="false">IF(COUNTIFS(案件一覧!$N$3:$N$62,F$3,案件一覧!$E$3:$E$62,"&lt;="&amp;$A177,案件一覧!$F$3:$F$62,"&gt;"&amp;$A177,案件一覧!$C$3:$C$62,"&lt;&gt;キャンセル")=0,"",INDEX(案件一覧!$J$3:$J$62,MATCH(1,INDEX((案件一覧!$N$3:$N$62=F$3)*(案件一覧!$E$3:$E$62&lt;=$A177)*(案件一覧!$F$3:$F$62&gt;$A177)*(案件一覧!$C$3:$C$62&lt;&gt;"キャンセル"),0),0))&amp;IF(COUNTIFS(案件一覧!$N$3:$N$62,F$3,案件一覧!$E$3:$E$62,"&lt;="&amp;$A177,案件一覧!$F$3:$F$62,"&gt;"&amp;$A177,案件一覧!$C$3:$C$62,"&lt;&gt;キャンセル")&gt;1," ◆重複!",""))</f>
        <v/>
      </c>
      <c r="G177" s="18" t="str">
        <f aca="false">IF(COUNTIFS(案件一覧!$N$3:$N$62,G$3,案件一覧!$E$3:$E$62,"&lt;="&amp;$A177,案件一覧!$F$3:$F$62,"&gt;"&amp;$A177,案件一覧!$C$3:$C$62,"&lt;&gt;キャンセル")=0,"",INDEX(案件一覧!$J$3:$J$62,MATCH(1,INDEX((案件一覧!$N$3:$N$62=G$3)*(案件一覧!$E$3:$E$62&lt;=$A177)*(案件一覧!$F$3:$F$62&gt;$A177)*(案件一覧!$C$3:$C$62&lt;&gt;"キャンセル"),0),0))&amp;IF(COUNTIFS(案件一覧!$N$3:$N$62,G$3,案件一覧!$E$3:$E$62,"&lt;="&amp;$A177,案件一覧!$F$3:$F$62,"&gt;"&amp;$A177,案件一覧!$C$3:$C$62,"&lt;&gt;キャンセル")&gt;1," ◆重複!",""))</f>
        <v/>
      </c>
      <c r="H177" s="18" t="str">
        <f aca="false">IF(COUNTIFS(案件一覧!$N$3:$N$62,H$3,案件一覧!$E$3:$E$62,"&lt;="&amp;$A177,案件一覧!$F$3:$F$62,"&gt;"&amp;$A177,案件一覧!$C$3:$C$62,"&lt;&gt;キャンセル")=0,"",INDEX(案件一覧!$J$3:$J$62,MATCH(1,INDEX((案件一覧!$N$3:$N$62=H$3)*(案件一覧!$E$3:$E$62&lt;=$A177)*(案件一覧!$F$3:$F$62&gt;$A177)*(案件一覧!$C$3:$C$62&lt;&gt;"キャンセル"),0),0))&amp;IF(COUNTIFS(案件一覧!$N$3:$N$62,H$3,案件一覧!$E$3:$E$62,"&lt;="&amp;$A177,案件一覧!$F$3:$F$62,"&gt;"&amp;$A177,案件一覧!$C$3:$C$62,"&lt;&gt;キャンセル")&gt;1," ◆重複!",""))</f>
        <v/>
      </c>
    </row>
    <row r="178" customFormat="false" ht="15" hidden="false" customHeight="false" outlineLevel="0" collapsed="false">
      <c r="A178" s="16" t="n">
        <v>46378</v>
      </c>
      <c r="B178" s="17" t="s">
        <v>48</v>
      </c>
      <c r="C178" s="18" t="str">
        <f aca="false">IF(COUNTIFS(案件一覧!$N$3:$N$62,C$3,案件一覧!$E$3:$E$62,"&lt;="&amp;$A178,案件一覧!$F$3:$F$62,"&gt;"&amp;$A178,案件一覧!$C$3:$C$62,"&lt;&gt;キャンセル")=0,"",INDEX(案件一覧!$J$3:$J$62,MATCH(1,INDEX((案件一覧!$N$3:$N$62=C$3)*(案件一覧!$E$3:$E$62&lt;=$A178)*(案件一覧!$F$3:$F$62&gt;$A178)*(案件一覧!$C$3:$C$62&lt;&gt;"キャンセル"),0),0))&amp;IF(COUNTIFS(案件一覧!$N$3:$N$62,C$3,案件一覧!$E$3:$E$62,"&lt;="&amp;$A178,案件一覧!$F$3:$F$62,"&gt;"&amp;$A178,案件一覧!$C$3:$C$62,"&lt;&gt;キャンセル")&gt;1," ◆重複!",""))</f>
        <v/>
      </c>
      <c r="D178" s="18" t="str">
        <f aca="false">IF(COUNTIFS(案件一覧!$N$3:$N$62,D$3,案件一覧!$E$3:$E$62,"&lt;="&amp;$A178,案件一覧!$F$3:$F$62,"&gt;"&amp;$A178,案件一覧!$C$3:$C$62,"&lt;&gt;キャンセル")=0,"",INDEX(案件一覧!$J$3:$J$62,MATCH(1,INDEX((案件一覧!$N$3:$N$62=D$3)*(案件一覧!$E$3:$E$62&lt;=$A178)*(案件一覧!$F$3:$F$62&gt;$A178)*(案件一覧!$C$3:$C$62&lt;&gt;"キャンセル"),0),0))&amp;IF(COUNTIFS(案件一覧!$N$3:$N$62,D$3,案件一覧!$E$3:$E$62,"&lt;="&amp;$A178,案件一覧!$F$3:$F$62,"&gt;"&amp;$A178,案件一覧!$C$3:$C$62,"&lt;&gt;キャンセル")&gt;1," ◆重複!",""))</f>
        <v/>
      </c>
      <c r="E178" s="18" t="str">
        <f aca="false">IF(COUNTIFS(案件一覧!$N$3:$N$62,E$3,案件一覧!$E$3:$E$62,"&lt;="&amp;$A178,案件一覧!$F$3:$F$62,"&gt;"&amp;$A178,案件一覧!$C$3:$C$62,"&lt;&gt;キャンセル")=0,"",INDEX(案件一覧!$J$3:$J$62,MATCH(1,INDEX((案件一覧!$N$3:$N$62=E$3)*(案件一覧!$E$3:$E$62&lt;=$A178)*(案件一覧!$F$3:$F$62&gt;$A178)*(案件一覧!$C$3:$C$62&lt;&gt;"キャンセル"),0),0))&amp;IF(COUNTIFS(案件一覧!$N$3:$N$62,E$3,案件一覧!$E$3:$E$62,"&lt;="&amp;$A178,案件一覧!$F$3:$F$62,"&gt;"&amp;$A178,案件一覧!$C$3:$C$62,"&lt;&gt;キャンセル")&gt;1," ◆重複!",""))</f>
        <v/>
      </c>
      <c r="F178" s="18" t="str">
        <f aca="false">IF(COUNTIFS(案件一覧!$N$3:$N$62,F$3,案件一覧!$E$3:$E$62,"&lt;="&amp;$A178,案件一覧!$F$3:$F$62,"&gt;"&amp;$A178,案件一覧!$C$3:$C$62,"&lt;&gt;キャンセル")=0,"",INDEX(案件一覧!$J$3:$J$62,MATCH(1,INDEX((案件一覧!$N$3:$N$62=F$3)*(案件一覧!$E$3:$E$62&lt;=$A178)*(案件一覧!$F$3:$F$62&gt;$A178)*(案件一覧!$C$3:$C$62&lt;&gt;"キャンセル"),0),0))&amp;IF(COUNTIFS(案件一覧!$N$3:$N$62,F$3,案件一覧!$E$3:$E$62,"&lt;="&amp;$A178,案件一覧!$F$3:$F$62,"&gt;"&amp;$A178,案件一覧!$C$3:$C$62,"&lt;&gt;キャンセル")&gt;1," ◆重複!",""))</f>
        <v/>
      </c>
      <c r="G178" s="18" t="str">
        <f aca="false">IF(COUNTIFS(案件一覧!$N$3:$N$62,G$3,案件一覧!$E$3:$E$62,"&lt;="&amp;$A178,案件一覧!$F$3:$F$62,"&gt;"&amp;$A178,案件一覧!$C$3:$C$62,"&lt;&gt;キャンセル")=0,"",INDEX(案件一覧!$J$3:$J$62,MATCH(1,INDEX((案件一覧!$N$3:$N$62=G$3)*(案件一覧!$E$3:$E$62&lt;=$A178)*(案件一覧!$F$3:$F$62&gt;$A178)*(案件一覧!$C$3:$C$62&lt;&gt;"キャンセル"),0),0))&amp;IF(COUNTIFS(案件一覧!$N$3:$N$62,G$3,案件一覧!$E$3:$E$62,"&lt;="&amp;$A178,案件一覧!$F$3:$F$62,"&gt;"&amp;$A178,案件一覧!$C$3:$C$62,"&lt;&gt;キャンセル")&gt;1," ◆重複!",""))</f>
        <v/>
      </c>
      <c r="H178" s="18" t="str">
        <f aca="false">IF(COUNTIFS(案件一覧!$N$3:$N$62,H$3,案件一覧!$E$3:$E$62,"&lt;="&amp;$A178,案件一覧!$F$3:$F$62,"&gt;"&amp;$A178,案件一覧!$C$3:$C$62,"&lt;&gt;キャンセル")=0,"",INDEX(案件一覧!$J$3:$J$62,MATCH(1,INDEX((案件一覧!$N$3:$N$62=H$3)*(案件一覧!$E$3:$E$62&lt;=$A178)*(案件一覧!$F$3:$F$62&gt;$A178)*(案件一覧!$C$3:$C$62&lt;&gt;"キャンセル"),0),0))&amp;IF(COUNTIFS(案件一覧!$N$3:$N$62,H$3,案件一覧!$E$3:$E$62,"&lt;="&amp;$A178,案件一覧!$F$3:$F$62,"&gt;"&amp;$A178,案件一覧!$C$3:$C$62,"&lt;&gt;キャンセル")&gt;1," ◆重複!",""))</f>
        <v/>
      </c>
    </row>
    <row r="179" customFormat="false" ht="15" hidden="false" customHeight="false" outlineLevel="0" collapsed="false">
      <c r="A179" s="16" t="n">
        <v>46379</v>
      </c>
      <c r="B179" s="17" t="s">
        <v>42</v>
      </c>
      <c r="C179" s="18" t="str">
        <f aca="false">IF(COUNTIFS(案件一覧!$N$3:$N$62,C$3,案件一覧!$E$3:$E$62,"&lt;="&amp;$A179,案件一覧!$F$3:$F$62,"&gt;"&amp;$A179,案件一覧!$C$3:$C$62,"&lt;&gt;キャンセル")=0,"",INDEX(案件一覧!$J$3:$J$62,MATCH(1,INDEX((案件一覧!$N$3:$N$62=C$3)*(案件一覧!$E$3:$E$62&lt;=$A179)*(案件一覧!$F$3:$F$62&gt;$A179)*(案件一覧!$C$3:$C$62&lt;&gt;"キャンセル"),0),0))&amp;IF(COUNTIFS(案件一覧!$N$3:$N$62,C$3,案件一覧!$E$3:$E$62,"&lt;="&amp;$A179,案件一覧!$F$3:$F$62,"&gt;"&amp;$A179,案件一覧!$C$3:$C$62,"&lt;&gt;キャンセル")&gt;1," ◆重複!",""))</f>
        <v/>
      </c>
      <c r="D179" s="18" t="str">
        <f aca="false">IF(COUNTIFS(案件一覧!$N$3:$N$62,D$3,案件一覧!$E$3:$E$62,"&lt;="&amp;$A179,案件一覧!$F$3:$F$62,"&gt;"&amp;$A179,案件一覧!$C$3:$C$62,"&lt;&gt;キャンセル")=0,"",INDEX(案件一覧!$J$3:$J$62,MATCH(1,INDEX((案件一覧!$N$3:$N$62=D$3)*(案件一覧!$E$3:$E$62&lt;=$A179)*(案件一覧!$F$3:$F$62&gt;$A179)*(案件一覧!$C$3:$C$62&lt;&gt;"キャンセル"),0),0))&amp;IF(COUNTIFS(案件一覧!$N$3:$N$62,D$3,案件一覧!$E$3:$E$62,"&lt;="&amp;$A179,案件一覧!$F$3:$F$62,"&gt;"&amp;$A179,案件一覧!$C$3:$C$62,"&lt;&gt;キャンセル")&gt;1," ◆重複!",""))</f>
        <v/>
      </c>
      <c r="E179" s="18" t="str">
        <f aca="false">IF(COUNTIFS(案件一覧!$N$3:$N$62,E$3,案件一覧!$E$3:$E$62,"&lt;="&amp;$A179,案件一覧!$F$3:$F$62,"&gt;"&amp;$A179,案件一覧!$C$3:$C$62,"&lt;&gt;キャンセル")=0,"",INDEX(案件一覧!$J$3:$J$62,MATCH(1,INDEX((案件一覧!$N$3:$N$62=E$3)*(案件一覧!$E$3:$E$62&lt;=$A179)*(案件一覧!$F$3:$F$62&gt;$A179)*(案件一覧!$C$3:$C$62&lt;&gt;"キャンセル"),0),0))&amp;IF(COUNTIFS(案件一覧!$N$3:$N$62,E$3,案件一覧!$E$3:$E$62,"&lt;="&amp;$A179,案件一覧!$F$3:$F$62,"&gt;"&amp;$A179,案件一覧!$C$3:$C$62,"&lt;&gt;キャンセル")&gt;1," ◆重複!",""))</f>
        <v/>
      </c>
      <c r="F179" s="18" t="str">
        <f aca="false">IF(COUNTIFS(案件一覧!$N$3:$N$62,F$3,案件一覧!$E$3:$E$62,"&lt;="&amp;$A179,案件一覧!$F$3:$F$62,"&gt;"&amp;$A179,案件一覧!$C$3:$C$62,"&lt;&gt;キャンセル")=0,"",INDEX(案件一覧!$J$3:$J$62,MATCH(1,INDEX((案件一覧!$N$3:$N$62=F$3)*(案件一覧!$E$3:$E$62&lt;=$A179)*(案件一覧!$F$3:$F$62&gt;$A179)*(案件一覧!$C$3:$C$62&lt;&gt;"キャンセル"),0),0))&amp;IF(COUNTIFS(案件一覧!$N$3:$N$62,F$3,案件一覧!$E$3:$E$62,"&lt;="&amp;$A179,案件一覧!$F$3:$F$62,"&gt;"&amp;$A179,案件一覧!$C$3:$C$62,"&lt;&gt;キャンセル")&gt;1," ◆重複!",""))</f>
        <v/>
      </c>
      <c r="G179" s="18" t="str">
        <f aca="false">IF(COUNTIFS(案件一覧!$N$3:$N$62,G$3,案件一覧!$E$3:$E$62,"&lt;="&amp;$A179,案件一覧!$F$3:$F$62,"&gt;"&amp;$A179,案件一覧!$C$3:$C$62,"&lt;&gt;キャンセル")=0,"",INDEX(案件一覧!$J$3:$J$62,MATCH(1,INDEX((案件一覧!$N$3:$N$62=G$3)*(案件一覧!$E$3:$E$62&lt;=$A179)*(案件一覧!$F$3:$F$62&gt;$A179)*(案件一覧!$C$3:$C$62&lt;&gt;"キャンセル"),0),0))&amp;IF(COUNTIFS(案件一覧!$N$3:$N$62,G$3,案件一覧!$E$3:$E$62,"&lt;="&amp;$A179,案件一覧!$F$3:$F$62,"&gt;"&amp;$A179,案件一覧!$C$3:$C$62,"&lt;&gt;キャンセル")&gt;1," ◆重複!",""))</f>
        <v/>
      </c>
      <c r="H179" s="18" t="str">
        <f aca="false">IF(COUNTIFS(案件一覧!$N$3:$N$62,H$3,案件一覧!$E$3:$E$62,"&lt;="&amp;$A179,案件一覧!$F$3:$F$62,"&gt;"&amp;$A179,案件一覧!$C$3:$C$62,"&lt;&gt;キャンセル")=0,"",INDEX(案件一覧!$J$3:$J$62,MATCH(1,INDEX((案件一覧!$N$3:$N$62=H$3)*(案件一覧!$E$3:$E$62&lt;=$A179)*(案件一覧!$F$3:$F$62&gt;$A179)*(案件一覧!$C$3:$C$62&lt;&gt;"キャンセル"),0),0))&amp;IF(COUNTIFS(案件一覧!$N$3:$N$62,H$3,案件一覧!$E$3:$E$62,"&lt;="&amp;$A179,案件一覧!$F$3:$F$62,"&gt;"&amp;$A179,案件一覧!$C$3:$C$62,"&lt;&gt;キャンセル")&gt;1," ◆重複!",""))</f>
        <v/>
      </c>
    </row>
    <row r="180" customFormat="false" ht="15" hidden="false" customHeight="false" outlineLevel="0" collapsed="false">
      <c r="A180" s="16" t="n">
        <v>46380</v>
      </c>
      <c r="B180" s="17" t="s">
        <v>43</v>
      </c>
      <c r="C180" s="18" t="str">
        <f aca="false">IF(COUNTIFS(案件一覧!$N$3:$N$62,C$3,案件一覧!$E$3:$E$62,"&lt;="&amp;$A180,案件一覧!$F$3:$F$62,"&gt;"&amp;$A180,案件一覧!$C$3:$C$62,"&lt;&gt;キャンセル")=0,"",INDEX(案件一覧!$J$3:$J$62,MATCH(1,INDEX((案件一覧!$N$3:$N$62=C$3)*(案件一覧!$E$3:$E$62&lt;=$A180)*(案件一覧!$F$3:$F$62&gt;$A180)*(案件一覧!$C$3:$C$62&lt;&gt;"キャンセル"),0),0))&amp;IF(COUNTIFS(案件一覧!$N$3:$N$62,C$3,案件一覧!$E$3:$E$62,"&lt;="&amp;$A180,案件一覧!$F$3:$F$62,"&gt;"&amp;$A180,案件一覧!$C$3:$C$62,"&lt;&gt;キャンセル")&gt;1," ◆重複!",""))</f>
        <v/>
      </c>
      <c r="D180" s="18" t="str">
        <f aca="false">IF(COUNTIFS(案件一覧!$N$3:$N$62,D$3,案件一覧!$E$3:$E$62,"&lt;="&amp;$A180,案件一覧!$F$3:$F$62,"&gt;"&amp;$A180,案件一覧!$C$3:$C$62,"&lt;&gt;キャンセル")=0,"",INDEX(案件一覧!$J$3:$J$62,MATCH(1,INDEX((案件一覧!$N$3:$N$62=D$3)*(案件一覧!$E$3:$E$62&lt;=$A180)*(案件一覧!$F$3:$F$62&gt;$A180)*(案件一覧!$C$3:$C$62&lt;&gt;"キャンセル"),0),0))&amp;IF(COUNTIFS(案件一覧!$N$3:$N$62,D$3,案件一覧!$E$3:$E$62,"&lt;="&amp;$A180,案件一覧!$F$3:$F$62,"&gt;"&amp;$A180,案件一覧!$C$3:$C$62,"&lt;&gt;キャンセル")&gt;1," ◆重複!",""))</f>
        <v/>
      </c>
      <c r="E180" s="18" t="str">
        <f aca="false">IF(COUNTIFS(案件一覧!$N$3:$N$62,E$3,案件一覧!$E$3:$E$62,"&lt;="&amp;$A180,案件一覧!$F$3:$F$62,"&gt;"&amp;$A180,案件一覧!$C$3:$C$62,"&lt;&gt;キャンセル")=0,"",INDEX(案件一覧!$J$3:$J$62,MATCH(1,INDEX((案件一覧!$N$3:$N$62=E$3)*(案件一覧!$E$3:$E$62&lt;=$A180)*(案件一覧!$F$3:$F$62&gt;$A180)*(案件一覧!$C$3:$C$62&lt;&gt;"キャンセル"),0),0))&amp;IF(COUNTIFS(案件一覧!$N$3:$N$62,E$3,案件一覧!$E$3:$E$62,"&lt;="&amp;$A180,案件一覧!$F$3:$F$62,"&gt;"&amp;$A180,案件一覧!$C$3:$C$62,"&lt;&gt;キャンセル")&gt;1," ◆重複!",""))</f>
        <v/>
      </c>
      <c r="F180" s="18" t="str">
        <f aca="false">IF(COUNTIFS(案件一覧!$N$3:$N$62,F$3,案件一覧!$E$3:$E$62,"&lt;="&amp;$A180,案件一覧!$F$3:$F$62,"&gt;"&amp;$A180,案件一覧!$C$3:$C$62,"&lt;&gt;キャンセル")=0,"",INDEX(案件一覧!$J$3:$J$62,MATCH(1,INDEX((案件一覧!$N$3:$N$62=F$3)*(案件一覧!$E$3:$E$62&lt;=$A180)*(案件一覧!$F$3:$F$62&gt;$A180)*(案件一覧!$C$3:$C$62&lt;&gt;"キャンセル"),0),0))&amp;IF(COUNTIFS(案件一覧!$N$3:$N$62,F$3,案件一覧!$E$3:$E$62,"&lt;="&amp;$A180,案件一覧!$F$3:$F$62,"&gt;"&amp;$A180,案件一覧!$C$3:$C$62,"&lt;&gt;キャンセル")&gt;1," ◆重複!",""))</f>
        <v/>
      </c>
      <c r="G180" s="18" t="str">
        <f aca="false">IF(COUNTIFS(案件一覧!$N$3:$N$62,G$3,案件一覧!$E$3:$E$62,"&lt;="&amp;$A180,案件一覧!$F$3:$F$62,"&gt;"&amp;$A180,案件一覧!$C$3:$C$62,"&lt;&gt;キャンセル")=0,"",INDEX(案件一覧!$J$3:$J$62,MATCH(1,INDEX((案件一覧!$N$3:$N$62=G$3)*(案件一覧!$E$3:$E$62&lt;=$A180)*(案件一覧!$F$3:$F$62&gt;$A180)*(案件一覧!$C$3:$C$62&lt;&gt;"キャンセル"),0),0))&amp;IF(COUNTIFS(案件一覧!$N$3:$N$62,G$3,案件一覧!$E$3:$E$62,"&lt;="&amp;$A180,案件一覧!$F$3:$F$62,"&gt;"&amp;$A180,案件一覧!$C$3:$C$62,"&lt;&gt;キャンセル")&gt;1," ◆重複!",""))</f>
        <v/>
      </c>
      <c r="H180" s="18" t="str">
        <f aca="false">IF(COUNTIFS(案件一覧!$N$3:$N$62,H$3,案件一覧!$E$3:$E$62,"&lt;="&amp;$A180,案件一覧!$F$3:$F$62,"&gt;"&amp;$A180,案件一覧!$C$3:$C$62,"&lt;&gt;キャンセル")=0,"",INDEX(案件一覧!$J$3:$J$62,MATCH(1,INDEX((案件一覧!$N$3:$N$62=H$3)*(案件一覧!$E$3:$E$62&lt;=$A180)*(案件一覧!$F$3:$F$62&gt;$A180)*(案件一覧!$C$3:$C$62&lt;&gt;"キャンセル"),0),0))&amp;IF(COUNTIFS(案件一覧!$N$3:$N$62,H$3,案件一覧!$E$3:$E$62,"&lt;="&amp;$A180,案件一覧!$F$3:$F$62,"&gt;"&amp;$A180,案件一覧!$C$3:$C$62,"&lt;&gt;キャンセル")&gt;1," ◆重複!",""))</f>
        <v/>
      </c>
    </row>
    <row r="181" customFormat="false" ht="15" hidden="false" customHeight="false" outlineLevel="0" collapsed="false">
      <c r="A181" s="16" t="n">
        <v>46381</v>
      </c>
      <c r="B181" s="17" t="s">
        <v>44</v>
      </c>
      <c r="C181" s="18" t="str">
        <f aca="false">IF(COUNTIFS(案件一覧!$N$3:$N$62,C$3,案件一覧!$E$3:$E$62,"&lt;="&amp;$A181,案件一覧!$F$3:$F$62,"&gt;"&amp;$A181,案件一覧!$C$3:$C$62,"&lt;&gt;キャンセル")=0,"",INDEX(案件一覧!$J$3:$J$62,MATCH(1,INDEX((案件一覧!$N$3:$N$62=C$3)*(案件一覧!$E$3:$E$62&lt;=$A181)*(案件一覧!$F$3:$F$62&gt;$A181)*(案件一覧!$C$3:$C$62&lt;&gt;"キャンセル"),0),0))&amp;IF(COUNTIFS(案件一覧!$N$3:$N$62,C$3,案件一覧!$E$3:$E$62,"&lt;="&amp;$A181,案件一覧!$F$3:$F$62,"&gt;"&amp;$A181,案件一覧!$C$3:$C$62,"&lt;&gt;キャンセル")&gt;1," ◆重複!",""))</f>
        <v/>
      </c>
      <c r="D181" s="18" t="str">
        <f aca="false">IF(COUNTIFS(案件一覧!$N$3:$N$62,D$3,案件一覧!$E$3:$E$62,"&lt;="&amp;$A181,案件一覧!$F$3:$F$62,"&gt;"&amp;$A181,案件一覧!$C$3:$C$62,"&lt;&gt;キャンセル")=0,"",INDEX(案件一覧!$J$3:$J$62,MATCH(1,INDEX((案件一覧!$N$3:$N$62=D$3)*(案件一覧!$E$3:$E$62&lt;=$A181)*(案件一覧!$F$3:$F$62&gt;$A181)*(案件一覧!$C$3:$C$62&lt;&gt;"キャンセル"),0),0))&amp;IF(COUNTIFS(案件一覧!$N$3:$N$62,D$3,案件一覧!$E$3:$E$62,"&lt;="&amp;$A181,案件一覧!$F$3:$F$62,"&gt;"&amp;$A181,案件一覧!$C$3:$C$62,"&lt;&gt;キャンセル")&gt;1," ◆重複!",""))</f>
        <v/>
      </c>
      <c r="E181" s="18" t="str">
        <f aca="false">IF(COUNTIFS(案件一覧!$N$3:$N$62,E$3,案件一覧!$E$3:$E$62,"&lt;="&amp;$A181,案件一覧!$F$3:$F$62,"&gt;"&amp;$A181,案件一覧!$C$3:$C$62,"&lt;&gt;キャンセル")=0,"",INDEX(案件一覧!$J$3:$J$62,MATCH(1,INDEX((案件一覧!$N$3:$N$62=E$3)*(案件一覧!$E$3:$E$62&lt;=$A181)*(案件一覧!$F$3:$F$62&gt;$A181)*(案件一覧!$C$3:$C$62&lt;&gt;"キャンセル"),0),0))&amp;IF(COUNTIFS(案件一覧!$N$3:$N$62,E$3,案件一覧!$E$3:$E$62,"&lt;="&amp;$A181,案件一覧!$F$3:$F$62,"&gt;"&amp;$A181,案件一覧!$C$3:$C$62,"&lt;&gt;キャンセル")&gt;1," ◆重複!",""))</f>
        <v/>
      </c>
      <c r="F181" s="18" t="str">
        <f aca="false">IF(COUNTIFS(案件一覧!$N$3:$N$62,F$3,案件一覧!$E$3:$E$62,"&lt;="&amp;$A181,案件一覧!$F$3:$F$62,"&gt;"&amp;$A181,案件一覧!$C$3:$C$62,"&lt;&gt;キャンセル")=0,"",INDEX(案件一覧!$J$3:$J$62,MATCH(1,INDEX((案件一覧!$N$3:$N$62=F$3)*(案件一覧!$E$3:$E$62&lt;=$A181)*(案件一覧!$F$3:$F$62&gt;$A181)*(案件一覧!$C$3:$C$62&lt;&gt;"キャンセル"),0),0))&amp;IF(COUNTIFS(案件一覧!$N$3:$N$62,F$3,案件一覧!$E$3:$E$62,"&lt;="&amp;$A181,案件一覧!$F$3:$F$62,"&gt;"&amp;$A181,案件一覧!$C$3:$C$62,"&lt;&gt;キャンセル")&gt;1," ◆重複!",""))</f>
        <v/>
      </c>
      <c r="G181" s="18" t="str">
        <f aca="false">IF(COUNTIFS(案件一覧!$N$3:$N$62,G$3,案件一覧!$E$3:$E$62,"&lt;="&amp;$A181,案件一覧!$F$3:$F$62,"&gt;"&amp;$A181,案件一覧!$C$3:$C$62,"&lt;&gt;キャンセル")=0,"",INDEX(案件一覧!$J$3:$J$62,MATCH(1,INDEX((案件一覧!$N$3:$N$62=G$3)*(案件一覧!$E$3:$E$62&lt;=$A181)*(案件一覧!$F$3:$F$62&gt;$A181)*(案件一覧!$C$3:$C$62&lt;&gt;"キャンセル"),0),0))&amp;IF(COUNTIFS(案件一覧!$N$3:$N$62,G$3,案件一覧!$E$3:$E$62,"&lt;="&amp;$A181,案件一覧!$F$3:$F$62,"&gt;"&amp;$A181,案件一覧!$C$3:$C$62,"&lt;&gt;キャンセル")&gt;1," ◆重複!",""))</f>
        <v/>
      </c>
      <c r="H181" s="18" t="str">
        <f aca="false">IF(COUNTIFS(案件一覧!$N$3:$N$62,H$3,案件一覧!$E$3:$E$62,"&lt;="&amp;$A181,案件一覧!$F$3:$F$62,"&gt;"&amp;$A181,案件一覧!$C$3:$C$62,"&lt;&gt;キャンセル")=0,"",INDEX(案件一覧!$J$3:$J$62,MATCH(1,INDEX((案件一覧!$N$3:$N$62=H$3)*(案件一覧!$E$3:$E$62&lt;=$A181)*(案件一覧!$F$3:$F$62&gt;$A181)*(案件一覧!$C$3:$C$62&lt;&gt;"キャンセル"),0),0))&amp;IF(COUNTIFS(案件一覧!$N$3:$N$62,H$3,案件一覧!$E$3:$E$62,"&lt;="&amp;$A181,案件一覧!$F$3:$F$62,"&gt;"&amp;$A181,案件一覧!$C$3:$C$62,"&lt;&gt;キャンセル")&gt;1," ◆重複!",""))</f>
        <v/>
      </c>
    </row>
    <row r="182" customFormat="false" ht="15" hidden="false" customHeight="false" outlineLevel="0" collapsed="false">
      <c r="A182" s="19" t="n">
        <v>46382</v>
      </c>
      <c r="B182" s="20" t="s">
        <v>45</v>
      </c>
      <c r="C182" s="21" t="str">
        <f aca="false">IF(COUNTIFS(案件一覧!$N$3:$N$62,C$3,案件一覧!$E$3:$E$62,"&lt;="&amp;$A182,案件一覧!$F$3:$F$62,"&gt;"&amp;$A182,案件一覧!$C$3:$C$62,"&lt;&gt;キャンセル")=0,"",INDEX(案件一覧!$J$3:$J$62,MATCH(1,INDEX((案件一覧!$N$3:$N$62=C$3)*(案件一覧!$E$3:$E$62&lt;=$A182)*(案件一覧!$F$3:$F$62&gt;$A182)*(案件一覧!$C$3:$C$62&lt;&gt;"キャンセル"),0),0))&amp;IF(COUNTIFS(案件一覧!$N$3:$N$62,C$3,案件一覧!$E$3:$E$62,"&lt;="&amp;$A182,案件一覧!$F$3:$F$62,"&gt;"&amp;$A182,案件一覧!$C$3:$C$62,"&lt;&gt;キャンセル")&gt;1," ◆重複!",""))</f>
        <v/>
      </c>
      <c r="D182" s="21" t="str">
        <f aca="false">IF(COUNTIFS(案件一覧!$N$3:$N$62,D$3,案件一覧!$E$3:$E$62,"&lt;="&amp;$A182,案件一覧!$F$3:$F$62,"&gt;"&amp;$A182,案件一覧!$C$3:$C$62,"&lt;&gt;キャンセル")=0,"",INDEX(案件一覧!$J$3:$J$62,MATCH(1,INDEX((案件一覧!$N$3:$N$62=D$3)*(案件一覧!$E$3:$E$62&lt;=$A182)*(案件一覧!$F$3:$F$62&gt;$A182)*(案件一覧!$C$3:$C$62&lt;&gt;"キャンセル"),0),0))&amp;IF(COUNTIFS(案件一覧!$N$3:$N$62,D$3,案件一覧!$E$3:$E$62,"&lt;="&amp;$A182,案件一覧!$F$3:$F$62,"&gt;"&amp;$A182,案件一覧!$C$3:$C$62,"&lt;&gt;キャンセル")&gt;1," ◆重複!",""))</f>
        <v/>
      </c>
      <c r="E182" s="21" t="str">
        <f aca="false">IF(COUNTIFS(案件一覧!$N$3:$N$62,E$3,案件一覧!$E$3:$E$62,"&lt;="&amp;$A182,案件一覧!$F$3:$F$62,"&gt;"&amp;$A182,案件一覧!$C$3:$C$62,"&lt;&gt;キャンセル")=0,"",INDEX(案件一覧!$J$3:$J$62,MATCH(1,INDEX((案件一覧!$N$3:$N$62=E$3)*(案件一覧!$E$3:$E$62&lt;=$A182)*(案件一覧!$F$3:$F$62&gt;$A182)*(案件一覧!$C$3:$C$62&lt;&gt;"キャンセル"),0),0))&amp;IF(COUNTIFS(案件一覧!$N$3:$N$62,E$3,案件一覧!$E$3:$E$62,"&lt;="&amp;$A182,案件一覧!$F$3:$F$62,"&gt;"&amp;$A182,案件一覧!$C$3:$C$62,"&lt;&gt;キャンセル")&gt;1," ◆重複!",""))</f>
        <v/>
      </c>
      <c r="F182" s="21" t="str">
        <f aca="false">IF(COUNTIFS(案件一覧!$N$3:$N$62,F$3,案件一覧!$E$3:$E$62,"&lt;="&amp;$A182,案件一覧!$F$3:$F$62,"&gt;"&amp;$A182,案件一覧!$C$3:$C$62,"&lt;&gt;キャンセル")=0,"",INDEX(案件一覧!$J$3:$J$62,MATCH(1,INDEX((案件一覧!$N$3:$N$62=F$3)*(案件一覧!$E$3:$E$62&lt;=$A182)*(案件一覧!$F$3:$F$62&gt;$A182)*(案件一覧!$C$3:$C$62&lt;&gt;"キャンセル"),0),0))&amp;IF(COUNTIFS(案件一覧!$N$3:$N$62,F$3,案件一覧!$E$3:$E$62,"&lt;="&amp;$A182,案件一覧!$F$3:$F$62,"&gt;"&amp;$A182,案件一覧!$C$3:$C$62,"&lt;&gt;キャンセル")&gt;1," ◆重複!",""))</f>
        <v/>
      </c>
      <c r="G182" s="21" t="str">
        <f aca="false">IF(COUNTIFS(案件一覧!$N$3:$N$62,G$3,案件一覧!$E$3:$E$62,"&lt;="&amp;$A182,案件一覧!$F$3:$F$62,"&gt;"&amp;$A182,案件一覧!$C$3:$C$62,"&lt;&gt;キャンセル")=0,"",INDEX(案件一覧!$J$3:$J$62,MATCH(1,INDEX((案件一覧!$N$3:$N$62=G$3)*(案件一覧!$E$3:$E$62&lt;=$A182)*(案件一覧!$F$3:$F$62&gt;$A182)*(案件一覧!$C$3:$C$62&lt;&gt;"キャンセル"),0),0))&amp;IF(COUNTIFS(案件一覧!$N$3:$N$62,G$3,案件一覧!$E$3:$E$62,"&lt;="&amp;$A182,案件一覧!$F$3:$F$62,"&gt;"&amp;$A182,案件一覧!$C$3:$C$62,"&lt;&gt;キャンセル")&gt;1," ◆重複!",""))</f>
        <v/>
      </c>
      <c r="H182" s="21" t="str">
        <f aca="false">IF(COUNTIFS(案件一覧!$N$3:$N$62,H$3,案件一覧!$E$3:$E$62,"&lt;="&amp;$A182,案件一覧!$F$3:$F$62,"&gt;"&amp;$A182,案件一覧!$C$3:$C$62,"&lt;&gt;キャンセル")=0,"",INDEX(案件一覧!$J$3:$J$62,MATCH(1,INDEX((案件一覧!$N$3:$N$62=H$3)*(案件一覧!$E$3:$E$62&lt;=$A182)*(案件一覧!$F$3:$F$62&gt;$A182)*(案件一覧!$C$3:$C$62&lt;&gt;"キャンセル"),0),0))&amp;IF(COUNTIFS(案件一覧!$N$3:$N$62,H$3,案件一覧!$E$3:$E$62,"&lt;="&amp;$A182,案件一覧!$F$3:$F$62,"&gt;"&amp;$A182,案件一覧!$C$3:$C$62,"&lt;&gt;キャンセル")&gt;1," ◆重複!",""))</f>
        <v/>
      </c>
    </row>
    <row r="183" customFormat="false" ht="15" hidden="false" customHeight="false" outlineLevel="0" collapsed="false">
      <c r="A183" s="22" t="n">
        <v>46383</v>
      </c>
      <c r="B183" s="23" t="s">
        <v>46</v>
      </c>
      <c r="C183" s="24" t="str">
        <f aca="false">IF(COUNTIFS(案件一覧!$N$3:$N$62,C$3,案件一覧!$E$3:$E$62,"&lt;="&amp;$A183,案件一覧!$F$3:$F$62,"&gt;"&amp;$A183,案件一覧!$C$3:$C$62,"&lt;&gt;キャンセル")=0,"",INDEX(案件一覧!$J$3:$J$62,MATCH(1,INDEX((案件一覧!$N$3:$N$62=C$3)*(案件一覧!$E$3:$E$62&lt;=$A183)*(案件一覧!$F$3:$F$62&gt;$A183)*(案件一覧!$C$3:$C$62&lt;&gt;"キャンセル"),0),0))&amp;IF(COUNTIFS(案件一覧!$N$3:$N$62,C$3,案件一覧!$E$3:$E$62,"&lt;="&amp;$A183,案件一覧!$F$3:$F$62,"&gt;"&amp;$A183,案件一覧!$C$3:$C$62,"&lt;&gt;キャンセル")&gt;1," ◆重複!",""))</f>
        <v/>
      </c>
      <c r="D183" s="24" t="str">
        <f aca="false">IF(COUNTIFS(案件一覧!$N$3:$N$62,D$3,案件一覧!$E$3:$E$62,"&lt;="&amp;$A183,案件一覧!$F$3:$F$62,"&gt;"&amp;$A183,案件一覧!$C$3:$C$62,"&lt;&gt;キャンセル")=0,"",INDEX(案件一覧!$J$3:$J$62,MATCH(1,INDEX((案件一覧!$N$3:$N$62=D$3)*(案件一覧!$E$3:$E$62&lt;=$A183)*(案件一覧!$F$3:$F$62&gt;$A183)*(案件一覧!$C$3:$C$62&lt;&gt;"キャンセル"),0),0))&amp;IF(COUNTIFS(案件一覧!$N$3:$N$62,D$3,案件一覧!$E$3:$E$62,"&lt;="&amp;$A183,案件一覧!$F$3:$F$62,"&gt;"&amp;$A183,案件一覧!$C$3:$C$62,"&lt;&gt;キャンセル")&gt;1," ◆重複!",""))</f>
        <v/>
      </c>
      <c r="E183" s="24" t="str">
        <f aca="false">IF(COUNTIFS(案件一覧!$N$3:$N$62,E$3,案件一覧!$E$3:$E$62,"&lt;="&amp;$A183,案件一覧!$F$3:$F$62,"&gt;"&amp;$A183,案件一覧!$C$3:$C$62,"&lt;&gt;キャンセル")=0,"",INDEX(案件一覧!$J$3:$J$62,MATCH(1,INDEX((案件一覧!$N$3:$N$62=E$3)*(案件一覧!$E$3:$E$62&lt;=$A183)*(案件一覧!$F$3:$F$62&gt;$A183)*(案件一覧!$C$3:$C$62&lt;&gt;"キャンセル"),0),0))&amp;IF(COUNTIFS(案件一覧!$N$3:$N$62,E$3,案件一覧!$E$3:$E$62,"&lt;="&amp;$A183,案件一覧!$F$3:$F$62,"&gt;"&amp;$A183,案件一覧!$C$3:$C$62,"&lt;&gt;キャンセル")&gt;1," ◆重複!",""))</f>
        <v/>
      </c>
      <c r="F183" s="24" t="str">
        <f aca="false">IF(COUNTIFS(案件一覧!$N$3:$N$62,F$3,案件一覧!$E$3:$E$62,"&lt;="&amp;$A183,案件一覧!$F$3:$F$62,"&gt;"&amp;$A183,案件一覧!$C$3:$C$62,"&lt;&gt;キャンセル")=0,"",INDEX(案件一覧!$J$3:$J$62,MATCH(1,INDEX((案件一覧!$N$3:$N$62=F$3)*(案件一覧!$E$3:$E$62&lt;=$A183)*(案件一覧!$F$3:$F$62&gt;$A183)*(案件一覧!$C$3:$C$62&lt;&gt;"キャンセル"),0),0))&amp;IF(COUNTIFS(案件一覧!$N$3:$N$62,F$3,案件一覧!$E$3:$E$62,"&lt;="&amp;$A183,案件一覧!$F$3:$F$62,"&gt;"&amp;$A183,案件一覧!$C$3:$C$62,"&lt;&gt;キャンセル")&gt;1," ◆重複!",""))</f>
        <v/>
      </c>
      <c r="G183" s="24" t="str">
        <f aca="false">IF(COUNTIFS(案件一覧!$N$3:$N$62,G$3,案件一覧!$E$3:$E$62,"&lt;="&amp;$A183,案件一覧!$F$3:$F$62,"&gt;"&amp;$A183,案件一覧!$C$3:$C$62,"&lt;&gt;キャンセル")=0,"",INDEX(案件一覧!$J$3:$J$62,MATCH(1,INDEX((案件一覧!$N$3:$N$62=G$3)*(案件一覧!$E$3:$E$62&lt;=$A183)*(案件一覧!$F$3:$F$62&gt;$A183)*(案件一覧!$C$3:$C$62&lt;&gt;"キャンセル"),0),0))&amp;IF(COUNTIFS(案件一覧!$N$3:$N$62,G$3,案件一覧!$E$3:$E$62,"&lt;="&amp;$A183,案件一覧!$F$3:$F$62,"&gt;"&amp;$A183,案件一覧!$C$3:$C$62,"&lt;&gt;キャンセル")&gt;1," ◆重複!",""))</f>
        <v/>
      </c>
      <c r="H183" s="24" t="str">
        <f aca="false">IF(COUNTIFS(案件一覧!$N$3:$N$62,H$3,案件一覧!$E$3:$E$62,"&lt;="&amp;$A183,案件一覧!$F$3:$F$62,"&gt;"&amp;$A183,案件一覧!$C$3:$C$62,"&lt;&gt;キャンセル")=0,"",INDEX(案件一覧!$J$3:$J$62,MATCH(1,INDEX((案件一覧!$N$3:$N$62=H$3)*(案件一覧!$E$3:$E$62&lt;=$A183)*(案件一覧!$F$3:$F$62&gt;$A183)*(案件一覧!$C$3:$C$62&lt;&gt;"キャンセル"),0),0))&amp;IF(COUNTIFS(案件一覧!$N$3:$N$62,H$3,案件一覧!$E$3:$E$62,"&lt;="&amp;$A183,案件一覧!$F$3:$F$62,"&gt;"&amp;$A183,案件一覧!$C$3:$C$62,"&lt;&gt;キャンセル")&gt;1," ◆重複!",""))</f>
        <v/>
      </c>
    </row>
    <row r="184" customFormat="false" ht="15" hidden="false" customHeight="false" outlineLevel="0" collapsed="false">
      <c r="A184" s="16" t="n">
        <v>46384</v>
      </c>
      <c r="B184" s="17" t="s">
        <v>47</v>
      </c>
      <c r="C184" s="18" t="str">
        <f aca="false">IF(COUNTIFS(案件一覧!$N$3:$N$62,C$3,案件一覧!$E$3:$E$62,"&lt;="&amp;$A184,案件一覧!$F$3:$F$62,"&gt;"&amp;$A184,案件一覧!$C$3:$C$62,"&lt;&gt;キャンセル")=0,"",INDEX(案件一覧!$J$3:$J$62,MATCH(1,INDEX((案件一覧!$N$3:$N$62=C$3)*(案件一覧!$E$3:$E$62&lt;=$A184)*(案件一覧!$F$3:$F$62&gt;$A184)*(案件一覧!$C$3:$C$62&lt;&gt;"キャンセル"),0),0))&amp;IF(COUNTIFS(案件一覧!$N$3:$N$62,C$3,案件一覧!$E$3:$E$62,"&lt;="&amp;$A184,案件一覧!$F$3:$F$62,"&gt;"&amp;$A184,案件一覧!$C$3:$C$62,"&lt;&gt;キャンセル")&gt;1," ◆重複!",""))</f>
        <v/>
      </c>
      <c r="D184" s="18" t="str">
        <f aca="false">IF(COUNTIFS(案件一覧!$N$3:$N$62,D$3,案件一覧!$E$3:$E$62,"&lt;="&amp;$A184,案件一覧!$F$3:$F$62,"&gt;"&amp;$A184,案件一覧!$C$3:$C$62,"&lt;&gt;キャンセル")=0,"",INDEX(案件一覧!$J$3:$J$62,MATCH(1,INDEX((案件一覧!$N$3:$N$62=D$3)*(案件一覧!$E$3:$E$62&lt;=$A184)*(案件一覧!$F$3:$F$62&gt;$A184)*(案件一覧!$C$3:$C$62&lt;&gt;"キャンセル"),0),0))&amp;IF(COUNTIFS(案件一覧!$N$3:$N$62,D$3,案件一覧!$E$3:$E$62,"&lt;="&amp;$A184,案件一覧!$F$3:$F$62,"&gt;"&amp;$A184,案件一覧!$C$3:$C$62,"&lt;&gt;キャンセル")&gt;1," ◆重複!",""))</f>
        <v/>
      </c>
      <c r="E184" s="18" t="str">
        <f aca="false">IF(COUNTIFS(案件一覧!$N$3:$N$62,E$3,案件一覧!$E$3:$E$62,"&lt;="&amp;$A184,案件一覧!$F$3:$F$62,"&gt;"&amp;$A184,案件一覧!$C$3:$C$62,"&lt;&gt;キャンセル")=0,"",INDEX(案件一覧!$J$3:$J$62,MATCH(1,INDEX((案件一覧!$N$3:$N$62=E$3)*(案件一覧!$E$3:$E$62&lt;=$A184)*(案件一覧!$F$3:$F$62&gt;$A184)*(案件一覧!$C$3:$C$62&lt;&gt;"キャンセル"),0),0))&amp;IF(COUNTIFS(案件一覧!$N$3:$N$62,E$3,案件一覧!$E$3:$E$62,"&lt;="&amp;$A184,案件一覧!$F$3:$F$62,"&gt;"&amp;$A184,案件一覧!$C$3:$C$62,"&lt;&gt;キャンセル")&gt;1," ◆重複!",""))</f>
        <v/>
      </c>
      <c r="F184" s="18" t="str">
        <f aca="false">IF(COUNTIFS(案件一覧!$N$3:$N$62,F$3,案件一覧!$E$3:$E$62,"&lt;="&amp;$A184,案件一覧!$F$3:$F$62,"&gt;"&amp;$A184,案件一覧!$C$3:$C$62,"&lt;&gt;キャンセル")=0,"",INDEX(案件一覧!$J$3:$J$62,MATCH(1,INDEX((案件一覧!$N$3:$N$62=F$3)*(案件一覧!$E$3:$E$62&lt;=$A184)*(案件一覧!$F$3:$F$62&gt;$A184)*(案件一覧!$C$3:$C$62&lt;&gt;"キャンセル"),0),0))&amp;IF(COUNTIFS(案件一覧!$N$3:$N$62,F$3,案件一覧!$E$3:$E$62,"&lt;="&amp;$A184,案件一覧!$F$3:$F$62,"&gt;"&amp;$A184,案件一覧!$C$3:$C$62,"&lt;&gt;キャンセル")&gt;1," ◆重複!",""))</f>
        <v/>
      </c>
      <c r="G184" s="18" t="str">
        <f aca="false">IF(COUNTIFS(案件一覧!$N$3:$N$62,G$3,案件一覧!$E$3:$E$62,"&lt;="&amp;$A184,案件一覧!$F$3:$F$62,"&gt;"&amp;$A184,案件一覧!$C$3:$C$62,"&lt;&gt;キャンセル")=0,"",INDEX(案件一覧!$J$3:$J$62,MATCH(1,INDEX((案件一覧!$N$3:$N$62=G$3)*(案件一覧!$E$3:$E$62&lt;=$A184)*(案件一覧!$F$3:$F$62&gt;$A184)*(案件一覧!$C$3:$C$62&lt;&gt;"キャンセル"),0),0))&amp;IF(COUNTIFS(案件一覧!$N$3:$N$62,G$3,案件一覧!$E$3:$E$62,"&lt;="&amp;$A184,案件一覧!$F$3:$F$62,"&gt;"&amp;$A184,案件一覧!$C$3:$C$62,"&lt;&gt;キャンセル")&gt;1," ◆重複!",""))</f>
        <v/>
      </c>
      <c r="H184" s="18" t="str">
        <f aca="false">IF(COUNTIFS(案件一覧!$N$3:$N$62,H$3,案件一覧!$E$3:$E$62,"&lt;="&amp;$A184,案件一覧!$F$3:$F$62,"&gt;"&amp;$A184,案件一覧!$C$3:$C$62,"&lt;&gt;キャンセル")=0,"",INDEX(案件一覧!$J$3:$J$62,MATCH(1,INDEX((案件一覧!$N$3:$N$62=H$3)*(案件一覧!$E$3:$E$62&lt;=$A184)*(案件一覧!$F$3:$F$62&gt;$A184)*(案件一覧!$C$3:$C$62&lt;&gt;"キャンセル"),0),0))&amp;IF(COUNTIFS(案件一覧!$N$3:$N$62,H$3,案件一覧!$E$3:$E$62,"&lt;="&amp;$A184,案件一覧!$F$3:$F$62,"&gt;"&amp;$A184,案件一覧!$C$3:$C$62,"&lt;&gt;キャンセル")&gt;1," ◆重複!",""))</f>
        <v/>
      </c>
    </row>
    <row r="185" customFormat="false" ht="15" hidden="false" customHeight="false" outlineLevel="0" collapsed="false">
      <c r="A185" s="16" t="n">
        <v>46385</v>
      </c>
      <c r="B185" s="17" t="s">
        <v>48</v>
      </c>
      <c r="C185" s="18" t="str">
        <f aca="false">IF(COUNTIFS(案件一覧!$N$3:$N$62,C$3,案件一覧!$E$3:$E$62,"&lt;="&amp;$A185,案件一覧!$F$3:$F$62,"&gt;"&amp;$A185,案件一覧!$C$3:$C$62,"&lt;&gt;キャンセル")=0,"",INDEX(案件一覧!$J$3:$J$62,MATCH(1,INDEX((案件一覧!$N$3:$N$62=C$3)*(案件一覧!$E$3:$E$62&lt;=$A185)*(案件一覧!$F$3:$F$62&gt;$A185)*(案件一覧!$C$3:$C$62&lt;&gt;"キャンセル"),0),0))&amp;IF(COUNTIFS(案件一覧!$N$3:$N$62,C$3,案件一覧!$E$3:$E$62,"&lt;="&amp;$A185,案件一覧!$F$3:$F$62,"&gt;"&amp;$A185,案件一覧!$C$3:$C$62,"&lt;&gt;キャンセル")&gt;1," ◆重複!",""))</f>
        <v/>
      </c>
      <c r="D185" s="18" t="str">
        <f aca="false">IF(COUNTIFS(案件一覧!$N$3:$N$62,D$3,案件一覧!$E$3:$E$62,"&lt;="&amp;$A185,案件一覧!$F$3:$F$62,"&gt;"&amp;$A185,案件一覧!$C$3:$C$62,"&lt;&gt;キャンセル")=0,"",INDEX(案件一覧!$J$3:$J$62,MATCH(1,INDEX((案件一覧!$N$3:$N$62=D$3)*(案件一覧!$E$3:$E$62&lt;=$A185)*(案件一覧!$F$3:$F$62&gt;$A185)*(案件一覧!$C$3:$C$62&lt;&gt;"キャンセル"),0),0))&amp;IF(COUNTIFS(案件一覧!$N$3:$N$62,D$3,案件一覧!$E$3:$E$62,"&lt;="&amp;$A185,案件一覧!$F$3:$F$62,"&gt;"&amp;$A185,案件一覧!$C$3:$C$62,"&lt;&gt;キャンセル")&gt;1," ◆重複!",""))</f>
        <v/>
      </c>
      <c r="E185" s="18" t="str">
        <f aca="false">IF(COUNTIFS(案件一覧!$N$3:$N$62,E$3,案件一覧!$E$3:$E$62,"&lt;="&amp;$A185,案件一覧!$F$3:$F$62,"&gt;"&amp;$A185,案件一覧!$C$3:$C$62,"&lt;&gt;キャンセル")=0,"",INDEX(案件一覧!$J$3:$J$62,MATCH(1,INDEX((案件一覧!$N$3:$N$62=E$3)*(案件一覧!$E$3:$E$62&lt;=$A185)*(案件一覧!$F$3:$F$62&gt;$A185)*(案件一覧!$C$3:$C$62&lt;&gt;"キャンセル"),0),0))&amp;IF(COUNTIFS(案件一覧!$N$3:$N$62,E$3,案件一覧!$E$3:$E$62,"&lt;="&amp;$A185,案件一覧!$F$3:$F$62,"&gt;"&amp;$A185,案件一覧!$C$3:$C$62,"&lt;&gt;キャンセル")&gt;1," ◆重複!",""))</f>
        <v/>
      </c>
      <c r="F185" s="18" t="str">
        <f aca="false">IF(COUNTIFS(案件一覧!$N$3:$N$62,F$3,案件一覧!$E$3:$E$62,"&lt;="&amp;$A185,案件一覧!$F$3:$F$62,"&gt;"&amp;$A185,案件一覧!$C$3:$C$62,"&lt;&gt;キャンセル")=0,"",INDEX(案件一覧!$J$3:$J$62,MATCH(1,INDEX((案件一覧!$N$3:$N$62=F$3)*(案件一覧!$E$3:$E$62&lt;=$A185)*(案件一覧!$F$3:$F$62&gt;$A185)*(案件一覧!$C$3:$C$62&lt;&gt;"キャンセル"),0),0))&amp;IF(COUNTIFS(案件一覧!$N$3:$N$62,F$3,案件一覧!$E$3:$E$62,"&lt;="&amp;$A185,案件一覧!$F$3:$F$62,"&gt;"&amp;$A185,案件一覧!$C$3:$C$62,"&lt;&gt;キャンセル")&gt;1," ◆重複!",""))</f>
        <v/>
      </c>
      <c r="G185" s="18" t="str">
        <f aca="false">IF(COUNTIFS(案件一覧!$N$3:$N$62,G$3,案件一覧!$E$3:$E$62,"&lt;="&amp;$A185,案件一覧!$F$3:$F$62,"&gt;"&amp;$A185,案件一覧!$C$3:$C$62,"&lt;&gt;キャンセル")=0,"",INDEX(案件一覧!$J$3:$J$62,MATCH(1,INDEX((案件一覧!$N$3:$N$62=G$3)*(案件一覧!$E$3:$E$62&lt;=$A185)*(案件一覧!$F$3:$F$62&gt;$A185)*(案件一覧!$C$3:$C$62&lt;&gt;"キャンセル"),0),0))&amp;IF(COUNTIFS(案件一覧!$N$3:$N$62,G$3,案件一覧!$E$3:$E$62,"&lt;="&amp;$A185,案件一覧!$F$3:$F$62,"&gt;"&amp;$A185,案件一覧!$C$3:$C$62,"&lt;&gt;キャンセル")&gt;1," ◆重複!",""))</f>
        <v/>
      </c>
      <c r="H185" s="18" t="str">
        <f aca="false">IF(COUNTIFS(案件一覧!$N$3:$N$62,H$3,案件一覧!$E$3:$E$62,"&lt;="&amp;$A185,案件一覧!$F$3:$F$62,"&gt;"&amp;$A185,案件一覧!$C$3:$C$62,"&lt;&gt;キャンセル")=0,"",INDEX(案件一覧!$J$3:$J$62,MATCH(1,INDEX((案件一覧!$N$3:$N$62=H$3)*(案件一覧!$E$3:$E$62&lt;=$A185)*(案件一覧!$F$3:$F$62&gt;$A185)*(案件一覧!$C$3:$C$62&lt;&gt;"キャンセル"),0),0))&amp;IF(COUNTIFS(案件一覧!$N$3:$N$62,H$3,案件一覧!$E$3:$E$62,"&lt;="&amp;$A185,案件一覧!$F$3:$F$62,"&gt;"&amp;$A185,案件一覧!$C$3:$C$62,"&lt;&gt;キャンセル")&gt;1," ◆重複!",""))</f>
        <v/>
      </c>
    </row>
    <row r="186" customFormat="false" ht="15" hidden="false" customHeight="false" outlineLevel="0" collapsed="false">
      <c r="A186" s="16" t="n">
        <v>46386</v>
      </c>
      <c r="B186" s="17" t="s">
        <v>42</v>
      </c>
      <c r="C186" s="18" t="str">
        <f aca="false">IF(COUNTIFS(案件一覧!$N$3:$N$62,C$3,案件一覧!$E$3:$E$62,"&lt;="&amp;$A186,案件一覧!$F$3:$F$62,"&gt;"&amp;$A186,案件一覧!$C$3:$C$62,"&lt;&gt;キャンセル")=0,"",INDEX(案件一覧!$J$3:$J$62,MATCH(1,INDEX((案件一覧!$N$3:$N$62=C$3)*(案件一覧!$E$3:$E$62&lt;=$A186)*(案件一覧!$F$3:$F$62&gt;$A186)*(案件一覧!$C$3:$C$62&lt;&gt;"キャンセル"),0),0))&amp;IF(COUNTIFS(案件一覧!$N$3:$N$62,C$3,案件一覧!$E$3:$E$62,"&lt;="&amp;$A186,案件一覧!$F$3:$F$62,"&gt;"&amp;$A186,案件一覧!$C$3:$C$62,"&lt;&gt;キャンセル")&gt;1," ◆重複!",""))</f>
        <v/>
      </c>
      <c r="D186" s="18" t="str">
        <f aca="false">IF(COUNTIFS(案件一覧!$N$3:$N$62,D$3,案件一覧!$E$3:$E$62,"&lt;="&amp;$A186,案件一覧!$F$3:$F$62,"&gt;"&amp;$A186,案件一覧!$C$3:$C$62,"&lt;&gt;キャンセル")=0,"",INDEX(案件一覧!$J$3:$J$62,MATCH(1,INDEX((案件一覧!$N$3:$N$62=D$3)*(案件一覧!$E$3:$E$62&lt;=$A186)*(案件一覧!$F$3:$F$62&gt;$A186)*(案件一覧!$C$3:$C$62&lt;&gt;"キャンセル"),0),0))&amp;IF(COUNTIFS(案件一覧!$N$3:$N$62,D$3,案件一覧!$E$3:$E$62,"&lt;="&amp;$A186,案件一覧!$F$3:$F$62,"&gt;"&amp;$A186,案件一覧!$C$3:$C$62,"&lt;&gt;キャンセル")&gt;1," ◆重複!",""))</f>
        <v/>
      </c>
      <c r="E186" s="18" t="str">
        <f aca="false">IF(COUNTIFS(案件一覧!$N$3:$N$62,E$3,案件一覧!$E$3:$E$62,"&lt;="&amp;$A186,案件一覧!$F$3:$F$62,"&gt;"&amp;$A186,案件一覧!$C$3:$C$62,"&lt;&gt;キャンセル")=0,"",INDEX(案件一覧!$J$3:$J$62,MATCH(1,INDEX((案件一覧!$N$3:$N$62=E$3)*(案件一覧!$E$3:$E$62&lt;=$A186)*(案件一覧!$F$3:$F$62&gt;$A186)*(案件一覧!$C$3:$C$62&lt;&gt;"キャンセル"),0),0))&amp;IF(COUNTIFS(案件一覧!$N$3:$N$62,E$3,案件一覧!$E$3:$E$62,"&lt;="&amp;$A186,案件一覧!$F$3:$F$62,"&gt;"&amp;$A186,案件一覧!$C$3:$C$62,"&lt;&gt;キャンセル")&gt;1," ◆重複!",""))</f>
        <v/>
      </c>
      <c r="F186" s="18" t="str">
        <f aca="false">IF(COUNTIFS(案件一覧!$N$3:$N$62,F$3,案件一覧!$E$3:$E$62,"&lt;="&amp;$A186,案件一覧!$F$3:$F$62,"&gt;"&amp;$A186,案件一覧!$C$3:$C$62,"&lt;&gt;キャンセル")=0,"",INDEX(案件一覧!$J$3:$J$62,MATCH(1,INDEX((案件一覧!$N$3:$N$62=F$3)*(案件一覧!$E$3:$E$62&lt;=$A186)*(案件一覧!$F$3:$F$62&gt;$A186)*(案件一覧!$C$3:$C$62&lt;&gt;"キャンセル"),0),0))&amp;IF(COUNTIFS(案件一覧!$N$3:$N$62,F$3,案件一覧!$E$3:$E$62,"&lt;="&amp;$A186,案件一覧!$F$3:$F$62,"&gt;"&amp;$A186,案件一覧!$C$3:$C$62,"&lt;&gt;キャンセル")&gt;1," ◆重複!",""))</f>
        <v/>
      </c>
      <c r="G186" s="18" t="str">
        <f aca="false">IF(COUNTIFS(案件一覧!$N$3:$N$62,G$3,案件一覧!$E$3:$E$62,"&lt;="&amp;$A186,案件一覧!$F$3:$F$62,"&gt;"&amp;$A186,案件一覧!$C$3:$C$62,"&lt;&gt;キャンセル")=0,"",INDEX(案件一覧!$J$3:$J$62,MATCH(1,INDEX((案件一覧!$N$3:$N$62=G$3)*(案件一覧!$E$3:$E$62&lt;=$A186)*(案件一覧!$F$3:$F$62&gt;$A186)*(案件一覧!$C$3:$C$62&lt;&gt;"キャンセル"),0),0))&amp;IF(COUNTIFS(案件一覧!$N$3:$N$62,G$3,案件一覧!$E$3:$E$62,"&lt;="&amp;$A186,案件一覧!$F$3:$F$62,"&gt;"&amp;$A186,案件一覧!$C$3:$C$62,"&lt;&gt;キャンセル")&gt;1," ◆重複!",""))</f>
        <v/>
      </c>
      <c r="H186" s="18" t="str">
        <f aca="false">IF(COUNTIFS(案件一覧!$N$3:$N$62,H$3,案件一覧!$E$3:$E$62,"&lt;="&amp;$A186,案件一覧!$F$3:$F$62,"&gt;"&amp;$A186,案件一覧!$C$3:$C$62,"&lt;&gt;キャンセル")=0,"",INDEX(案件一覧!$J$3:$J$62,MATCH(1,INDEX((案件一覧!$N$3:$N$62=H$3)*(案件一覧!$E$3:$E$62&lt;=$A186)*(案件一覧!$F$3:$F$62&gt;$A186)*(案件一覧!$C$3:$C$62&lt;&gt;"キャンセル"),0),0))&amp;IF(COUNTIFS(案件一覧!$N$3:$N$62,H$3,案件一覧!$E$3:$E$62,"&lt;="&amp;$A186,案件一覧!$F$3:$F$62,"&gt;"&amp;$A186,案件一覧!$C$3:$C$62,"&lt;&gt;キャンセル")&gt;1," ◆重複!",""))</f>
        <v/>
      </c>
    </row>
    <row r="187" customFormat="false" ht="15" hidden="false" customHeight="false" outlineLevel="0" collapsed="false">
      <c r="A187" s="16" t="n">
        <v>46387</v>
      </c>
      <c r="B187" s="17" t="s">
        <v>43</v>
      </c>
      <c r="C187" s="18" t="str">
        <f aca="false">IF(COUNTIFS(案件一覧!$N$3:$N$62,C$3,案件一覧!$E$3:$E$62,"&lt;="&amp;$A187,案件一覧!$F$3:$F$62,"&gt;"&amp;$A187,案件一覧!$C$3:$C$62,"&lt;&gt;キャンセル")=0,"",INDEX(案件一覧!$J$3:$J$62,MATCH(1,INDEX((案件一覧!$N$3:$N$62=C$3)*(案件一覧!$E$3:$E$62&lt;=$A187)*(案件一覧!$F$3:$F$62&gt;$A187)*(案件一覧!$C$3:$C$62&lt;&gt;"キャンセル"),0),0))&amp;IF(COUNTIFS(案件一覧!$N$3:$N$62,C$3,案件一覧!$E$3:$E$62,"&lt;="&amp;$A187,案件一覧!$F$3:$F$62,"&gt;"&amp;$A187,案件一覧!$C$3:$C$62,"&lt;&gt;キャンセル")&gt;1," ◆重複!",""))</f>
        <v/>
      </c>
      <c r="D187" s="18" t="str">
        <f aca="false">IF(COUNTIFS(案件一覧!$N$3:$N$62,D$3,案件一覧!$E$3:$E$62,"&lt;="&amp;$A187,案件一覧!$F$3:$F$62,"&gt;"&amp;$A187,案件一覧!$C$3:$C$62,"&lt;&gt;キャンセル")=0,"",INDEX(案件一覧!$J$3:$J$62,MATCH(1,INDEX((案件一覧!$N$3:$N$62=D$3)*(案件一覧!$E$3:$E$62&lt;=$A187)*(案件一覧!$F$3:$F$62&gt;$A187)*(案件一覧!$C$3:$C$62&lt;&gt;"キャンセル"),0),0))&amp;IF(COUNTIFS(案件一覧!$N$3:$N$62,D$3,案件一覧!$E$3:$E$62,"&lt;="&amp;$A187,案件一覧!$F$3:$F$62,"&gt;"&amp;$A187,案件一覧!$C$3:$C$62,"&lt;&gt;キャンセル")&gt;1," ◆重複!",""))</f>
        <v/>
      </c>
      <c r="E187" s="18" t="str">
        <f aca="false">IF(COUNTIFS(案件一覧!$N$3:$N$62,E$3,案件一覧!$E$3:$E$62,"&lt;="&amp;$A187,案件一覧!$F$3:$F$62,"&gt;"&amp;$A187,案件一覧!$C$3:$C$62,"&lt;&gt;キャンセル")=0,"",INDEX(案件一覧!$J$3:$J$62,MATCH(1,INDEX((案件一覧!$N$3:$N$62=E$3)*(案件一覧!$E$3:$E$62&lt;=$A187)*(案件一覧!$F$3:$F$62&gt;$A187)*(案件一覧!$C$3:$C$62&lt;&gt;"キャンセル"),0),0))&amp;IF(COUNTIFS(案件一覧!$N$3:$N$62,E$3,案件一覧!$E$3:$E$62,"&lt;="&amp;$A187,案件一覧!$F$3:$F$62,"&gt;"&amp;$A187,案件一覧!$C$3:$C$62,"&lt;&gt;キャンセル")&gt;1," ◆重複!",""))</f>
        <v/>
      </c>
      <c r="F187" s="18" t="str">
        <f aca="false">IF(COUNTIFS(案件一覧!$N$3:$N$62,F$3,案件一覧!$E$3:$E$62,"&lt;="&amp;$A187,案件一覧!$F$3:$F$62,"&gt;"&amp;$A187,案件一覧!$C$3:$C$62,"&lt;&gt;キャンセル")=0,"",INDEX(案件一覧!$J$3:$J$62,MATCH(1,INDEX((案件一覧!$N$3:$N$62=F$3)*(案件一覧!$E$3:$E$62&lt;=$A187)*(案件一覧!$F$3:$F$62&gt;$A187)*(案件一覧!$C$3:$C$62&lt;&gt;"キャンセル"),0),0))&amp;IF(COUNTIFS(案件一覧!$N$3:$N$62,F$3,案件一覧!$E$3:$E$62,"&lt;="&amp;$A187,案件一覧!$F$3:$F$62,"&gt;"&amp;$A187,案件一覧!$C$3:$C$62,"&lt;&gt;キャンセル")&gt;1," ◆重複!",""))</f>
        <v/>
      </c>
      <c r="G187" s="18" t="str">
        <f aca="false">IF(COUNTIFS(案件一覧!$N$3:$N$62,G$3,案件一覧!$E$3:$E$62,"&lt;="&amp;$A187,案件一覧!$F$3:$F$62,"&gt;"&amp;$A187,案件一覧!$C$3:$C$62,"&lt;&gt;キャンセル")=0,"",INDEX(案件一覧!$J$3:$J$62,MATCH(1,INDEX((案件一覧!$N$3:$N$62=G$3)*(案件一覧!$E$3:$E$62&lt;=$A187)*(案件一覧!$F$3:$F$62&gt;$A187)*(案件一覧!$C$3:$C$62&lt;&gt;"キャンセル"),0),0))&amp;IF(COUNTIFS(案件一覧!$N$3:$N$62,G$3,案件一覧!$E$3:$E$62,"&lt;="&amp;$A187,案件一覧!$F$3:$F$62,"&gt;"&amp;$A187,案件一覧!$C$3:$C$62,"&lt;&gt;キャンセル")&gt;1," ◆重複!",""))</f>
        <v/>
      </c>
      <c r="H187" s="18" t="str">
        <f aca="false">IF(COUNTIFS(案件一覧!$N$3:$N$62,H$3,案件一覧!$E$3:$E$62,"&lt;="&amp;$A187,案件一覧!$F$3:$F$62,"&gt;"&amp;$A187,案件一覧!$C$3:$C$62,"&lt;&gt;キャンセル")=0,"",INDEX(案件一覧!$J$3:$J$62,MATCH(1,INDEX((案件一覧!$N$3:$N$62=H$3)*(案件一覧!$E$3:$E$62&lt;=$A187)*(案件一覧!$F$3:$F$62&gt;$A187)*(案件一覧!$C$3:$C$62&lt;&gt;"キャンセル"),0),0))&amp;IF(COUNTIFS(案件一覧!$N$3:$N$62,H$3,案件一覧!$E$3:$E$62,"&lt;="&amp;$A187,案件一覧!$F$3:$F$62,"&gt;"&amp;$A187,案件一覧!$C$3:$C$62,"&lt;&gt;キャンセル")&gt;1," ◆重複!",""))</f>
        <v/>
      </c>
    </row>
  </sheetData>
  <sheetProtection sheet="true"/>
  <mergeCells count="1">
    <mergeCell ref="A1:H1"/>
  </mergeCells>
  <conditionalFormatting sqref="C4:H187">
    <cfRule type="expression" priority="2" aboveAverage="0" equalAverage="0" bottom="0" percent="0" rank="0" text="" dxfId="0">
      <formula>COUNTIFS(案件一覧!$N$3:$N$62,C$3,案件一覧!$E$3:$E$62,"&lt;="&amp;$A4,案件一覧!$F$3:$F$62,"&gt;"&amp;$A4,案件一覧!$C$3:$C$62,"&lt;&gt;キャンセル")&gt;1</formula>
    </cfRule>
    <cfRule type="expression" priority="3" aboveAverage="0" equalAverage="0" bottom="0" percent="0" rank="0" text="" dxfId="3">
      <formula>C4&lt;&gt;""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2026-07-18T04:27:07Z</dcterms:created>
  <dc:creator>openpyxl</dc:creator>
  <dc:description/>
  <dc:language>en-US</dc:language>
  <cp:lastModifiedBy/>
  <dcterms:modified xsi:type="dcterms:W3CDTF">2026-07-18T04:27:07Z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