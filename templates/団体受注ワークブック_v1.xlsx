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入力" sheetId="1" state="visible" r:id="rId3"/>
    <sheet name="社内共有シート" sheetId="2" state="visible" r:id="rId4"/>
    <sheet name="見積書" sheetId="3" state="visible" r:id="rId5"/>
    <sheet name="請求書" sheetId="4" state="visible" r:id="rId6"/>
    <sheet name="領収書" sheetId="5" state="visible" r:id="rId7"/>
    <sheet name="工程表" sheetId="6" state="visible" r:id="rId8"/>
    <sheet name="館内案内アライ" sheetId="7" state="visible" r:id="rId9"/>
    <sheet name="館内案内ロッジ" sheetId="8" state="visible" r:id="rId10"/>
    <sheet name="FAX送付状" sheetId="9" state="visible" r:id="rId11"/>
    <sheet name="マスタ" sheetId="10" state="visible" r:id="rId12"/>
    <sheet name="食事PKG" sheetId="11" state="visible" r:id="rId13"/>
    <sheet name="プルダウン　リスト" sheetId="12" state="visible" r:id="rId14"/>
    <sheet name="New Booking Sheet" sheetId="13" state="visible" r:id="rId15"/>
    <sheet name="Group List(営業入力用)" sheetId="14" state="visible" r:id="rId16"/>
  </sheets>
  <externalReferences>
    <externalReference r:id="rId17"/>
  </externalReferences>
  <definedNames>
    <definedName function="false" hidden="false" localSheetId="8" name="_xlnm.Print_Area" vbProcedure="false">FAX送付状!$A$1:$H$43</definedName>
    <definedName function="false" hidden="false" localSheetId="13" name="_xlnm.Print_Area" vbProcedure="false">'Group List(営業入力用)'!$A$1:$AF$66</definedName>
    <definedName function="false" hidden="true" localSheetId="13" name="_xlnm._FilterDatabase" vbProcedure="false">'Group List(営業入力用)'!$A$2:$AG$501</definedName>
    <definedName function="false" hidden="false" localSheetId="0" name="_xlnm.Print_Area" vbProcedure="false">入力!$A$1:$B$98</definedName>
    <definedName function="false" hidden="false" localSheetId="5" name="_xlnm.Print_Area" vbProcedure="false">工程表!$A$1:$E$28</definedName>
    <definedName function="false" hidden="false" localSheetId="1" name="_xlnm.Print_Area" vbProcedure="false">社内共有シート!$A$1:$G$44</definedName>
    <definedName function="false" hidden="false" localSheetId="2" name="_xlnm.Print_Area" vbProcedure="false">見積書!$A$1:$G$43</definedName>
    <definedName function="false" hidden="false" localSheetId="3" name="_xlnm.Print_Area" vbProcedure="false">請求書!$A$1:$G$44</definedName>
    <definedName function="false" hidden="false" localSheetId="4" name="_xlnm.Print_Area" vbProcedure="false">領収書!$A$1:$G$21</definedName>
    <definedName function="false" hidden="false" localSheetId="6" name="_xlnm.Print_Area" vbProcedure="false">館内案内アライ!$A$1:$AG$107</definedName>
    <definedName function="false" hidden="false" localSheetId="7" name="_xlnm.Print_Area" vbProcedure="false">館内案内ロッジ!$A$1:$AG$107</definedName>
    <definedName function="false" hidden="false" name="FAX枚数" vbProcedure="false">'プルダウン　リスト'!$G$28:$G$34</definedName>
    <definedName function="false" hidden="false" name="テナント" vbProcedure="false">#REF!</definedName>
    <definedName function="false" hidden="false" name="夕食予約時刻" vbProcedure="false">'プルダウン　リスト'!$I$4:$I$17</definedName>
    <definedName function="false" hidden="false" name="夕食代" vbProcedure="false">'プルダウン　リスト'!$H$4:$H$12</definedName>
    <definedName function="false" hidden="false" name="支払い方法" vbProcedure="false">'プルダウン　リスト'!$D$4:$D$8</definedName>
    <definedName function="false" hidden="false" name="朝食代" vbProcedure="false">'プルダウン　リスト'!$F$4:$F$13</definedName>
    <definedName function="false" hidden="false" name="朝食会場" vbProcedure="false">'プルダウン　リスト'!$G$4:$G$9</definedName>
    <definedName function="false" hidden="false" name="税" vbProcedure="false">'プルダウン　リスト'!$E$4:$E$6</definedName>
    <definedName function="false" hidden="false" name="部屋タイプ" vbProcedure="false">'プルダウン　リスト'!$A$3:$A$25</definedName>
    <definedName function="false" hidden="false" name="食事会場" vbProcedure="false">'プルダウン　リスト'!$J$4:$J$8</definedName>
    <definedName function="false" hidden="false" name="ﾒｲﾝﾀﾜｰﾘﾆｭｰｱﾙﾂｲﾝﾙｰﾑ_____一名様御利用・朝食付・禁煙" vbProcedure="false">#REF!</definedName>
    <definedName function="false" hidden="false" localSheetId="6" name="FAX枚数" vbProcedure="false">'[1]プルダウン　リスト'!$G$28:$G$34</definedName>
    <definedName function="false" hidden="false" localSheetId="6" name="夕食予約時刻" vbProcedure="false">'[1]プルダウン　リスト'!$I$4:$I$17</definedName>
    <definedName function="false" hidden="false" localSheetId="6" name="朝食会場" vbProcedure="false">'[1]プルダウン　リスト'!$G$4:$G$9</definedName>
    <definedName function="false" hidden="false" localSheetId="6" name="税" vbProcedure="false">'[1]プルダウン　リスト'!$E$4:$E$6</definedName>
    <definedName function="false" hidden="false" localSheetId="6" name="部屋タイプ" vbProcedure="false">'[1]プルダウン　リスト'!$A$3:$A$24</definedName>
    <definedName function="false" hidden="false" localSheetId="6" name="食事会場" vbProcedure="false">'[1]プルダウン　リスト'!$J$4:$J$8</definedName>
    <definedName function="false" hidden="false" localSheetId="7" name="FAX枚数" vbProcedure="false">'[1]プルダウン　リスト'!$G$28:$G$34</definedName>
    <definedName function="false" hidden="false" localSheetId="7" name="夕食予約時刻" vbProcedure="false">'[1]プルダウン　リスト'!$I$4:$I$17</definedName>
    <definedName function="false" hidden="false" localSheetId="7" name="朝食会場" vbProcedure="false">'[1]プルダウン　リスト'!$G$4:$G$9</definedName>
    <definedName function="false" hidden="false" localSheetId="7" name="税" vbProcedure="false">'[1]プルダウン　リスト'!$E$4:$E$6</definedName>
    <definedName function="false" hidden="false" localSheetId="7" name="部屋タイプ" vbProcedure="false">'[1]プルダウン　リスト'!$A$3:$A$24</definedName>
    <definedName function="false" hidden="false" localSheetId="7" name="食事会場" vbProcedure="false">'[1]プルダウン　リスト'!$J$4:$J$8</definedName>
    <definedName function="false" hidden="true" localSheetId="13" name="Z_5C3CB1E0_E018_4C2A_89F7_E761EA21E3D9_.wvu.FilterData" vbProcedure="false">'Group List(営業入力用)'!$E$2:$AA$73</definedName>
    <definedName function="false" hidden="true" localSheetId="13" name="Z_5C3CB1E0_E018_4C2A_89F7_E761EA21E3D9_.wvu.PrintArea" vbProcedure="false">'Group List(営業入力用)'!$E$1:$AG$67</definedName>
    <definedName function="false" hidden="true" localSheetId="13" name="Z_D8CC8A29_D94F_45BE_84AD_05CC432354CE_.wvu.FilterData" vbProcedure="false">'Group List(営業入力用)'!$E$2:$AA$67</definedName>
    <definedName function="false" hidden="true" localSheetId="13" name="Z_D8CC8A29_D94F_45BE_84AD_05CC432354CE_.wvu.PrintArea" vbProcedure="false">'Group List(営業入力用)'!$E$1:$AG$67</definedName>
    <definedName function="false" hidden="false" localSheetId="13" name="ﾒｲﾝﾀﾜｰﾘﾆｭｰｱﾙﾂｲﾝﾙｰﾑ_____一名様御利用・朝食付・禁煙"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<sst xmlns="http://schemas.openxmlformats.org/spreadsheetml/2006/main" count="2184" uniqueCount="1428">
  <si>
    <t xml:space="preserve">【入力フォーム】ここだけ入力</t>
  </si>
  <si>
    <r>
      <rPr>
        <sz val="8"/>
        <color rgb="FF666666"/>
        <rFont val="WenQuanYi Zen Hei"/>
        <family val="2"/>
      </rPr>
      <t xml:space="preserve">黄色</t>
    </r>
    <r>
      <rPr>
        <sz val="8"/>
        <color rgb="FF666666"/>
        <rFont val="Yu Gothic"/>
        <family val="0"/>
        <charset val="1"/>
      </rPr>
      <t xml:space="preserve">=</t>
    </r>
    <r>
      <rPr>
        <sz val="8"/>
        <color rgb="FF666666"/>
        <rFont val="WenQuanYi Zen Hei"/>
        <family val="2"/>
      </rPr>
      <t xml:space="preserve">入力欄</t>
    </r>
    <r>
      <rPr>
        <sz val="8"/>
        <color rgb="FF666666"/>
        <rFont val="Yu Gothic"/>
        <family val="0"/>
        <charset val="1"/>
      </rPr>
      <t xml:space="preserve">(</t>
    </r>
    <r>
      <rPr>
        <sz val="8"/>
        <color rgb="FF666666"/>
        <rFont val="WenQuanYi Zen Hei"/>
        <family val="2"/>
      </rPr>
      <t xml:space="preserve">空欄で配布・記入例は右のグレー文字</t>
    </r>
    <r>
      <rPr>
        <sz val="8"/>
        <color rgb="FF666666"/>
        <rFont val="Yu Gothic"/>
        <family val="0"/>
        <charset val="1"/>
      </rPr>
      <t xml:space="preserve">) / ▼=</t>
    </r>
    <r>
      <rPr>
        <sz val="8"/>
        <color rgb="FF666666"/>
        <rFont val="WenQuanYi Zen Hei"/>
        <family val="2"/>
      </rPr>
      <t xml:space="preserve">リスト選択 </t>
    </r>
    <r>
      <rPr>
        <sz val="8"/>
        <color rgb="FF666666"/>
        <rFont val="Yu Gothic"/>
        <family val="0"/>
        <charset val="1"/>
      </rPr>
      <t xml:space="preserve">/ </t>
    </r>
    <r>
      <rPr>
        <sz val="8"/>
        <color rgb="FF666666"/>
        <rFont val="WenQuanYi Zen Hei"/>
        <family val="2"/>
      </rPr>
      <t xml:space="preserve">緑</t>
    </r>
    <r>
      <rPr>
        <sz val="8"/>
        <color rgb="FF666666"/>
        <rFont val="Yu Gothic"/>
        <family val="0"/>
        <charset val="1"/>
      </rPr>
      <t xml:space="preserve">=</t>
    </r>
    <r>
      <rPr>
        <sz val="8"/>
        <color rgb="FF666666"/>
        <rFont val="WenQuanYi Zen Hei"/>
        <family val="2"/>
      </rPr>
      <t xml:space="preserve">自動 </t>
    </r>
    <r>
      <rPr>
        <sz val="8"/>
        <color rgb="FF666666"/>
        <rFont val="Yu Gothic"/>
        <family val="0"/>
        <charset val="1"/>
      </rPr>
      <t xml:space="preserve">/ *=</t>
    </r>
    <r>
      <rPr>
        <sz val="8"/>
        <color rgb="FF666666"/>
        <rFont val="WenQuanYi Zen Hei"/>
        <family val="2"/>
      </rPr>
      <t xml:space="preserve">必須</t>
    </r>
  </si>
  <si>
    <r>
      <rPr>
        <b val="true"/>
        <sz val="10"/>
        <color rgb="FF000000"/>
        <rFont val="Yu Gothic"/>
        <family val="0"/>
        <charset val="1"/>
      </rPr>
      <t xml:space="preserve">■ 1. </t>
    </r>
    <r>
      <rPr>
        <b val="true"/>
        <sz val="10"/>
        <color rgb="FF000000"/>
        <rFont val="WenQuanYi Zen Hei"/>
        <family val="2"/>
      </rPr>
      <t xml:space="preserve">お相手</t>
    </r>
    <r>
      <rPr>
        <b val="true"/>
        <sz val="10"/>
        <color rgb="FF000000"/>
        <rFont val="Yu Gothic"/>
        <family val="0"/>
        <charset val="1"/>
      </rPr>
      <t xml:space="preserve">(</t>
    </r>
    <r>
      <rPr>
        <b val="true"/>
        <sz val="10"/>
        <color rgb="FF000000"/>
        <rFont val="WenQuanYi Zen Hei"/>
        <family val="2"/>
      </rPr>
      <t xml:space="preserve">誰が</t>
    </r>
    <r>
      <rPr>
        <b val="true"/>
        <sz val="10"/>
        <color rgb="FF000000"/>
        <rFont val="Yu Gothic"/>
        <family val="0"/>
        <charset val="1"/>
      </rPr>
      <t xml:space="preserve">)</t>
    </r>
  </si>
  <si>
    <t xml:space="preserve">会社名</t>
  </si>
  <si>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田中産業株式会社</t>
    </r>
  </si>
  <si>
    <t xml:space="preserve">団体名</t>
  </si>
  <si>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田中産業 親睦会ご一行様</t>
    </r>
  </si>
  <si>
    <t xml:space="preserve">ツアー名</t>
  </si>
  <si>
    <r>
      <rPr>
        <i val="true"/>
        <sz val="8"/>
        <color rgb="FF909090"/>
        <rFont val="WenQuanYi Zen Hei"/>
        <family val="2"/>
      </rPr>
      <t xml:space="preserve">例</t>
    </r>
    <r>
      <rPr>
        <i val="true"/>
        <sz val="8"/>
        <color rgb="FF909090"/>
        <rFont val="Yu Gothic"/>
        <family val="0"/>
        <charset val="1"/>
      </rPr>
      <t xml:space="preserve">: 2026</t>
    </r>
    <r>
      <rPr>
        <i val="true"/>
        <sz val="8"/>
        <color rgb="FF909090"/>
        <rFont val="WenQuanYi Zen Hei"/>
        <family val="2"/>
      </rPr>
      <t xml:space="preserve">年度 社員親睦旅行</t>
    </r>
  </si>
  <si>
    <t xml:space="preserve">概要</t>
  </si>
  <si>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社員旅行</t>
    </r>
    <r>
      <rPr>
        <i val="true"/>
        <sz val="8"/>
        <color rgb="FF909090"/>
        <rFont val="Yu Gothic"/>
        <family val="0"/>
        <charset val="1"/>
      </rPr>
      <t xml:space="preserve">(</t>
    </r>
    <r>
      <rPr>
        <i val="true"/>
        <sz val="8"/>
        <color rgb="FF909090"/>
        <rFont val="WenQuanYi Zen Hei"/>
        <family val="2"/>
      </rPr>
      <t xml:space="preserve">宴会・送迎あり</t>
    </r>
    <r>
      <rPr>
        <i val="true"/>
        <sz val="8"/>
        <color rgb="FF909090"/>
        <rFont val="Yu Gothic"/>
        <family val="0"/>
        <charset val="1"/>
      </rPr>
      <t xml:space="preserve">)</t>
    </r>
  </si>
  <si>
    <r>
      <rPr>
        <b val="true"/>
        <sz val="9"/>
        <color rgb="FF000000"/>
        <rFont val="WenQuanYi Zen Hei"/>
        <family val="2"/>
      </rPr>
      <t xml:space="preserve">取引先</t>
    </r>
    <r>
      <rPr>
        <b val="true"/>
        <sz val="9"/>
        <color rgb="FF000000"/>
        <rFont val="Yu Gothic"/>
        <family val="0"/>
        <charset val="1"/>
      </rPr>
      <t xml:space="preserve">/</t>
    </r>
    <r>
      <rPr>
        <b val="true"/>
        <sz val="9"/>
        <color rgb="FF000000"/>
        <rFont val="WenQuanYi Zen Hei"/>
        <family val="2"/>
      </rPr>
      <t xml:space="preserve">エージェント</t>
    </r>
  </si>
  <si>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直受け </t>
    </r>
    <r>
      <rPr>
        <i val="true"/>
        <sz val="8"/>
        <color rgb="FF909090"/>
        <rFont val="Yu Gothic"/>
        <family val="0"/>
        <charset val="1"/>
      </rPr>
      <t xml:space="preserve">/ </t>
    </r>
    <r>
      <rPr>
        <i val="true"/>
        <sz val="8"/>
        <color rgb="FF909090"/>
        <rFont val="WenQuanYi Zen Hei"/>
        <family val="2"/>
      </rPr>
      <t xml:space="preserve">㈱○○トラベル</t>
    </r>
  </si>
  <si>
    <t xml:space="preserve">先方担当者・連絡先</t>
  </si>
  <si>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田中 一郎 様</t>
    </r>
    <r>
      <rPr>
        <i val="true"/>
        <sz val="8"/>
        <color rgb="FF909090"/>
        <rFont val="Yu Gothic"/>
        <family val="0"/>
        <charset val="1"/>
      </rPr>
      <t xml:space="preserve">(090-0000-0000)</t>
    </r>
  </si>
  <si>
    <r>
      <rPr>
        <b val="true"/>
        <sz val="9"/>
        <color rgb="FF000000"/>
        <rFont val="WenQuanYi Zen Hei"/>
        <family val="2"/>
      </rPr>
      <t xml:space="preserve">国籍 </t>
    </r>
    <r>
      <rPr>
        <b val="true"/>
        <sz val="9"/>
        <color rgb="FF000000"/>
        <rFont val="Yu Gothic"/>
        <family val="0"/>
        <charset val="1"/>
      </rPr>
      <t xml:space="preserve">/ Tour No.</t>
    </r>
  </si>
  <si>
    <r>
      <rPr>
        <i val="true"/>
        <sz val="8"/>
        <color rgb="FF909090"/>
        <rFont val="WenQuanYi Zen Hei"/>
        <family val="2"/>
      </rPr>
      <t xml:space="preserve">例</t>
    </r>
    <r>
      <rPr>
        <i val="true"/>
        <sz val="8"/>
        <color rgb="FF909090"/>
        <rFont val="Yu Gothic"/>
        <family val="0"/>
        <charset val="1"/>
      </rPr>
      <t xml:space="preserve">: Japan / -</t>
    </r>
  </si>
  <si>
    <r>
      <rPr>
        <b val="true"/>
        <sz val="9"/>
        <color rgb="FF000000"/>
        <rFont val="WenQuanYi Zen Hei"/>
        <family val="2"/>
      </rPr>
      <t xml:space="preserve">添乗員・</t>
    </r>
    <r>
      <rPr>
        <b val="true"/>
        <sz val="9"/>
        <color rgb="FF000000"/>
        <rFont val="Yu Gothic"/>
        <family val="0"/>
        <charset val="1"/>
      </rPr>
      <t xml:space="preserve">TEL</t>
    </r>
  </si>
  <si>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山田様</t>
    </r>
    <r>
      <rPr>
        <i val="true"/>
        <sz val="8"/>
        <color rgb="FF909090"/>
        <rFont val="Yu Gothic"/>
        <family val="0"/>
        <charset val="1"/>
      </rPr>
      <t xml:space="preserve">(080-0000-0000)</t>
    </r>
  </si>
  <si>
    <r>
      <rPr>
        <b val="true"/>
        <sz val="10"/>
        <color rgb="FF000000"/>
        <rFont val="Yu Gothic"/>
        <family val="0"/>
        <charset val="1"/>
      </rPr>
      <t xml:space="preserve">■ 2. </t>
    </r>
    <r>
      <rPr>
        <b val="true"/>
        <sz val="10"/>
        <color rgb="FF000000"/>
        <rFont val="WenQuanYi Zen Hei"/>
        <family val="2"/>
      </rPr>
      <t xml:space="preserve">日程</t>
    </r>
    <r>
      <rPr>
        <b val="true"/>
        <sz val="10"/>
        <color rgb="FF000000"/>
        <rFont val="Yu Gothic"/>
        <family val="0"/>
        <charset val="1"/>
      </rPr>
      <t xml:space="preserve">(</t>
    </r>
    <r>
      <rPr>
        <b val="true"/>
        <sz val="10"/>
        <color rgb="FF000000"/>
        <rFont val="WenQuanYi Zen Hei"/>
        <family val="2"/>
      </rPr>
      <t xml:space="preserve">いつ</t>
    </r>
    <r>
      <rPr>
        <b val="true"/>
        <sz val="10"/>
        <color rgb="FF000000"/>
        <rFont val="Yu Gothic"/>
        <family val="0"/>
        <charset val="1"/>
      </rPr>
      <t xml:space="preserve">)</t>
    </r>
  </si>
  <si>
    <r>
      <rPr>
        <b val="true"/>
        <sz val="9"/>
        <color rgb="FF000000"/>
        <rFont val="WenQuanYi Zen Hei"/>
        <family val="2"/>
      </rPr>
      <t xml:space="preserve">利用開始日</t>
    </r>
    <r>
      <rPr>
        <b val="true"/>
        <sz val="9"/>
        <color rgb="FF000000"/>
        <rFont val="Yu Gothic"/>
        <family val="0"/>
        <charset val="1"/>
      </rPr>
      <t xml:space="preserve">(C/I) *</t>
    </r>
  </si>
  <si>
    <r>
      <rPr>
        <i val="true"/>
        <sz val="8"/>
        <color rgb="FF909090"/>
        <rFont val="WenQuanYi Zen Hei"/>
        <family val="2"/>
      </rPr>
      <t xml:space="preserve">例</t>
    </r>
    <r>
      <rPr>
        <i val="true"/>
        <sz val="8"/>
        <color rgb="FF909090"/>
        <rFont val="Yu Gothic"/>
        <family val="0"/>
        <charset val="1"/>
      </rPr>
      <t xml:space="preserve">: 2026/8/15</t>
    </r>
  </si>
  <si>
    <r>
      <rPr>
        <b val="true"/>
        <sz val="9"/>
        <color rgb="FF000000"/>
        <rFont val="WenQuanYi Zen Hei"/>
        <family val="2"/>
      </rPr>
      <t xml:space="preserve">利用終了日</t>
    </r>
    <r>
      <rPr>
        <b val="true"/>
        <sz val="9"/>
        <color rgb="FF000000"/>
        <rFont val="Yu Gothic"/>
        <family val="0"/>
        <charset val="1"/>
      </rPr>
      <t xml:space="preserve">(C/O) *</t>
    </r>
  </si>
  <si>
    <r>
      <rPr>
        <i val="true"/>
        <sz val="8"/>
        <color rgb="FF909090"/>
        <rFont val="WenQuanYi Zen Hei"/>
        <family val="2"/>
      </rPr>
      <t xml:space="preserve">例</t>
    </r>
    <r>
      <rPr>
        <i val="true"/>
        <sz val="8"/>
        <color rgb="FF909090"/>
        <rFont val="Yu Gothic"/>
        <family val="0"/>
        <charset val="1"/>
      </rPr>
      <t xml:space="preserve">: 2026/8/16</t>
    </r>
  </si>
  <si>
    <t xml:space="preserve">到着手段・時刻</t>
  </si>
  <si>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貸切バス </t>
    </r>
    <r>
      <rPr>
        <i val="true"/>
        <sz val="8"/>
        <color rgb="FF909090"/>
        <rFont val="Yu Gothic"/>
        <family val="0"/>
        <charset val="1"/>
      </rPr>
      <t xml:space="preserve">15:00</t>
    </r>
    <r>
      <rPr>
        <i val="true"/>
        <sz val="8"/>
        <color rgb="FF909090"/>
        <rFont val="WenQuanYi Zen Hei"/>
        <family val="2"/>
      </rPr>
      <t xml:space="preserve">着予定</t>
    </r>
  </si>
  <si>
    <t xml:space="preserve">出発時刻</t>
  </si>
  <si>
    <r>
      <rPr>
        <i val="true"/>
        <sz val="8"/>
        <color rgb="FF909090"/>
        <rFont val="WenQuanYi Zen Hei"/>
        <family val="2"/>
      </rPr>
      <t xml:space="preserve">例</t>
    </r>
    <r>
      <rPr>
        <i val="true"/>
        <sz val="8"/>
        <color rgb="FF909090"/>
        <rFont val="Yu Gothic"/>
        <family val="0"/>
        <charset val="1"/>
      </rPr>
      <t xml:space="preserve">: 10:00</t>
    </r>
    <r>
      <rPr>
        <i val="true"/>
        <sz val="8"/>
        <color rgb="FF909090"/>
        <rFont val="WenQuanYi Zen Hei"/>
        <family val="2"/>
      </rPr>
      <t xml:space="preserve">発</t>
    </r>
  </si>
  <si>
    <r>
      <rPr>
        <b val="true"/>
        <sz val="9"/>
        <color rgb="FF000000"/>
        <rFont val="WenQuanYi Zen Hei"/>
        <family val="2"/>
      </rPr>
      <t xml:space="preserve">お出迎え・挨拶 ▼ </t>
    </r>
    <r>
      <rPr>
        <b val="true"/>
        <sz val="9"/>
        <color rgb="FF000000"/>
        <rFont val="Yu Gothic"/>
        <family val="0"/>
        <charset val="1"/>
      </rPr>
      <t xml:space="preserve">*</t>
    </r>
  </si>
  <si>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なし</t>
    </r>
    <r>
      <rPr>
        <i val="true"/>
        <sz val="8"/>
        <color rgb="FF909090"/>
        <rFont val="Yu Gothic"/>
        <family val="0"/>
        <charset val="1"/>
      </rPr>
      <t xml:space="preserve">/</t>
    </r>
    <r>
      <rPr>
        <i val="true"/>
        <sz val="8"/>
        <color rgb="FF909090"/>
        <rFont val="WenQuanYi Zen Hei"/>
        <family val="2"/>
      </rPr>
      <t xml:space="preserve">セールス立ち会い</t>
    </r>
    <r>
      <rPr>
        <i val="true"/>
        <sz val="8"/>
        <color rgb="FF909090"/>
        <rFont val="Yu Gothic"/>
        <family val="0"/>
        <charset val="1"/>
      </rPr>
      <t xml:space="preserve">/</t>
    </r>
    <r>
      <rPr>
        <i val="true"/>
        <sz val="8"/>
        <color rgb="FF909090"/>
        <rFont val="WenQuanYi Zen Hei"/>
        <family val="2"/>
      </rPr>
      <t xml:space="preserve">支配人挨拶 ←必ず選択</t>
    </r>
  </si>
  <si>
    <r>
      <rPr>
        <b val="true"/>
        <sz val="9"/>
        <color rgb="FF000000"/>
        <rFont val="WenQuanYi Zen Hei"/>
        <family val="2"/>
      </rPr>
      <t xml:space="preserve">挨拶詳細</t>
    </r>
    <r>
      <rPr>
        <b val="true"/>
        <sz val="9"/>
        <color rgb="FF000000"/>
        <rFont val="Yu Gothic"/>
        <family val="0"/>
        <charset val="1"/>
      </rPr>
      <t xml:space="preserve">(</t>
    </r>
    <r>
      <rPr>
        <b val="true"/>
        <sz val="9"/>
        <color rgb="FF000000"/>
        <rFont val="WenQuanYi Zen Hei"/>
        <family val="2"/>
      </rPr>
      <t xml:space="preserve">誰が・どこで</t>
    </r>
    <r>
      <rPr>
        <b val="true"/>
        <sz val="9"/>
        <color rgb="FF000000"/>
        <rFont val="Yu Gothic"/>
        <family val="0"/>
        <charset val="1"/>
      </rPr>
      <t xml:space="preserve">)</t>
    </r>
  </si>
  <si>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セールス清水 </t>
    </r>
    <r>
      <rPr>
        <i val="true"/>
        <sz val="8"/>
        <color rgb="FF909090"/>
        <rFont val="Yu Gothic"/>
        <family val="0"/>
        <charset val="1"/>
      </rPr>
      <t xml:space="preserve">15:00 </t>
    </r>
    <r>
      <rPr>
        <i val="true"/>
        <sz val="8"/>
        <color rgb="FF909090"/>
        <rFont val="WenQuanYi Zen Hei"/>
        <family val="2"/>
      </rPr>
      <t xml:space="preserve">ロビーでお出迎え・挨拶</t>
    </r>
  </si>
  <si>
    <r>
      <rPr>
        <b val="true"/>
        <sz val="10"/>
        <color rgb="FF000000"/>
        <rFont val="Yu Gothic"/>
        <family val="0"/>
        <charset val="1"/>
      </rPr>
      <t xml:space="preserve">■ 3. </t>
    </r>
    <r>
      <rPr>
        <b val="true"/>
        <sz val="10"/>
        <color rgb="FF000000"/>
        <rFont val="WenQuanYi Zen Hei"/>
        <family val="2"/>
      </rPr>
      <t xml:space="preserve">人数</t>
    </r>
    <r>
      <rPr>
        <b val="true"/>
        <sz val="10"/>
        <color rgb="FF000000"/>
        <rFont val="Yu Gothic"/>
        <family val="0"/>
        <charset val="1"/>
      </rPr>
      <t xml:space="preserve">(</t>
    </r>
    <r>
      <rPr>
        <b val="true"/>
        <sz val="10"/>
        <color rgb="FF000000"/>
        <rFont val="WenQuanYi Zen Hei"/>
        <family val="2"/>
      </rPr>
      <t xml:space="preserve">大人・子供・添乗員は別々に入力</t>
    </r>
    <r>
      <rPr>
        <b val="true"/>
        <sz val="10"/>
        <color rgb="FF000000"/>
        <rFont val="Yu Gothic"/>
        <family val="0"/>
        <charset val="1"/>
      </rPr>
      <t xml:space="preserve">)</t>
    </r>
  </si>
  <si>
    <r>
      <rPr>
        <b val="true"/>
        <sz val="9"/>
        <color rgb="FF000000"/>
        <rFont val="WenQuanYi Zen Hei"/>
        <family val="2"/>
      </rPr>
      <t xml:space="preserve">大人 </t>
    </r>
    <r>
      <rPr>
        <b val="true"/>
        <sz val="9"/>
        <color rgb="FF000000"/>
        <rFont val="Yu Gothic"/>
        <family val="0"/>
        <charset val="1"/>
      </rPr>
      <t xml:space="preserve">*</t>
    </r>
  </si>
  <si>
    <r>
      <rPr>
        <i val="true"/>
        <sz val="8"/>
        <color rgb="FF909090"/>
        <rFont val="WenQuanYi Zen Hei"/>
        <family val="2"/>
      </rPr>
      <t xml:space="preserve">例</t>
    </r>
    <r>
      <rPr>
        <i val="true"/>
        <sz val="8"/>
        <color rgb="FF909090"/>
        <rFont val="Yu Gothic"/>
        <family val="0"/>
        <charset val="1"/>
      </rPr>
      <t xml:space="preserve">: 38</t>
    </r>
  </si>
  <si>
    <r>
      <rPr>
        <b val="true"/>
        <sz val="9"/>
        <color rgb="FF000000"/>
        <rFont val="WenQuanYi Zen Hei"/>
        <family val="2"/>
      </rPr>
      <t xml:space="preserve">子供</t>
    </r>
    <r>
      <rPr>
        <b val="true"/>
        <sz val="9"/>
        <color rgb="FF000000"/>
        <rFont val="Yu Gothic"/>
        <family val="0"/>
        <charset val="1"/>
      </rPr>
      <t xml:space="preserve">(4-12</t>
    </r>
    <r>
      <rPr>
        <b val="true"/>
        <sz val="9"/>
        <color rgb="FF000000"/>
        <rFont val="WenQuanYi Zen Hei"/>
        <family val="2"/>
      </rPr>
      <t xml:space="preserve">歳</t>
    </r>
    <r>
      <rPr>
        <b val="true"/>
        <sz val="9"/>
        <color rgb="FF000000"/>
        <rFont val="Yu Gothic"/>
        <family val="0"/>
        <charset val="1"/>
      </rPr>
      <t xml:space="preserve">)</t>
    </r>
  </si>
  <si>
    <r>
      <rPr>
        <i val="true"/>
        <sz val="8"/>
        <color rgb="FF909090"/>
        <rFont val="WenQuanYi Zen Hei"/>
        <family val="2"/>
      </rPr>
      <t xml:space="preserve">例</t>
    </r>
    <r>
      <rPr>
        <i val="true"/>
        <sz val="8"/>
        <color rgb="FF909090"/>
        <rFont val="Yu Gothic"/>
        <family val="0"/>
        <charset val="1"/>
      </rPr>
      <t xml:space="preserve">: 2</t>
    </r>
  </si>
  <si>
    <t xml:space="preserve">添乗員・乗務員</t>
  </si>
  <si>
    <r>
      <rPr>
        <i val="true"/>
        <sz val="8"/>
        <color rgb="FF909090"/>
        <rFont val="WenQuanYi Zen Hei"/>
        <family val="2"/>
      </rPr>
      <t xml:space="preserve">例</t>
    </r>
    <r>
      <rPr>
        <i val="true"/>
        <sz val="8"/>
        <color rgb="FF909090"/>
        <rFont val="Yu Gothic"/>
        <family val="0"/>
        <charset val="1"/>
      </rPr>
      <t xml:space="preserve">: 1</t>
    </r>
  </si>
  <si>
    <r>
      <rPr>
        <b val="true"/>
        <sz val="9"/>
        <color rgb="FF000000"/>
        <rFont val="WenQuanYi Zen Hei"/>
        <family val="2"/>
      </rPr>
      <t xml:space="preserve">人数</t>
    </r>
    <r>
      <rPr>
        <b val="true"/>
        <sz val="9"/>
        <color rgb="FF000000"/>
        <rFont val="Yu Gothic"/>
        <family val="0"/>
        <charset val="1"/>
      </rPr>
      <t xml:space="preserve">(</t>
    </r>
    <r>
      <rPr>
        <b val="true"/>
        <sz val="9"/>
        <color rgb="FF000000"/>
        <rFont val="WenQuanYi Zen Hei"/>
        <family val="2"/>
      </rPr>
      <t xml:space="preserve">合計</t>
    </r>
    <r>
      <rPr>
        <b val="true"/>
        <sz val="9"/>
        <color rgb="FF000000"/>
        <rFont val="Yu Gothic"/>
        <family val="0"/>
        <charset val="1"/>
      </rPr>
      <t xml:space="preserve">)</t>
    </r>
  </si>
  <si>
    <r>
      <rPr>
        <i val="true"/>
        <sz val="8"/>
        <color rgb="FF909090"/>
        <rFont val="WenQuanYi Zen Hei"/>
        <family val="2"/>
      </rPr>
      <t xml:space="preserve">自動合計</t>
    </r>
    <r>
      <rPr>
        <i val="true"/>
        <sz val="8"/>
        <color rgb="FF909090"/>
        <rFont val="Yu Gothic"/>
        <family val="0"/>
        <charset val="1"/>
      </rPr>
      <t xml:space="preserve">(</t>
    </r>
    <r>
      <rPr>
        <i val="true"/>
        <sz val="8"/>
        <color rgb="FF909090"/>
        <rFont val="WenQuanYi Zen Hei"/>
        <family val="2"/>
      </rPr>
      <t xml:space="preserve">触らない</t>
    </r>
    <r>
      <rPr>
        <i val="true"/>
        <sz val="8"/>
        <color rgb="FF909090"/>
        <rFont val="Yu Gothic"/>
        <family val="0"/>
        <charset val="1"/>
      </rPr>
      <t xml:space="preserve">)</t>
    </r>
  </si>
  <si>
    <r>
      <rPr>
        <b val="true"/>
        <sz val="10"/>
        <color rgb="FF000000"/>
        <rFont val="Yu Gothic"/>
        <family val="0"/>
        <charset val="1"/>
      </rPr>
      <t xml:space="preserve">■ 4. </t>
    </r>
    <r>
      <rPr>
        <b val="true"/>
        <sz val="10"/>
        <color rgb="FF000000"/>
        <rFont val="WenQuanYi Zen Hei"/>
        <family val="2"/>
      </rPr>
      <t xml:space="preserve">宿泊</t>
    </r>
  </si>
  <si>
    <t xml:space="preserve">宿泊有無 ▼</t>
  </si>
  <si>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から選択</t>
    </r>
  </si>
  <si>
    <t xml:space="preserve">チェックイン時刻</t>
  </si>
  <si>
    <r>
      <rPr>
        <i val="true"/>
        <sz val="8"/>
        <color rgb="FF909090"/>
        <rFont val="WenQuanYi Zen Hei"/>
        <family val="2"/>
      </rPr>
      <t xml:space="preserve">例</t>
    </r>
    <r>
      <rPr>
        <i val="true"/>
        <sz val="8"/>
        <color rgb="FF909090"/>
        <rFont val="Yu Gothic"/>
        <family val="0"/>
        <charset val="1"/>
      </rPr>
      <t xml:space="preserve">: 15:00</t>
    </r>
  </si>
  <si>
    <t xml:space="preserve">チェックアウト時刻</t>
  </si>
  <si>
    <r>
      <rPr>
        <i val="true"/>
        <sz val="8"/>
        <color rgb="FF909090"/>
        <rFont val="WenQuanYi Zen Hei"/>
        <family val="2"/>
      </rPr>
      <t xml:space="preserve">例</t>
    </r>
    <r>
      <rPr>
        <i val="true"/>
        <sz val="8"/>
        <color rgb="FF909090"/>
        <rFont val="Yu Gothic"/>
        <family val="0"/>
        <charset val="1"/>
      </rPr>
      <t xml:space="preserve">: 10:00</t>
    </r>
  </si>
  <si>
    <t xml:space="preserve">部屋タイプ ▼</t>
  </si>
  <si>
    <t xml:space="preserve">室数</t>
  </si>
  <si>
    <r>
      <rPr>
        <b val="true"/>
        <sz val="8"/>
        <color rgb="FF000000"/>
        <rFont val="WenQuanYi Zen Hei"/>
        <family val="2"/>
      </rPr>
      <t xml:space="preserve">料金</t>
    </r>
    <r>
      <rPr>
        <b val="true"/>
        <sz val="8"/>
        <color rgb="FF000000"/>
        <rFont val="Yu Gothic"/>
        <family val="0"/>
        <charset val="1"/>
      </rPr>
      <t xml:space="preserve">(1</t>
    </r>
    <r>
      <rPr>
        <b val="true"/>
        <sz val="8"/>
        <color rgb="FF000000"/>
        <rFont val="WenQuanYi Zen Hei"/>
        <family val="2"/>
      </rPr>
      <t xml:space="preserve">室</t>
    </r>
    <r>
      <rPr>
        <b val="true"/>
        <sz val="8"/>
        <color rgb="FF000000"/>
        <rFont val="Yu Gothic"/>
        <family val="0"/>
        <charset val="1"/>
      </rPr>
      <t xml:space="preserve">1</t>
    </r>
    <r>
      <rPr>
        <b val="true"/>
        <sz val="8"/>
        <color rgb="FF000000"/>
        <rFont val="WenQuanYi Zen Hei"/>
        <family val="2"/>
      </rPr>
      <t xml:space="preserve">泊</t>
    </r>
    <r>
      <rPr>
        <b val="true"/>
        <sz val="8"/>
        <color rgb="FF000000"/>
        <rFont val="Yu Gothic"/>
        <family val="0"/>
        <charset val="1"/>
      </rPr>
      <t xml:space="preserve">)</t>
    </r>
  </si>
  <si>
    <t xml:space="preserve">泊数</t>
  </si>
  <si>
    <t xml:space="preserve">金額</t>
  </si>
  <si>
    <r>
      <rPr>
        <i val="true"/>
        <sz val="8"/>
        <color rgb="FF909090"/>
        <rFont val="WenQuanYi Zen Hei"/>
        <family val="2"/>
      </rPr>
      <t xml:space="preserve">例</t>
    </r>
    <r>
      <rPr>
        <i val="true"/>
        <sz val="8"/>
        <color rgb="FF909090"/>
        <rFont val="Yu Gothic"/>
        <family val="0"/>
        <charset val="1"/>
      </rPr>
      <t xml:space="preserve">: Superior Twin</t>
    </r>
  </si>
  <si>
    <t xml:space="preserve">15</t>
  </si>
  <si>
    <t xml:space="preserve">14,960</t>
  </si>
  <si>
    <r>
      <rPr>
        <i val="true"/>
        <sz val="8"/>
        <color rgb="FF909090"/>
        <rFont val="Yu Gothic"/>
        <family val="0"/>
        <charset val="1"/>
      </rPr>
      <t xml:space="preserve">(</t>
    </r>
    <r>
      <rPr>
        <i val="true"/>
        <sz val="8"/>
        <color rgb="FF909090"/>
        <rFont val="WenQuanYi Zen Hei"/>
        <family val="2"/>
      </rPr>
      <t xml:space="preserve">自動</t>
    </r>
    <r>
      <rPr>
        <i val="true"/>
        <sz val="8"/>
        <color rgb="FF909090"/>
        <rFont val="Yu Gothic"/>
        <family val="0"/>
        <charset val="1"/>
      </rPr>
      <t xml:space="preserve">)</t>
    </r>
  </si>
  <si>
    <t xml:space="preserve">宿泊小計</t>
  </si>
  <si>
    <t xml:space="preserve">自動計算 → 見積書に部屋タイプごと自動で載ります</t>
  </si>
  <si>
    <t xml:space="preserve">宿泊特記</t>
  </si>
  <si>
    <r>
      <rPr>
        <i val="true"/>
        <sz val="8"/>
        <color rgb="FF909090"/>
        <rFont val="WenQuanYi Zen Hei"/>
        <family val="2"/>
      </rPr>
      <t xml:space="preserve">例</t>
    </r>
    <r>
      <rPr>
        <i val="true"/>
        <sz val="8"/>
        <color rgb="FF909090"/>
        <rFont val="Yu Gothic"/>
        <family val="0"/>
        <charset val="1"/>
      </rPr>
      <t xml:space="preserve">: 1</t>
    </r>
    <r>
      <rPr>
        <i val="true"/>
        <sz val="8"/>
        <color rgb="FF909090"/>
        <rFont val="WenQuanYi Zen Hei"/>
        <family val="2"/>
      </rPr>
      <t xml:space="preserve">階希望</t>
    </r>
    <r>
      <rPr>
        <i val="true"/>
        <sz val="8"/>
        <color rgb="FF909090"/>
        <rFont val="Yu Gothic"/>
        <family val="0"/>
        <charset val="1"/>
      </rPr>
      <t xml:space="preserve">3</t>
    </r>
    <r>
      <rPr>
        <i val="true"/>
        <sz val="8"/>
        <color rgb="FF909090"/>
        <rFont val="WenQuanYi Zen Hei"/>
        <family val="2"/>
      </rPr>
      <t xml:space="preserve">名</t>
    </r>
    <r>
      <rPr>
        <i val="true"/>
        <sz val="8"/>
        <color rgb="FF909090"/>
        <rFont val="Yu Gothic"/>
        <family val="0"/>
        <charset val="1"/>
      </rPr>
      <t xml:space="preserve">(</t>
    </r>
    <r>
      <rPr>
        <i val="true"/>
        <sz val="8"/>
        <color rgb="FF909090"/>
        <rFont val="WenQuanYi Zen Hei"/>
        <family val="2"/>
      </rPr>
      <t xml:space="preserve">車椅子貸出</t>
    </r>
    <r>
      <rPr>
        <i val="true"/>
        <sz val="8"/>
        <color rgb="FF909090"/>
        <rFont val="Yu Gothic"/>
        <family val="0"/>
        <charset val="1"/>
      </rPr>
      <t xml:space="preserve">1</t>
    </r>
    <r>
      <rPr>
        <i val="true"/>
        <sz val="8"/>
        <color rgb="FF909090"/>
        <rFont val="WenQuanYi Zen Hei"/>
        <family val="2"/>
      </rPr>
      <t xml:space="preserve">名</t>
    </r>
    <r>
      <rPr>
        <i val="true"/>
        <sz val="8"/>
        <color rgb="FF909090"/>
        <rFont val="Yu Gothic"/>
        <family val="0"/>
        <charset val="1"/>
      </rPr>
      <t xml:space="preserve">)</t>
    </r>
  </si>
  <si>
    <r>
      <rPr>
        <b val="true"/>
        <sz val="10"/>
        <color rgb="FF000000"/>
        <rFont val="Yu Gothic"/>
        <family val="0"/>
        <charset val="1"/>
      </rPr>
      <t xml:space="preserve">■ 5. </t>
    </r>
    <r>
      <rPr>
        <b val="true"/>
        <sz val="10"/>
        <color rgb="FF000000"/>
        <rFont val="WenQuanYi Zen Hei"/>
        <family val="2"/>
      </rPr>
      <t xml:space="preserve">食事</t>
    </r>
    <r>
      <rPr>
        <b val="true"/>
        <sz val="10"/>
        <color rgb="FF000000"/>
        <rFont val="Yu Gothic"/>
        <family val="0"/>
        <charset val="1"/>
      </rPr>
      <t xml:space="preserve">(1</t>
    </r>
    <r>
      <rPr>
        <b val="true"/>
        <sz val="10"/>
        <color rgb="FF000000"/>
        <rFont val="WenQuanYi Zen Hei"/>
        <family val="2"/>
      </rPr>
      <t xml:space="preserve">〜</t>
    </r>
    <r>
      <rPr>
        <b val="true"/>
        <sz val="10"/>
        <color rgb="FF000000"/>
        <rFont val="Yu Gothic"/>
        <family val="0"/>
        <charset val="1"/>
      </rPr>
      <t xml:space="preserve">3</t>
    </r>
    <r>
      <rPr>
        <b val="true"/>
        <sz val="10"/>
        <color rgb="FF000000"/>
        <rFont val="WenQuanYi Zen Hei"/>
        <family val="2"/>
      </rPr>
      <t xml:space="preserve">日目</t>
    </r>
    <r>
      <rPr>
        <b val="true"/>
        <sz val="10"/>
        <color rgb="FF000000"/>
        <rFont val="Yu Gothic"/>
        <family val="0"/>
        <charset val="1"/>
      </rPr>
      <t xml:space="preserve">×</t>
    </r>
    <r>
      <rPr>
        <b val="true"/>
        <sz val="10"/>
        <color rgb="FF000000"/>
        <rFont val="WenQuanYi Zen Hei"/>
        <family val="2"/>
      </rPr>
      <t xml:space="preserve">朝食・夕食。会場▼</t>
    </r>
    <r>
      <rPr>
        <b val="true"/>
        <sz val="10"/>
        <color rgb="FF000000"/>
        <rFont val="Yu Gothic"/>
        <family val="0"/>
        <charset val="1"/>
      </rPr>
      <t xml:space="preserve">=4</t>
    </r>
    <r>
      <rPr>
        <b val="true"/>
        <sz val="10"/>
        <color rgb="FF000000"/>
        <rFont val="WenQuanYi Zen Hei"/>
        <family val="2"/>
      </rPr>
      <t xml:space="preserve">店舗 </t>
    </r>
    <r>
      <rPr>
        <b val="true"/>
        <sz val="10"/>
        <color rgb="FF000000"/>
        <rFont val="Yu Gothic"/>
        <family val="0"/>
        <charset val="1"/>
      </rPr>
      <t xml:space="preserve">/ </t>
    </r>
    <r>
      <rPr>
        <b val="true"/>
        <sz val="10"/>
        <color rgb="FF000000"/>
        <rFont val="WenQuanYi Zen Hei"/>
        <family val="2"/>
      </rPr>
      <t xml:space="preserve">時刻▼</t>
    </r>
    <r>
      <rPr>
        <b val="true"/>
        <sz val="10"/>
        <color rgb="FF000000"/>
        <rFont val="Yu Gothic"/>
        <family val="0"/>
        <charset val="1"/>
      </rPr>
      <t xml:space="preserve">=15</t>
    </r>
    <r>
      <rPr>
        <b val="true"/>
        <sz val="10"/>
        <color rgb="FF000000"/>
        <rFont val="WenQuanYi Zen Hei"/>
        <family val="2"/>
      </rPr>
      <t xml:space="preserve">分毎</t>
    </r>
    <r>
      <rPr>
        <b val="true"/>
        <sz val="10"/>
        <color rgb="FF000000"/>
        <rFont val="Yu Gothic"/>
        <family val="0"/>
        <charset val="1"/>
      </rPr>
      <t xml:space="preserve">)</t>
    </r>
  </si>
  <si>
    <r>
      <rPr>
        <b val="true"/>
        <sz val="8"/>
        <color rgb="FF000000"/>
        <rFont val="WenQuanYi Zen Hei"/>
        <family val="2"/>
      </rPr>
      <t xml:space="preserve">区分</t>
    </r>
    <r>
      <rPr>
        <b val="true"/>
        <sz val="8"/>
        <color rgb="FF000000"/>
        <rFont val="Yu Gothic"/>
        <family val="0"/>
        <charset val="1"/>
      </rPr>
      <t xml:space="preserve">(</t>
    </r>
    <r>
      <rPr>
        <b val="true"/>
        <sz val="8"/>
        <color rgb="FF000000"/>
        <rFont val="WenQuanYi Zen Hei"/>
        <family val="2"/>
      </rPr>
      <t xml:space="preserve">自動</t>
    </r>
    <r>
      <rPr>
        <b val="true"/>
        <sz val="8"/>
        <color rgb="FF000000"/>
        <rFont val="Yu Gothic"/>
        <family val="0"/>
        <charset val="1"/>
      </rPr>
      <t xml:space="preserve">)</t>
    </r>
  </si>
  <si>
    <t xml:space="preserve">内容</t>
  </si>
  <si>
    <t xml:space="preserve">会場 ▼</t>
  </si>
  <si>
    <t xml:space="preserve">時刻 ▼</t>
  </si>
  <si>
    <t xml:space="preserve">数量</t>
  </si>
  <si>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宴会コース</t>
    </r>
    <r>
      <rPr>
        <i val="true"/>
        <sz val="8"/>
        <color rgb="FF909090"/>
        <rFont val="Yu Gothic"/>
        <family val="0"/>
        <charset val="1"/>
      </rPr>
      <t xml:space="preserve">+</t>
    </r>
    <r>
      <rPr>
        <i val="true"/>
        <sz val="8"/>
        <color rgb="FF909090"/>
        <rFont val="WenQuanYi Zen Hei"/>
        <family val="2"/>
      </rPr>
      <t xml:space="preserve">飲放</t>
    </r>
    <r>
      <rPr>
        <i val="true"/>
        <sz val="8"/>
        <color rgb="FF909090"/>
        <rFont val="Yu Gothic"/>
        <family val="0"/>
        <charset val="1"/>
      </rPr>
      <t xml:space="preserve">90</t>
    </r>
    <r>
      <rPr>
        <i val="true"/>
        <sz val="8"/>
        <color rgb="FF909090"/>
        <rFont val="WenQuanYi Zen Hei"/>
        <family val="2"/>
      </rPr>
      <t xml:space="preserve">分</t>
    </r>
  </si>
  <si>
    <t xml:space="preserve">ザ・プレート</t>
  </si>
  <si>
    <t xml:space="preserve">18:00</t>
  </si>
  <si>
    <t xml:space="preserve">40</t>
  </si>
  <si>
    <r>
      <rPr>
        <b val="true"/>
        <sz val="9"/>
        <color rgb="FF000000"/>
        <rFont val="WenQuanYi Zen Hei"/>
        <family val="2"/>
      </rPr>
      <t xml:space="preserve">アレルギー </t>
    </r>
    <r>
      <rPr>
        <b val="true"/>
        <sz val="9"/>
        <color rgb="FF000000"/>
        <rFont val="Yu Gothic"/>
        <family val="0"/>
        <charset val="1"/>
      </rPr>
      <t xml:space="preserve">*</t>
    </r>
  </si>
  <si>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なし ←無い場合も必ず記入 </t>
    </r>
    <r>
      <rPr>
        <i val="true"/>
        <sz val="8"/>
        <color rgb="FF909090"/>
        <rFont val="Yu Gothic"/>
        <family val="0"/>
        <charset val="1"/>
      </rPr>
      <t xml:space="preserve">/ </t>
    </r>
    <r>
      <rPr>
        <i val="true"/>
        <sz val="8"/>
        <color rgb="FF909090"/>
        <rFont val="WenQuanYi Zen Hei"/>
        <family val="2"/>
      </rPr>
      <t xml:space="preserve">甲殻類</t>
    </r>
    <r>
      <rPr>
        <i val="true"/>
        <sz val="8"/>
        <color rgb="FF909090"/>
        <rFont val="Yu Gothic"/>
        <family val="0"/>
        <charset val="1"/>
      </rPr>
      <t xml:space="preserve">3</t>
    </r>
    <r>
      <rPr>
        <i val="true"/>
        <sz val="8"/>
        <color rgb="FF909090"/>
        <rFont val="WenQuanYi Zen Hei"/>
        <family val="2"/>
      </rPr>
      <t xml:space="preserve">名</t>
    </r>
    <r>
      <rPr>
        <i val="true"/>
        <sz val="8"/>
        <color rgb="FF909090"/>
        <rFont val="Yu Gothic"/>
        <family val="0"/>
        <charset val="1"/>
      </rPr>
      <t xml:space="preserve">(</t>
    </r>
    <r>
      <rPr>
        <i val="true"/>
        <sz val="8"/>
        <color rgb="FF909090"/>
        <rFont val="WenQuanYi Zen Hei"/>
        <family val="2"/>
      </rPr>
      <t xml:space="preserve">名簿は料飲へ</t>
    </r>
    <r>
      <rPr>
        <i val="true"/>
        <sz val="8"/>
        <color rgb="FF909090"/>
        <rFont val="Yu Gothic"/>
        <family val="0"/>
        <charset val="1"/>
      </rPr>
      <t xml:space="preserve">)</t>
    </r>
  </si>
  <si>
    <r>
      <rPr>
        <b val="true"/>
        <sz val="10"/>
        <color rgb="FF000000"/>
        <rFont val="Yu Gothic"/>
        <family val="0"/>
        <charset val="1"/>
      </rPr>
      <t xml:space="preserve">■ 6. </t>
    </r>
    <r>
      <rPr>
        <b val="true"/>
        <sz val="10"/>
        <color rgb="FF000000"/>
        <rFont val="WenQuanYi Zen Hei"/>
        <family val="2"/>
      </rPr>
      <t xml:space="preserve">宴会・会場</t>
    </r>
  </si>
  <si>
    <r>
      <rPr>
        <b val="true"/>
        <sz val="9"/>
        <color rgb="FF000000"/>
        <rFont val="WenQuanYi Zen Hei"/>
        <family val="2"/>
      </rPr>
      <t xml:space="preserve">設営</t>
    </r>
    <r>
      <rPr>
        <b val="true"/>
        <sz val="9"/>
        <color rgb="FF000000"/>
        <rFont val="Yu Gothic"/>
        <family val="0"/>
        <charset val="1"/>
      </rPr>
      <t xml:space="preserve">/</t>
    </r>
    <r>
      <rPr>
        <b val="true"/>
        <sz val="9"/>
        <color rgb="FF000000"/>
        <rFont val="WenQuanYi Zen Hei"/>
        <family val="2"/>
      </rPr>
      <t xml:space="preserve">本番</t>
    </r>
    <r>
      <rPr>
        <b val="true"/>
        <sz val="9"/>
        <color rgb="FF000000"/>
        <rFont val="Yu Gothic"/>
        <family val="0"/>
        <charset val="1"/>
      </rPr>
      <t xml:space="preserve">/</t>
    </r>
    <r>
      <rPr>
        <b val="true"/>
        <sz val="9"/>
        <color rgb="FF000000"/>
        <rFont val="WenQuanYi Zen Hei"/>
        <family val="2"/>
      </rPr>
      <t xml:space="preserve">撤収</t>
    </r>
  </si>
  <si>
    <r>
      <rPr>
        <i val="true"/>
        <sz val="8"/>
        <color rgb="FF909090"/>
        <rFont val="WenQuanYi Zen Hei"/>
        <family val="2"/>
      </rPr>
      <t xml:space="preserve">例</t>
    </r>
    <r>
      <rPr>
        <i val="true"/>
        <sz val="8"/>
        <color rgb="FF909090"/>
        <rFont val="Yu Gothic"/>
        <family val="0"/>
        <charset val="1"/>
      </rPr>
      <t xml:space="preserve">: 17:00</t>
    </r>
    <r>
      <rPr>
        <i val="true"/>
        <sz val="8"/>
        <color rgb="FF909090"/>
        <rFont val="WenQuanYi Zen Hei"/>
        <family val="2"/>
      </rPr>
      <t xml:space="preserve">設営 </t>
    </r>
    <r>
      <rPr>
        <i val="true"/>
        <sz val="8"/>
        <color rgb="FF909090"/>
        <rFont val="Yu Gothic"/>
        <family val="0"/>
        <charset val="1"/>
      </rPr>
      <t xml:space="preserve">/ 18:00-20:00 / 21:00</t>
    </r>
    <r>
      <rPr>
        <i val="true"/>
        <sz val="8"/>
        <color rgb="FF909090"/>
        <rFont val="WenQuanYi Zen Hei"/>
        <family val="2"/>
      </rPr>
      <t xml:space="preserve">撤収</t>
    </r>
  </si>
  <si>
    <t xml:space="preserve">レイアウト ▼</t>
  </si>
  <si>
    <t xml:space="preserve">機材・備品</t>
  </si>
  <si>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マイク</t>
    </r>
    <r>
      <rPr>
        <i val="true"/>
        <sz val="8"/>
        <color rgb="FF909090"/>
        <rFont val="Yu Gothic"/>
        <family val="0"/>
        <charset val="1"/>
      </rPr>
      <t xml:space="preserve">2</t>
    </r>
    <r>
      <rPr>
        <i val="true"/>
        <sz val="8"/>
        <color rgb="FF909090"/>
        <rFont val="WenQuanYi Zen Hei"/>
        <family val="2"/>
      </rPr>
      <t xml:space="preserve">・プロジェクター</t>
    </r>
  </si>
  <si>
    <t xml:space="preserve">進行メモ</t>
  </si>
  <si>
    <r>
      <rPr>
        <i val="true"/>
        <sz val="8"/>
        <color rgb="FF909090"/>
        <rFont val="WenQuanYi Zen Hei"/>
        <family val="2"/>
      </rPr>
      <t xml:space="preserve">例</t>
    </r>
    <r>
      <rPr>
        <i val="true"/>
        <sz val="8"/>
        <color rgb="FF909090"/>
        <rFont val="Yu Gothic"/>
        <family val="0"/>
        <charset val="1"/>
      </rPr>
      <t xml:space="preserve">: 19:00</t>
    </r>
    <r>
      <rPr>
        <i val="true"/>
        <sz val="8"/>
        <color rgb="FF909090"/>
        <rFont val="WenQuanYi Zen Hei"/>
        <family val="2"/>
      </rPr>
      <t xml:space="preserve">頃 社長表彰</t>
    </r>
    <r>
      <rPr>
        <i val="true"/>
        <sz val="8"/>
        <color rgb="FF909090"/>
        <rFont val="Yu Gothic"/>
        <family val="0"/>
        <charset val="1"/>
      </rPr>
      <t xml:space="preserve">(</t>
    </r>
    <r>
      <rPr>
        <i val="true"/>
        <sz val="8"/>
        <color rgb="FF909090"/>
        <rFont val="WenQuanYi Zen Hei"/>
        <family val="2"/>
      </rPr>
      <t xml:space="preserve">照明・マイク</t>
    </r>
    <r>
      <rPr>
        <i val="true"/>
        <sz val="8"/>
        <color rgb="FF909090"/>
        <rFont val="Yu Gothic"/>
        <family val="0"/>
        <charset val="1"/>
      </rPr>
      <t xml:space="preserve">)</t>
    </r>
  </si>
  <si>
    <r>
      <rPr>
        <b val="true"/>
        <sz val="10"/>
        <color rgb="FF000000"/>
        <rFont val="Yu Gothic"/>
        <family val="0"/>
        <charset val="1"/>
      </rPr>
      <t xml:space="preserve">■ 7. </t>
    </r>
    <r>
      <rPr>
        <b val="true"/>
        <sz val="10"/>
        <color rgb="FF000000"/>
        <rFont val="WenQuanYi Zen Hei"/>
        <family val="2"/>
      </rPr>
      <t xml:space="preserve">送迎</t>
    </r>
  </si>
  <si>
    <t xml:space="preserve">往路</t>
  </si>
  <si>
    <r>
      <rPr>
        <i val="true"/>
        <sz val="8"/>
        <color rgb="FF909090"/>
        <rFont val="WenQuanYi Zen Hei"/>
        <family val="2"/>
      </rPr>
      <t xml:space="preserve">例</t>
    </r>
    <r>
      <rPr>
        <i val="true"/>
        <sz val="8"/>
        <color rgb="FF909090"/>
        <rFont val="Yu Gothic"/>
        <family val="0"/>
        <charset val="1"/>
      </rPr>
      <t xml:space="preserve">: 8/15 </t>
    </r>
    <r>
      <rPr>
        <i val="true"/>
        <sz val="8"/>
        <color rgb="FF909090"/>
        <rFont val="WenQuanYi Zen Hei"/>
        <family val="2"/>
      </rPr>
      <t xml:space="preserve">上越妙高駅 </t>
    </r>
    <r>
      <rPr>
        <i val="true"/>
        <sz val="8"/>
        <color rgb="FF909090"/>
        <rFont val="Yu Gothic"/>
        <family val="0"/>
        <charset val="1"/>
      </rPr>
      <t xml:space="preserve">14:30</t>
    </r>
    <r>
      <rPr>
        <i val="true"/>
        <sz val="8"/>
        <color rgb="FF909090"/>
        <rFont val="WenQuanYi Zen Hei"/>
        <family val="2"/>
      </rPr>
      <t xml:space="preserve">発 → ホテル</t>
    </r>
    <r>
      <rPr>
        <i val="true"/>
        <sz val="8"/>
        <color rgb="FF909090"/>
        <rFont val="Yu Gothic"/>
        <family val="0"/>
        <charset val="1"/>
      </rPr>
      <t xml:space="preserve">(</t>
    </r>
    <r>
      <rPr>
        <i val="true"/>
        <sz val="8"/>
        <color rgb="FF909090"/>
        <rFont val="WenQuanYi Zen Hei"/>
        <family val="2"/>
      </rPr>
      <t xml:space="preserve">バス</t>
    </r>
    <r>
      <rPr>
        <i val="true"/>
        <sz val="8"/>
        <color rgb="FF909090"/>
        <rFont val="Yu Gothic"/>
        <family val="0"/>
        <charset val="1"/>
      </rPr>
      <t xml:space="preserve">2</t>
    </r>
    <r>
      <rPr>
        <i val="true"/>
        <sz val="8"/>
        <color rgb="FF909090"/>
        <rFont val="WenQuanYi Zen Hei"/>
        <family val="2"/>
      </rPr>
      <t xml:space="preserve">台</t>
    </r>
    <r>
      <rPr>
        <i val="true"/>
        <sz val="8"/>
        <color rgb="FF909090"/>
        <rFont val="Yu Gothic"/>
        <family val="0"/>
        <charset val="1"/>
      </rPr>
      <t xml:space="preserve">)</t>
    </r>
  </si>
  <si>
    <t xml:space="preserve">復路</t>
  </si>
  <si>
    <r>
      <rPr>
        <i val="true"/>
        <sz val="8"/>
        <color rgb="FF909090"/>
        <rFont val="WenQuanYi Zen Hei"/>
        <family val="2"/>
      </rPr>
      <t xml:space="preserve">例</t>
    </r>
    <r>
      <rPr>
        <i val="true"/>
        <sz val="8"/>
        <color rgb="FF909090"/>
        <rFont val="Yu Gothic"/>
        <family val="0"/>
        <charset val="1"/>
      </rPr>
      <t xml:space="preserve">: 8/16 </t>
    </r>
    <r>
      <rPr>
        <i val="true"/>
        <sz val="8"/>
        <color rgb="FF909090"/>
        <rFont val="WenQuanYi Zen Hei"/>
        <family val="2"/>
      </rPr>
      <t xml:space="preserve">ホテル </t>
    </r>
    <r>
      <rPr>
        <i val="true"/>
        <sz val="8"/>
        <color rgb="FF909090"/>
        <rFont val="Yu Gothic"/>
        <family val="0"/>
        <charset val="1"/>
      </rPr>
      <t xml:space="preserve">10:00</t>
    </r>
    <r>
      <rPr>
        <i val="true"/>
        <sz val="8"/>
        <color rgb="FF909090"/>
        <rFont val="WenQuanYi Zen Hei"/>
        <family val="2"/>
      </rPr>
      <t xml:space="preserve">発 → 上越妙高駅</t>
    </r>
  </si>
  <si>
    <r>
      <rPr>
        <b val="true"/>
        <sz val="10"/>
        <color rgb="FF000000"/>
        <rFont val="Yu Gothic"/>
        <family val="0"/>
        <charset val="1"/>
      </rPr>
      <t xml:space="preserve">■ 8. </t>
    </r>
    <r>
      <rPr>
        <b val="true"/>
        <sz val="10"/>
        <color rgb="FF000000"/>
        <rFont val="WenQuanYi Zen Hei"/>
        <family val="2"/>
      </rPr>
      <t xml:space="preserve">条件・ステータス</t>
    </r>
  </si>
  <si>
    <r>
      <rPr>
        <b val="true"/>
        <sz val="9"/>
        <color rgb="FF000000"/>
        <rFont val="WenQuanYi Zen Hei"/>
        <family val="2"/>
      </rPr>
      <t xml:space="preserve">ステータス ▼ </t>
    </r>
    <r>
      <rPr>
        <b val="true"/>
        <sz val="9"/>
        <color rgb="FF000000"/>
        <rFont val="Yu Gothic"/>
        <family val="0"/>
        <charset val="1"/>
      </rPr>
      <t xml:space="preserve">*</t>
    </r>
  </si>
  <si>
    <t xml:space="preserve">確度 ▼</t>
  </si>
  <si>
    <r>
      <rPr>
        <i val="true"/>
        <sz val="8"/>
        <color rgb="FF909090"/>
        <rFont val="WenQuanYi Zen Hei"/>
        <family val="2"/>
      </rPr>
      <t xml:space="preserve">例</t>
    </r>
    <r>
      <rPr>
        <i val="true"/>
        <sz val="8"/>
        <color rgb="FF909090"/>
        <rFont val="Yu Gothic"/>
        <family val="0"/>
        <charset val="1"/>
      </rPr>
      <t xml:space="preserve">: S/A/B/C </t>
    </r>
    <r>
      <rPr>
        <i val="true"/>
        <sz val="8"/>
        <color rgb="FF909090"/>
        <rFont val="WenQuanYi Zen Hei"/>
        <family val="2"/>
      </rPr>
      <t xml:space="preserve">から選択</t>
    </r>
  </si>
  <si>
    <t xml:space="preserve">仮予約期限</t>
  </si>
  <si>
    <r>
      <rPr>
        <i val="true"/>
        <sz val="8"/>
        <color rgb="FF909090"/>
        <rFont val="WenQuanYi Zen Hei"/>
        <family val="2"/>
      </rPr>
      <t xml:space="preserve">例</t>
    </r>
    <r>
      <rPr>
        <i val="true"/>
        <sz val="8"/>
        <color rgb="FF909090"/>
        <rFont val="Yu Gothic"/>
        <family val="0"/>
        <charset val="1"/>
      </rPr>
      <t xml:space="preserve">: 2026/7/31 ←</t>
    </r>
    <r>
      <rPr>
        <i val="true"/>
        <sz val="8"/>
        <color rgb="FF909090"/>
        <rFont val="WenQuanYi Zen Hei"/>
        <family val="2"/>
      </rPr>
      <t xml:space="preserve">仮予約なら必須</t>
    </r>
    <r>
      <rPr>
        <i val="true"/>
        <sz val="8"/>
        <color rgb="FF909090"/>
        <rFont val="Yu Gothic"/>
        <family val="0"/>
        <charset val="1"/>
      </rPr>
      <t xml:space="preserve">(</t>
    </r>
    <r>
      <rPr>
        <i val="true"/>
        <sz val="8"/>
        <color rgb="FF909090"/>
        <rFont val="WenQuanYi Zen Hei"/>
        <family val="2"/>
      </rPr>
      <t xml:space="preserve">空欄だと赤</t>
    </r>
    <r>
      <rPr>
        <i val="true"/>
        <sz val="8"/>
        <color rgb="FF909090"/>
        <rFont val="Yu Gothic"/>
        <family val="0"/>
        <charset val="1"/>
      </rPr>
      <t xml:space="preserve">)</t>
    </r>
  </si>
  <si>
    <t xml:space="preserve">支払方法 ▼</t>
  </si>
  <si>
    <t xml:space="preserve">税・サービス料 ▼</t>
  </si>
  <si>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サ込税別 など</t>
    </r>
  </si>
  <si>
    <r>
      <rPr>
        <b val="true"/>
        <sz val="10"/>
        <color rgb="FF000000"/>
        <rFont val="Yu Gothic"/>
        <family val="0"/>
        <charset val="1"/>
      </rPr>
      <t xml:space="preserve">■ 9. </t>
    </r>
    <r>
      <rPr>
        <b val="true"/>
        <sz val="10"/>
        <color rgb="FF000000"/>
        <rFont val="WenQuanYi Zen Hei"/>
        <family val="2"/>
      </rPr>
      <t xml:space="preserve">見積明細</t>
    </r>
    <r>
      <rPr>
        <b val="true"/>
        <sz val="10"/>
        <color rgb="FF000000"/>
        <rFont val="Yu Gothic"/>
        <family val="0"/>
        <charset val="1"/>
      </rPr>
      <t xml:space="preserve">(</t>
    </r>
    <r>
      <rPr>
        <b val="true"/>
        <sz val="10"/>
        <color rgb="FF000000"/>
        <rFont val="WenQuanYi Zen Hei"/>
        <family val="2"/>
      </rPr>
      <t xml:space="preserve">宴会・料飲・送迎など。宿泊は上の部屋タイプ表から自動</t>
    </r>
    <r>
      <rPr>
        <b val="true"/>
        <sz val="10"/>
        <color rgb="FF000000"/>
        <rFont val="Yu Gothic"/>
        <family val="0"/>
        <charset val="1"/>
      </rPr>
      <t xml:space="preserve">)</t>
    </r>
  </si>
  <si>
    <t xml:space="preserve">項目 ▼</t>
  </si>
  <si>
    <t xml:space="preserve">単価</t>
  </si>
  <si>
    <t xml:space="preserve">単位 ▼</t>
  </si>
  <si>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宿泊</t>
    </r>
  </si>
  <si>
    <r>
      <rPr>
        <i val="true"/>
        <sz val="8"/>
        <color rgb="FF909090"/>
        <rFont val="Yu Gothic"/>
        <family val="0"/>
        <charset val="1"/>
      </rPr>
      <t xml:space="preserve">1</t>
    </r>
    <r>
      <rPr>
        <i val="true"/>
        <sz val="8"/>
        <color rgb="FF909090"/>
        <rFont val="WenQuanYi Zen Hei"/>
        <family val="2"/>
      </rPr>
      <t xml:space="preserve">泊</t>
    </r>
    <r>
      <rPr>
        <i val="true"/>
        <sz val="8"/>
        <color rgb="FF909090"/>
        <rFont val="Yu Gothic"/>
        <family val="0"/>
        <charset val="1"/>
      </rPr>
      <t xml:space="preserve">2</t>
    </r>
    <r>
      <rPr>
        <i val="true"/>
        <sz val="8"/>
        <color rgb="FF909090"/>
        <rFont val="WenQuanYi Zen Hei"/>
        <family val="2"/>
      </rPr>
      <t xml:space="preserve">食付</t>
    </r>
    <r>
      <rPr>
        <i val="true"/>
        <sz val="8"/>
        <color rgb="FF909090"/>
        <rFont val="Yu Gothic"/>
        <family val="0"/>
        <charset val="1"/>
      </rPr>
      <t xml:space="preserve">(Superior Twin)</t>
    </r>
  </si>
  <si>
    <t xml:space="preserve">15,000</t>
  </si>
  <si>
    <t xml:space="preserve">名</t>
  </si>
  <si>
    <r>
      <rPr>
        <b val="true"/>
        <sz val="9"/>
        <color rgb="FF000000"/>
        <rFont val="WenQuanYi Zen Hei"/>
        <family val="2"/>
      </rPr>
      <t xml:space="preserve">入湯税</t>
    </r>
    <r>
      <rPr>
        <b val="true"/>
        <sz val="9"/>
        <color rgb="FF000000"/>
        <rFont val="Yu Gothic"/>
        <family val="0"/>
        <charset val="1"/>
      </rPr>
      <t xml:space="preserve">(</t>
    </r>
    <r>
      <rPr>
        <b val="true"/>
        <sz val="9"/>
        <color rgb="FF000000"/>
        <rFont val="WenQuanYi Zen Hei"/>
        <family val="2"/>
      </rPr>
      <t xml:space="preserve">円</t>
    </r>
    <r>
      <rPr>
        <b val="true"/>
        <sz val="9"/>
        <color rgb="FF000000"/>
        <rFont val="Yu Gothic"/>
        <family val="0"/>
        <charset val="1"/>
      </rPr>
      <t xml:space="preserve">)</t>
    </r>
  </si>
  <si>
    <r>
      <rPr>
        <i val="true"/>
        <sz val="8"/>
        <color rgb="FF909090"/>
        <rFont val="WenQuanYi Zen Hei"/>
        <family val="2"/>
      </rPr>
      <t xml:space="preserve">例</t>
    </r>
    <r>
      <rPr>
        <i val="true"/>
        <sz val="8"/>
        <color rgb="FF909090"/>
        <rFont val="Yu Gothic"/>
        <family val="0"/>
        <charset val="1"/>
      </rPr>
      <t xml:space="preserve">: 150</t>
    </r>
    <r>
      <rPr>
        <i val="true"/>
        <sz val="8"/>
        <color rgb="FF909090"/>
        <rFont val="WenQuanYi Zen Hei"/>
        <family val="2"/>
      </rPr>
      <t xml:space="preserve">円</t>
    </r>
    <r>
      <rPr>
        <i val="true"/>
        <sz val="8"/>
        <color rgb="FF909090"/>
        <rFont val="Yu Gothic"/>
        <family val="0"/>
        <charset val="1"/>
      </rPr>
      <t xml:space="preserve">×</t>
    </r>
    <r>
      <rPr>
        <i val="true"/>
        <sz val="8"/>
        <color rgb="FF909090"/>
        <rFont val="WenQuanYi Zen Hei"/>
        <family val="2"/>
      </rPr>
      <t xml:space="preserve">宿泊人数</t>
    </r>
    <r>
      <rPr>
        <i val="true"/>
        <sz val="8"/>
        <color rgb="FF909090"/>
        <rFont val="Yu Gothic"/>
        <family val="0"/>
        <charset val="1"/>
      </rPr>
      <t xml:space="preserve">×</t>
    </r>
    <r>
      <rPr>
        <i val="true"/>
        <sz val="8"/>
        <color rgb="FF909090"/>
        <rFont val="WenQuanYi Zen Hei"/>
        <family val="2"/>
      </rPr>
      <t xml:space="preserve">泊数 </t>
    </r>
    <r>
      <rPr>
        <i val="true"/>
        <sz val="8"/>
        <color rgb="FF909090"/>
        <rFont val="Yu Gothic"/>
        <family val="0"/>
        <charset val="1"/>
      </rPr>
      <t xml:space="preserve">= 6,000</t>
    </r>
  </si>
  <si>
    <r>
      <rPr>
        <b val="true"/>
        <sz val="9"/>
        <color rgb="FF000000"/>
        <rFont val="WenQuanYi Zen Hei"/>
        <family val="2"/>
      </rPr>
      <t xml:space="preserve">値引き</t>
    </r>
    <r>
      <rPr>
        <b val="true"/>
        <sz val="9"/>
        <color rgb="FF000000"/>
        <rFont val="Yu Gothic"/>
        <family val="0"/>
        <charset val="1"/>
      </rPr>
      <t xml:space="preserve">(</t>
    </r>
    <r>
      <rPr>
        <b val="true"/>
        <sz val="9"/>
        <color rgb="FF000000"/>
        <rFont val="WenQuanYi Zen Hei"/>
        <family val="2"/>
      </rPr>
      <t xml:space="preserve">マイナス</t>
    </r>
    <r>
      <rPr>
        <b val="true"/>
        <sz val="9"/>
        <color rgb="FF000000"/>
        <rFont val="Yu Gothic"/>
        <family val="0"/>
        <charset val="1"/>
      </rPr>
      <t xml:space="preserve">)</t>
    </r>
  </si>
  <si>
    <r>
      <rPr>
        <i val="true"/>
        <sz val="8"/>
        <color rgb="FF909090"/>
        <rFont val="WenQuanYi Zen Hei"/>
        <family val="2"/>
      </rPr>
      <t xml:space="preserve">例</t>
    </r>
    <r>
      <rPr>
        <i val="true"/>
        <sz val="8"/>
        <color rgb="FF909090"/>
        <rFont val="Yu Gothic"/>
        <family val="0"/>
        <charset val="1"/>
      </rPr>
      <t xml:space="preserve">: -10,000</t>
    </r>
  </si>
  <si>
    <r>
      <rPr>
        <b val="true"/>
        <sz val="10"/>
        <color rgb="FF000000"/>
        <rFont val="Yu Gothic"/>
        <family val="0"/>
        <charset val="1"/>
      </rPr>
      <t xml:space="preserve">■ 10. </t>
    </r>
    <r>
      <rPr>
        <b val="true"/>
        <sz val="10"/>
        <color rgb="FF000000"/>
        <rFont val="WenQuanYi Zen Hei"/>
        <family val="2"/>
      </rPr>
      <t xml:space="preserve">社内管理</t>
    </r>
  </si>
  <si>
    <r>
      <rPr>
        <b val="true"/>
        <sz val="9"/>
        <color rgb="FF000000"/>
        <rFont val="WenQuanYi Zen Hei"/>
        <family val="2"/>
      </rPr>
      <t xml:space="preserve">予約番号 </t>
    </r>
    <r>
      <rPr>
        <b val="true"/>
        <sz val="9"/>
        <color rgb="FF000000"/>
        <rFont val="Yu Gothic"/>
        <family val="0"/>
        <charset val="1"/>
      </rPr>
      <t xml:space="preserve">*</t>
    </r>
  </si>
  <si>
    <r>
      <rPr>
        <i val="true"/>
        <sz val="8"/>
        <color rgb="FF909090"/>
        <rFont val="WenQuanYi Zen Hei"/>
        <family val="2"/>
      </rPr>
      <t xml:space="preserve">例</t>
    </r>
    <r>
      <rPr>
        <i val="true"/>
        <sz val="8"/>
        <color rgb="FF909090"/>
        <rFont val="Yu Gothic"/>
        <family val="0"/>
        <charset val="1"/>
      </rPr>
      <t xml:space="preserve">: 2026-070</t>
    </r>
  </si>
  <si>
    <t xml:space="preserve">担当営業</t>
  </si>
  <si>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清水</t>
    </r>
  </si>
  <si>
    <r>
      <rPr>
        <b val="true"/>
        <sz val="9"/>
        <color rgb="FF000000"/>
        <rFont val="WenQuanYi Zen Hei"/>
        <family val="2"/>
      </rPr>
      <t xml:space="preserve">担当</t>
    </r>
    <r>
      <rPr>
        <b val="true"/>
        <sz val="9"/>
        <color rgb="FF000000"/>
        <rFont val="Yu Gothic"/>
        <family val="0"/>
        <charset val="1"/>
      </rPr>
      <t xml:space="preserve">(</t>
    </r>
    <r>
      <rPr>
        <b val="true"/>
        <sz val="9"/>
        <color rgb="FF000000"/>
        <rFont val="WenQuanYi Zen Hei"/>
        <family val="2"/>
      </rPr>
      <t xml:space="preserve">手配</t>
    </r>
    <r>
      <rPr>
        <b val="true"/>
        <sz val="9"/>
        <color rgb="FF000000"/>
        <rFont val="Yu Gothic"/>
        <family val="0"/>
        <charset val="1"/>
      </rPr>
      <t xml:space="preserve">/</t>
    </r>
    <r>
      <rPr>
        <b val="true"/>
        <sz val="9"/>
        <color rgb="FF000000"/>
        <rFont val="WenQuanYi Zen Hei"/>
        <family val="2"/>
      </rPr>
      <t xml:space="preserve">現地</t>
    </r>
    <r>
      <rPr>
        <b val="true"/>
        <sz val="9"/>
        <color rgb="FF000000"/>
        <rFont val="Yu Gothic"/>
        <family val="0"/>
        <charset val="1"/>
      </rPr>
      <t xml:space="preserve">)</t>
    </r>
  </si>
  <si>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手配</t>
    </r>
    <r>
      <rPr>
        <i val="true"/>
        <sz val="8"/>
        <color rgb="FF909090"/>
        <rFont val="Yu Gothic"/>
        <family val="0"/>
        <charset val="1"/>
      </rPr>
      <t xml:space="preserve">:</t>
    </r>
    <r>
      <rPr>
        <i val="true"/>
        <sz val="8"/>
        <color rgb="FF909090"/>
        <rFont val="WenQuanYi Zen Hei"/>
        <family val="2"/>
      </rPr>
      <t xml:space="preserve">宮本 </t>
    </r>
    <r>
      <rPr>
        <i val="true"/>
        <sz val="8"/>
        <color rgb="FF909090"/>
        <rFont val="Yu Gothic"/>
        <family val="0"/>
        <charset val="1"/>
      </rPr>
      <t xml:space="preserve">/ </t>
    </r>
    <r>
      <rPr>
        <i val="true"/>
        <sz val="8"/>
        <color rgb="FF909090"/>
        <rFont val="WenQuanYi Zen Hei"/>
        <family val="2"/>
      </rPr>
      <t xml:space="preserve">現地</t>
    </r>
    <r>
      <rPr>
        <i val="true"/>
        <sz val="8"/>
        <color rgb="FF909090"/>
        <rFont val="Yu Gothic"/>
        <family val="0"/>
        <charset val="1"/>
      </rPr>
      <t xml:space="preserve">:</t>
    </r>
    <r>
      <rPr>
        <i val="true"/>
        <sz val="8"/>
        <color rgb="FF909090"/>
        <rFont val="WenQuanYi Zen Hei"/>
        <family val="2"/>
      </rPr>
      <t xml:space="preserve">小池</t>
    </r>
  </si>
  <si>
    <r>
      <rPr>
        <b val="true"/>
        <sz val="9"/>
        <color rgb="FF000000"/>
        <rFont val="WenQuanYi Zen Hei"/>
        <family val="2"/>
      </rPr>
      <t xml:space="preserve">コード略号</t>
    </r>
    <r>
      <rPr>
        <b val="true"/>
        <sz val="9"/>
        <color rgb="FF000000"/>
        <rFont val="Yu Gothic"/>
        <family val="0"/>
        <charset val="1"/>
      </rPr>
      <t xml:space="preserve">(</t>
    </r>
    <r>
      <rPr>
        <b val="true"/>
        <sz val="9"/>
        <color rgb="FF000000"/>
        <rFont val="WenQuanYi Zen Hei"/>
        <family val="2"/>
      </rPr>
      <t xml:space="preserve">英字</t>
    </r>
    <r>
      <rPr>
        <b val="true"/>
        <sz val="9"/>
        <color rgb="FF000000"/>
        <rFont val="Yu Gothic"/>
        <family val="0"/>
        <charset val="1"/>
      </rPr>
      <t xml:space="preserve">4)</t>
    </r>
  </si>
  <si>
    <r>
      <rPr>
        <i val="true"/>
        <sz val="8"/>
        <color rgb="FF909090"/>
        <rFont val="WenQuanYi Zen Hei"/>
        <family val="2"/>
      </rPr>
      <t xml:space="preserve">例</t>
    </r>
    <r>
      <rPr>
        <i val="true"/>
        <sz val="8"/>
        <color rgb="FF909090"/>
        <rFont val="Yu Gothic"/>
        <family val="0"/>
        <charset val="1"/>
      </rPr>
      <t xml:space="preserve">: TANA ←</t>
    </r>
    <r>
      <rPr>
        <i val="true"/>
        <sz val="8"/>
        <color rgb="FF909090"/>
        <rFont val="WenQuanYi Zen Hei"/>
        <family val="2"/>
      </rPr>
      <t xml:space="preserve">団体名ローマ字先頭</t>
    </r>
    <r>
      <rPr>
        <i val="true"/>
        <sz val="8"/>
        <color rgb="FF909090"/>
        <rFont val="Yu Gothic"/>
        <family val="0"/>
        <charset val="1"/>
      </rPr>
      <t xml:space="preserve">4</t>
    </r>
    <r>
      <rPr>
        <i val="true"/>
        <sz val="8"/>
        <color rgb="FF909090"/>
        <rFont val="WenQuanYi Zen Hei"/>
        <family val="2"/>
      </rPr>
      <t xml:space="preserve">字</t>
    </r>
  </si>
  <si>
    <t xml:space="preserve">ブロックコード</t>
  </si>
  <si>
    <r>
      <rPr>
        <i val="true"/>
        <sz val="8"/>
        <color rgb="FF909090"/>
        <rFont val="WenQuanYi Zen Hei"/>
        <family val="2"/>
      </rPr>
      <t xml:space="preserve">自動生成</t>
    </r>
    <r>
      <rPr>
        <i val="true"/>
        <sz val="8"/>
        <color rgb="FF909090"/>
        <rFont val="Yu Gothic"/>
        <family val="0"/>
        <charset val="1"/>
      </rPr>
      <t xml:space="preserve">(Opera</t>
    </r>
    <r>
      <rPr>
        <i val="true"/>
        <sz val="8"/>
        <color rgb="FF909090"/>
        <rFont val="WenQuanYi Zen Hei"/>
        <family val="2"/>
      </rPr>
      <t xml:space="preserve">用</t>
    </r>
    <r>
      <rPr>
        <i val="true"/>
        <sz val="8"/>
        <color rgb="FF909090"/>
        <rFont val="Yu Gothic"/>
        <family val="0"/>
        <charset val="1"/>
      </rPr>
      <t xml:space="preserve">)</t>
    </r>
    <r>
      <rPr>
        <i val="true"/>
        <sz val="8"/>
        <color rgb="FF909090"/>
        <rFont val="WenQuanYi Zen Hei"/>
        <family val="2"/>
      </rPr>
      <t xml:space="preserve">。手修正可</t>
    </r>
  </si>
  <si>
    <t xml:space="preserve">見積番号</t>
  </si>
  <si>
    <r>
      <rPr>
        <i val="true"/>
        <sz val="8"/>
        <color rgb="FF909090"/>
        <rFont val="WenQuanYi Zen Hei"/>
        <family val="2"/>
      </rPr>
      <t xml:space="preserve">例</t>
    </r>
    <r>
      <rPr>
        <i val="true"/>
        <sz val="8"/>
        <color rgb="FF909090"/>
        <rFont val="Yu Gothic"/>
        <family val="0"/>
        <charset val="1"/>
      </rPr>
      <t xml:space="preserve">: Q-2026-0001</t>
    </r>
  </si>
  <si>
    <t xml:space="preserve">発行日</t>
  </si>
  <si>
    <r>
      <rPr>
        <i val="true"/>
        <sz val="8"/>
        <color rgb="FF909090"/>
        <rFont val="WenQuanYi Zen Hei"/>
        <family val="2"/>
      </rPr>
      <t xml:space="preserve">例</t>
    </r>
    <r>
      <rPr>
        <i val="true"/>
        <sz val="8"/>
        <color rgb="FF909090"/>
        <rFont val="Yu Gothic"/>
        <family val="0"/>
        <charset val="1"/>
      </rPr>
      <t xml:space="preserve">: 2026/7/17</t>
    </r>
  </si>
  <si>
    <t xml:space="preserve">見積有効期限</t>
  </si>
  <si>
    <r>
      <rPr>
        <i val="true"/>
        <sz val="8"/>
        <color rgb="FF909090"/>
        <rFont val="WenQuanYi Zen Hei"/>
        <family val="2"/>
      </rPr>
      <t xml:space="preserve">例</t>
    </r>
    <r>
      <rPr>
        <i val="true"/>
        <sz val="8"/>
        <color rgb="FF909090"/>
        <rFont val="Yu Gothic"/>
        <family val="0"/>
        <charset val="1"/>
      </rPr>
      <t xml:space="preserve">: 2026/8/1</t>
    </r>
  </si>
  <si>
    <r>
      <rPr>
        <b val="true"/>
        <sz val="10"/>
        <color rgb="FF000000"/>
        <rFont val="Yu Gothic"/>
        <family val="0"/>
        <charset val="1"/>
      </rPr>
      <t xml:space="preserve">■ 11. </t>
    </r>
    <r>
      <rPr>
        <b val="true"/>
        <sz val="10"/>
        <color rgb="FF000000"/>
        <rFont val="WenQuanYi Zen Hei"/>
        <family val="2"/>
      </rPr>
      <t xml:space="preserve">特記事項・引き継ぎメモ</t>
    </r>
    <r>
      <rPr>
        <b val="true"/>
        <sz val="10"/>
        <color rgb="FF000000"/>
        <rFont val="Yu Gothic"/>
        <family val="0"/>
        <charset val="1"/>
      </rPr>
      <t xml:space="preserve">(</t>
    </r>
    <r>
      <rPr>
        <b val="true"/>
        <sz val="10"/>
        <color rgb="FF000000"/>
        <rFont val="WenQuanYi Zen Hei"/>
        <family val="2"/>
      </rPr>
      <t xml:space="preserve">共有シートに載ります</t>
    </r>
    <r>
      <rPr>
        <b val="true"/>
        <sz val="10"/>
        <color rgb="FF000000"/>
        <rFont val="Yu Gothic"/>
        <family val="0"/>
        <charset val="1"/>
      </rPr>
      <t xml:space="preserve">)</t>
    </r>
  </si>
  <si>
    <r>
      <rPr>
        <sz val="8"/>
        <color rgb="FF666666"/>
        <rFont val="WenQuanYi Zen Hei"/>
        <family val="2"/>
      </rPr>
      <t xml:space="preserve">▼カレンダー転記用</t>
    </r>
    <r>
      <rPr>
        <sz val="8"/>
        <color rgb="FF666666"/>
        <rFont val="Yu Gothic"/>
        <family val="0"/>
        <charset val="1"/>
      </rPr>
      <t xml:space="preserve">(</t>
    </r>
    <r>
      <rPr>
        <sz val="8"/>
        <color rgb="FF666666"/>
        <rFont val="WenQuanYi Zen Hei"/>
        <family val="2"/>
      </rPr>
      <t xml:space="preserve">この行をコピーして共有カレンダーの案件一覧に貼り付け→値貼り付け</t>
    </r>
    <r>
      <rPr>
        <sz val="8"/>
        <color rgb="FF666666"/>
        <rFont val="Yu Gothic"/>
        <family val="0"/>
        <charset val="1"/>
      </rPr>
      <t xml:space="preserve">)</t>
    </r>
  </si>
  <si>
    <t xml:space="preserve">団体案件 社内共有シート</t>
  </si>
  <si>
    <t xml:space="preserve">予約番号</t>
  </si>
  <si>
    <t xml:space="preserve">ステータス</t>
  </si>
  <si>
    <t xml:space="preserve">営業担当</t>
  </si>
  <si>
    <t xml:space="preserve">■ 基本情報</t>
  </si>
  <si>
    <t xml:space="preserve">利用期間</t>
  </si>
  <si>
    <t xml:space="preserve">人数</t>
  </si>
  <si>
    <t xml:space="preserve">到着</t>
  </si>
  <si>
    <t xml:space="preserve">出発</t>
  </si>
  <si>
    <t xml:space="preserve">先方担当</t>
  </si>
  <si>
    <t xml:space="preserve">支払方法</t>
  </si>
  <si>
    <t xml:space="preserve">添乗員</t>
  </si>
  <si>
    <t xml:space="preserve">取引先</t>
  </si>
  <si>
    <r>
      <rPr>
        <b val="true"/>
        <sz val="9"/>
        <color rgb="FF000000"/>
        <rFont val="WenQuanYi Zen Hei"/>
        <family val="2"/>
      </rPr>
      <t xml:space="preserve">確度</t>
    </r>
    <r>
      <rPr>
        <b val="true"/>
        <sz val="9"/>
        <color rgb="FF000000"/>
        <rFont val="Yu Gothic"/>
        <family val="0"/>
        <charset val="1"/>
      </rPr>
      <t xml:space="preserve">/</t>
    </r>
    <r>
      <rPr>
        <b val="true"/>
        <sz val="9"/>
        <color rgb="FF000000"/>
        <rFont val="WenQuanYi Zen Hei"/>
        <family val="2"/>
      </rPr>
      <t xml:space="preserve">期限</t>
    </r>
  </si>
  <si>
    <r>
      <rPr>
        <b val="true"/>
        <sz val="9"/>
        <color rgb="FF000000"/>
        <rFont val="WenQuanYi Zen Hei"/>
        <family val="2"/>
      </rPr>
      <t xml:space="preserve">手配</t>
    </r>
    <r>
      <rPr>
        <b val="true"/>
        <sz val="9"/>
        <color rgb="FF000000"/>
        <rFont val="Yu Gothic"/>
        <family val="0"/>
        <charset val="1"/>
      </rPr>
      <t xml:space="preserve">/</t>
    </r>
    <r>
      <rPr>
        <b val="true"/>
        <sz val="9"/>
        <color rgb="FF000000"/>
        <rFont val="WenQuanYi Zen Hei"/>
        <family val="2"/>
      </rPr>
      <t xml:space="preserve">現地</t>
    </r>
  </si>
  <si>
    <t xml:space="preserve">■ 宿泊</t>
  </si>
  <si>
    <t xml:space="preserve">部屋構成</t>
  </si>
  <si>
    <r>
      <rPr>
        <b val="true"/>
        <sz val="9"/>
        <color rgb="FF000000"/>
        <rFont val="Yu Gothic"/>
        <family val="0"/>
        <charset val="1"/>
      </rPr>
      <t xml:space="preserve">C/I</t>
    </r>
    <r>
      <rPr>
        <b val="true"/>
        <sz val="9"/>
        <color rgb="FF000000"/>
        <rFont val="WenQuanYi Zen Hei"/>
        <family val="2"/>
      </rPr>
      <t xml:space="preserve">・</t>
    </r>
    <r>
      <rPr>
        <b val="true"/>
        <sz val="9"/>
        <color rgb="FF000000"/>
        <rFont val="Yu Gothic"/>
        <family val="0"/>
        <charset val="1"/>
      </rPr>
      <t xml:space="preserve">C/O</t>
    </r>
  </si>
  <si>
    <r>
      <rPr>
        <b val="true"/>
        <sz val="10"/>
        <color rgb="FF000000"/>
        <rFont val="WenQuanYi Zen Hei"/>
        <family val="2"/>
      </rPr>
      <t xml:space="preserve">■ 食事</t>
    </r>
    <r>
      <rPr>
        <b val="true"/>
        <sz val="10"/>
        <color rgb="FF000000"/>
        <rFont val="Yu Gothic"/>
        <family val="0"/>
        <charset val="1"/>
      </rPr>
      <t xml:space="preserve">(</t>
    </r>
    <r>
      <rPr>
        <b val="true"/>
        <sz val="10"/>
        <color rgb="FF000000"/>
        <rFont val="WenQuanYi Zen Hei"/>
        <family val="2"/>
      </rPr>
      <t xml:space="preserve">入力のあるものだけ表示</t>
    </r>
    <r>
      <rPr>
        <b val="true"/>
        <sz val="10"/>
        <color rgb="FF000000"/>
        <rFont val="Yu Gothic"/>
        <family val="0"/>
        <charset val="1"/>
      </rPr>
      <t xml:space="preserve">)</t>
    </r>
  </si>
  <si>
    <t xml:space="preserve">食事</t>
  </si>
  <si>
    <t xml:space="preserve">アレルギー</t>
  </si>
  <si>
    <t xml:space="preserve">■ 宴会・会場</t>
  </si>
  <si>
    <t xml:space="preserve">会場</t>
  </si>
  <si>
    <r>
      <rPr>
        <b val="true"/>
        <sz val="9"/>
        <color rgb="FF000000"/>
        <rFont val="WenQuanYi Zen Hei"/>
        <family val="2"/>
      </rPr>
      <t xml:space="preserve">設営</t>
    </r>
    <r>
      <rPr>
        <b val="true"/>
        <sz val="9"/>
        <color rgb="FF000000"/>
        <rFont val="Yu Gothic"/>
        <family val="0"/>
        <charset val="1"/>
      </rPr>
      <t xml:space="preserve">/</t>
    </r>
    <r>
      <rPr>
        <b val="true"/>
        <sz val="9"/>
        <color rgb="FF000000"/>
        <rFont val="WenQuanYi Zen Hei"/>
        <family val="2"/>
      </rPr>
      <t xml:space="preserve">撤収</t>
    </r>
  </si>
  <si>
    <t xml:space="preserve">レイアウト</t>
  </si>
  <si>
    <t xml:space="preserve">機材</t>
  </si>
  <si>
    <t xml:space="preserve">■ 送迎</t>
  </si>
  <si>
    <t xml:space="preserve">■ 料金・請求</t>
  </si>
  <si>
    <t xml:space="preserve">見積合計</t>
  </si>
  <si>
    <t xml:space="preserve">請求状況</t>
  </si>
  <si>
    <r>
      <rPr>
        <b val="true"/>
        <sz val="10"/>
        <color rgb="FF000000"/>
        <rFont val="WenQuanYi Zen Hei"/>
        <family val="2"/>
      </rPr>
      <t xml:space="preserve">■ フロント引き継ぎ・チェック欄</t>
    </r>
    <r>
      <rPr>
        <b val="true"/>
        <sz val="10"/>
        <color rgb="FF000000"/>
        <rFont val="Yu Gothic"/>
        <family val="0"/>
        <charset val="1"/>
      </rPr>
      <t xml:space="preserve">(</t>
    </r>
    <r>
      <rPr>
        <b val="true"/>
        <sz val="10"/>
        <color rgb="FF000000"/>
        <rFont val="WenQuanYi Zen Hei"/>
        <family val="2"/>
      </rPr>
      <t xml:space="preserve">済んだら□にチェック・サイン</t>
    </r>
    <r>
      <rPr>
        <b val="true"/>
        <sz val="10"/>
        <color rgb="FF000000"/>
        <rFont val="Yu Gothic"/>
        <family val="0"/>
        <charset val="1"/>
      </rPr>
      <t xml:space="preserve">)</t>
    </r>
  </si>
  <si>
    <t xml:space="preserve">お出迎え・挨拶</t>
  </si>
  <si>
    <t xml:space="preserve">引き継ぎ</t>
  </si>
  <si>
    <r>
      <rPr>
        <sz val="9"/>
        <color rgb="FF000000"/>
        <rFont val="WenQuanYi Zen Hei"/>
        <family val="2"/>
      </rPr>
      <t xml:space="preserve">営業サイン</t>
    </r>
    <r>
      <rPr>
        <sz val="9"/>
        <color rgb="FF000000"/>
        <rFont val="Yu Gothic"/>
        <family val="0"/>
        <charset val="1"/>
      </rPr>
      <t xml:space="preserve">:</t>
    </r>
  </si>
  <si>
    <r>
      <rPr>
        <sz val="9"/>
        <color rgb="FF000000"/>
        <rFont val="WenQuanYi Zen Hei"/>
        <family val="2"/>
      </rPr>
      <t xml:space="preserve">フロント受領サイン</t>
    </r>
    <r>
      <rPr>
        <sz val="9"/>
        <color rgb="FF000000"/>
        <rFont val="Yu Gothic"/>
        <family val="0"/>
        <charset val="1"/>
      </rPr>
      <t xml:space="preserve">:</t>
    </r>
  </si>
  <si>
    <r>
      <rPr>
        <b val="true"/>
        <sz val="8"/>
        <color rgb="FF000000"/>
        <rFont val="Yu Gothic"/>
        <family val="0"/>
        <charset val="1"/>
      </rPr>
      <t xml:space="preserve">2</t>
    </r>
    <r>
      <rPr>
        <b val="true"/>
        <sz val="8"/>
        <color rgb="FF000000"/>
        <rFont val="WenQuanYi Zen Hei"/>
        <family val="2"/>
      </rPr>
      <t xml:space="preserve">日前</t>
    </r>
  </si>
  <si>
    <r>
      <rPr>
        <sz val="8"/>
        <color rgb="FF000000"/>
        <rFont val="WenQuanYi Zen Hei"/>
        <family val="2"/>
      </rPr>
      <t xml:space="preserve">担当</t>
    </r>
    <r>
      <rPr>
        <sz val="8"/>
        <color rgb="FF000000"/>
        <rFont val="Yu Gothic"/>
        <family val="0"/>
        <charset val="1"/>
      </rPr>
      <t xml:space="preserve">:</t>
    </r>
  </si>
  <si>
    <r>
      <rPr>
        <b val="true"/>
        <sz val="8"/>
        <color rgb="FF000000"/>
        <rFont val="Yu Gothic"/>
        <family val="0"/>
        <charset val="1"/>
      </rPr>
      <t xml:space="preserve">1</t>
    </r>
    <r>
      <rPr>
        <b val="true"/>
        <sz val="8"/>
        <color rgb="FF000000"/>
        <rFont val="WenQuanYi Zen Hei"/>
        <family val="2"/>
      </rPr>
      <t xml:space="preserve">日前</t>
    </r>
  </si>
  <si>
    <t xml:space="preserve">当日</t>
  </si>
  <si>
    <t xml:space="preserve">■ 特記事項・引き継ぎメモ</t>
  </si>
  <si>
    <t xml:space="preserve">御 見 積 書</t>
  </si>
  <si>
    <t xml:space="preserve">【ロゴ】</t>
  </si>
  <si>
    <t xml:space="preserve">下記のとおりお見積り申し上げます。</t>
  </si>
  <si>
    <t xml:space="preserve">件名</t>
  </si>
  <si>
    <r>
      <rPr>
        <b val="true"/>
        <sz val="10"/>
        <color rgb="FF000000"/>
        <rFont val="WenQuanYi Zen Hei"/>
        <family val="2"/>
      </rPr>
      <t xml:space="preserve">御見積合計</t>
    </r>
    <r>
      <rPr>
        <b val="true"/>
        <sz val="10"/>
        <color rgb="FF000000"/>
        <rFont val="Yu Gothic"/>
        <family val="0"/>
        <charset val="1"/>
      </rPr>
      <t xml:space="preserve">(</t>
    </r>
    <r>
      <rPr>
        <b val="true"/>
        <sz val="10"/>
        <color rgb="FF000000"/>
        <rFont val="WenQuanYi Zen Hei"/>
        <family val="2"/>
      </rPr>
      <t xml:space="preserve">税込</t>
    </r>
    <r>
      <rPr>
        <b val="true"/>
        <sz val="10"/>
        <color rgb="FF000000"/>
        <rFont val="Yu Gothic"/>
        <family val="0"/>
        <charset val="1"/>
      </rPr>
      <t xml:space="preserve">)</t>
    </r>
  </si>
  <si>
    <t xml:space="preserve">ご利用期間</t>
  </si>
  <si>
    <t xml:space="preserve">ご利用人数</t>
  </si>
  <si>
    <t xml:space="preserve">お支払方法</t>
  </si>
  <si>
    <t xml:space="preserve">No.</t>
  </si>
  <si>
    <t xml:space="preserve">項目</t>
  </si>
  <si>
    <t xml:space="preserve">単位</t>
  </si>
  <si>
    <t xml:space="preserve">小計</t>
  </si>
  <si>
    <r>
      <rPr>
        <sz val="9"/>
        <color rgb="FF000000"/>
        <rFont val="WenQuanYi Zen Hei"/>
        <family val="2"/>
      </rPr>
      <t xml:space="preserve">サービス料</t>
    </r>
    <r>
      <rPr>
        <sz val="9"/>
        <color rgb="FF000000"/>
        <rFont val="Yu Gothic"/>
        <family val="0"/>
        <charset val="1"/>
      </rPr>
      <t xml:space="preserve">(10%)</t>
    </r>
  </si>
  <si>
    <r>
      <rPr>
        <sz val="9"/>
        <color rgb="FF000000"/>
        <rFont val="WenQuanYi Zen Hei"/>
        <family val="2"/>
      </rPr>
      <t xml:space="preserve">消費税</t>
    </r>
    <r>
      <rPr>
        <sz val="9"/>
        <color rgb="FF000000"/>
        <rFont val="Yu Gothic"/>
        <family val="0"/>
        <charset val="1"/>
      </rPr>
      <t xml:space="preserve">(10%)</t>
    </r>
  </si>
  <si>
    <r>
      <rPr>
        <sz val="8"/>
        <color rgb="FF888888"/>
        <rFont val="WenQuanYi Zen Hei"/>
        <family val="2"/>
      </rPr>
      <t xml:space="preserve">※入湯税</t>
    </r>
    <r>
      <rPr>
        <sz val="8"/>
        <color rgb="FF888888"/>
        <rFont val="Yu Gothic"/>
        <family val="0"/>
        <charset val="1"/>
      </rPr>
      <t xml:space="preserve">=150</t>
    </r>
    <r>
      <rPr>
        <sz val="8"/>
        <color rgb="FF888888"/>
        <rFont val="WenQuanYi Zen Hei"/>
        <family val="2"/>
      </rPr>
      <t xml:space="preserve">円</t>
    </r>
    <r>
      <rPr>
        <sz val="8"/>
        <color rgb="FF888888"/>
        <rFont val="Yu Gothic"/>
        <family val="0"/>
        <charset val="1"/>
      </rPr>
      <t xml:space="preserve">×</t>
    </r>
    <r>
      <rPr>
        <sz val="8"/>
        <color rgb="FF888888"/>
        <rFont val="WenQuanYi Zen Hei"/>
        <family val="2"/>
      </rPr>
      <t xml:space="preserve">宿泊人数</t>
    </r>
    <r>
      <rPr>
        <sz val="8"/>
        <color rgb="FF888888"/>
        <rFont val="Yu Gothic"/>
        <family val="0"/>
        <charset val="1"/>
      </rPr>
      <t xml:space="preserve">×</t>
    </r>
    <r>
      <rPr>
        <sz val="8"/>
        <color rgb="FF888888"/>
        <rFont val="WenQuanYi Zen Hei"/>
        <family val="2"/>
      </rPr>
      <t xml:space="preserve">泊数</t>
    </r>
    <r>
      <rPr>
        <sz val="8"/>
        <color rgb="FF888888"/>
        <rFont val="Yu Gothic"/>
        <family val="0"/>
        <charset val="1"/>
      </rPr>
      <t xml:space="preserve">(</t>
    </r>
    <r>
      <rPr>
        <sz val="8"/>
        <color rgb="FF888888"/>
        <rFont val="WenQuanYi Zen Hei"/>
        <family val="2"/>
      </rPr>
      <t xml:space="preserve">入力シートで</t>
    </r>
    <r>
      <rPr>
        <sz val="8"/>
        <color rgb="FF888888"/>
        <rFont val="Yu Gothic"/>
        <family val="0"/>
        <charset val="1"/>
      </rPr>
      <t xml:space="preserve">)</t>
    </r>
  </si>
  <si>
    <t xml:space="preserve">入湯税</t>
  </si>
  <si>
    <t xml:space="preserve">お値引き</t>
  </si>
  <si>
    <r>
      <rPr>
        <b val="true"/>
        <sz val="9"/>
        <color rgb="FF000000"/>
        <rFont val="WenQuanYi Zen Hei"/>
        <family val="2"/>
      </rPr>
      <t xml:space="preserve">御見積合計</t>
    </r>
    <r>
      <rPr>
        <b val="true"/>
        <sz val="9"/>
        <color rgb="FF000000"/>
        <rFont val="Yu Gothic"/>
        <family val="0"/>
        <charset val="1"/>
      </rPr>
      <t xml:space="preserve">(</t>
    </r>
    <r>
      <rPr>
        <b val="true"/>
        <sz val="9"/>
        <color rgb="FF000000"/>
        <rFont val="WenQuanYi Zen Hei"/>
        <family val="2"/>
      </rPr>
      <t xml:space="preserve">税込</t>
    </r>
    <r>
      <rPr>
        <b val="true"/>
        <sz val="9"/>
        <color rgb="FF000000"/>
        <rFont val="Yu Gothic"/>
        <family val="0"/>
        <charset val="1"/>
      </rPr>
      <t xml:space="preserve">)</t>
    </r>
  </si>
  <si>
    <t xml:space="preserve">備考</t>
  </si>
  <si>
    <t xml:space="preserve">御 請 求 書</t>
  </si>
  <si>
    <t xml:space="preserve">請求番号</t>
  </si>
  <si>
    <t xml:space="preserve">請求日</t>
  </si>
  <si>
    <t xml:space="preserve">下記のとおりご請求申し上げます。</t>
  </si>
  <si>
    <r>
      <rPr>
        <b val="true"/>
        <sz val="10"/>
        <color rgb="FF000000"/>
        <rFont val="WenQuanYi Zen Hei"/>
        <family val="2"/>
      </rPr>
      <t xml:space="preserve">御請求合計</t>
    </r>
    <r>
      <rPr>
        <b val="true"/>
        <sz val="10"/>
        <color rgb="FF000000"/>
        <rFont val="Yu Gothic"/>
        <family val="0"/>
        <charset val="1"/>
      </rPr>
      <t xml:space="preserve">(</t>
    </r>
    <r>
      <rPr>
        <b val="true"/>
        <sz val="10"/>
        <color rgb="FF000000"/>
        <rFont val="WenQuanYi Zen Hei"/>
        <family val="2"/>
      </rPr>
      <t xml:space="preserve">税込</t>
    </r>
    <r>
      <rPr>
        <b val="true"/>
        <sz val="10"/>
        <color rgb="FF000000"/>
        <rFont val="Yu Gothic"/>
        <family val="0"/>
        <charset val="1"/>
      </rPr>
      <t xml:space="preserve">)</t>
    </r>
  </si>
  <si>
    <t xml:space="preserve">お支払期日</t>
  </si>
  <si>
    <r>
      <rPr>
        <b val="true"/>
        <sz val="9"/>
        <color rgb="FF000000"/>
        <rFont val="WenQuanYi Zen Hei"/>
        <family val="2"/>
      </rPr>
      <t xml:space="preserve">御請求合計</t>
    </r>
    <r>
      <rPr>
        <b val="true"/>
        <sz val="9"/>
        <color rgb="FF000000"/>
        <rFont val="Yu Gothic"/>
        <family val="0"/>
        <charset val="1"/>
      </rPr>
      <t xml:space="preserve">(</t>
    </r>
    <r>
      <rPr>
        <b val="true"/>
        <sz val="9"/>
        <color rgb="FF000000"/>
        <rFont val="WenQuanYi Zen Hei"/>
        <family val="2"/>
      </rPr>
      <t xml:space="preserve">税込</t>
    </r>
    <r>
      <rPr>
        <b val="true"/>
        <sz val="9"/>
        <color rgb="FF000000"/>
        <rFont val="Yu Gothic"/>
        <family val="0"/>
        <charset val="1"/>
      </rPr>
      <t xml:space="preserve">)</t>
    </r>
  </si>
  <si>
    <t xml:space="preserve">お振込先</t>
  </si>
  <si>
    <r>
      <rPr>
        <sz val="9"/>
        <color rgb="FF000000"/>
        <rFont val="WenQuanYi Zen Hei"/>
        <family val="2"/>
      </rPr>
      <t xml:space="preserve">領収書</t>
    </r>
    <r>
      <rPr>
        <sz val="9"/>
        <color rgb="FF000000"/>
        <rFont val="Yu Gothic"/>
        <family val="0"/>
        <charset val="1"/>
      </rPr>
      <t xml:space="preserve">No.</t>
    </r>
  </si>
  <si>
    <t xml:space="preserve">領  収  書</t>
  </si>
  <si>
    <t xml:space="preserve">但し</t>
  </si>
  <si>
    <r>
      <rPr>
        <i val="true"/>
        <sz val="8"/>
        <color rgb="FF909090"/>
        <rFont val="Yu Gothic"/>
        <family val="0"/>
        <charset val="1"/>
      </rPr>
      <t xml:space="preserve">(</t>
    </r>
    <r>
      <rPr>
        <i val="true"/>
        <sz val="8"/>
        <color rgb="FF909090"/>
        <rFont val="WenQuanYi Zen Hei"/>
        <family val="2"/>
      </rPr>
      <t xml:space="preserve">例</t>
    </r>
    <r>
      <rPr>
        <i val="true"/>
        <sz val="8"/>
        <color rgb="FF909090"/>
        <rFont val="Yu Gothic"/>
        <family val="0"/>
        <charset val="1"/>
      </rPr>
      <t xml:space="preserve">: </t>
    </r>
    <r>
      <rPr>
        <i val="true"/>
        <sz val="8"/>
        <color rgb="FF909090"/>
        <rFont val="WenQuanYi Zen Hei"/>
        <family val="2"/>
      </rPr>
      <t xml:space="preserve">ご宿泊・ご宴会代として</t>
    </r>
    <r>
      <rPr>
        <i val="true"/>
        <sz val="8"/>
        <color rgb="FF909090"/>
        <rFont val="Yu Gothic"/>
        <family val="0"/>
        <charset val="1"/>
      </rPr>
      <t xml:space="preserve">)</t>
    </r>
  </si>
  <si>
    <t xml:space="preserve">上記の金額を正に領収いたしました。</t>
  </si>
  <si>
    <t xml:space="preserve">収 入 印 紙</t>
  </si>
  <si>
    <t xml:space="preserve">内訳</t>
  </si>
  <si>
    <t xml:space="preserve">税込合計</t>
  </si>
  <si>
    <t xml:space="preserve">うち消費税</t>
  </si>
  <si>
    <t xml:space="preserve">イベント工程表</t>
  </si>
  <si>
    <t xml:space="preserve">日程</t>
  </si>
  <si>
    <t xml:space="preserve">時刻</t>
  </si>
  <si>
    <t xml:space="preserve">場所</t>
  </si>
  <si>
    <t xml:space="preserve">担当</t>
  </si>
  <si>
    <r>
      <rPr>
        <sz val="8"/>
        <color rgb="FF666666"/>
        <rFont val="Yu Gothic"/>
        <family val="0"/>
        <charset val="1"/>
      </rPr>
      <t xml:space="preserve">※[ ]</t>
    </r>
    <r>
      <rPr>
        <sz val="8"/>
        <color rgb="FF666666"/>
        <rFont val="WenQuanYi Zen Hei"/>
        <family val="2"/>
      </rPr>
      <t xml:space="preserve">付きの行は入力シートから自動。時刻・担当を書き足し、行が足りなければ下の空行へ。</t>
    </r>
  </si>
  <si>
    <t xml:space="preserve">フロント内線　０番</t>
  </si>
  <si>
    <r>
      <rPr>
        <sz val="11"/>
        <color theme="1"/>
        <rFont val="WenQuanYi Zen Hei"/>
        <family val="2"/>
      </rPr>
      <t xml:space="preserve">ホテル公式</t>
    </r>
    <r>
      <rPr>
        <sz val="11"/>
        <color theme="1"/>
        <rFont val="BIZ UDPゴシック"/>
        <family val="3"/>
        <charset val="128"/>
      </rPr>
      <t xml:space="preserve">HP</t>
    </r>
  </si>
  <si>
    <t xml:space="preserve">●　ご夕食</t>
  </si>
  <si>
    <r>
      <rPr>
        <sz val="11"/>
        <color theme="1"/>
        <rFont val="BIZ UDPゴシック"/>
        <family val="3"/>
        <charset val="128"/>
      </rPr>
      <t xml:space="preserve">(90</t>
    </r>
    <r>
      <rPr>
        <sz val="11"/>
        <color theme="1"/>
        <rFont val="WenQuanYi Zen Hei"/>
        <family val="2"/>
      </rPr>
      <t xml:space="preserve">分制</t>
    </r>
    <r>
      <rPr>
        <sz val="11"/>
        <color theme="1"/>
        <rFont val="BIZ UDPゴシック"/>
        <family val="3"/>
        <charset val="128"/>
      </rPr>
      <t xml:space="preserve">)</t>
    </r>
  </si>
  <si>
    <t xml:space="preserve">日付</t>
  </si>
  <si>
    <t xml:space="preserve">店舗名</t>
  </si>
  <si>
    <t xml:space="preserve">営業時間</t>
  </si>
  <si>
    <r>
      <rPr>
        <b val="true"/>
        <sz val="11"/>
        <color theme="1"/>
        <rFont val="WenQuanYi Zen Hei"/>
        <family val="2"/>
      </rPr>
      <t xml:space="preserve">洋食ビュッフェ 「</t>
    </r>
    <r>
      <rPr>
        <b val="true"/>
        <sz val="11"/>
        <color theme="1"/>
        <rFont val="BIZ UDPゴシック"/>
        <family val="3"/>
        <charset val="128"/>
      </rPr>
      <t xml:space="preserve">The</t>
    </r>
    <r>
      <rPr>
        <b val="true"/>
        <sz val="11"/>
        <color theme="1"/>
        <rFont val="WenQuanYi Zen Hei"/>
        <family val="2"/>
      </rPr>
      <t xml:space="preserve">・</t>
    </r>
    <r>
      <rPr>
        <b val="true"/>
        <sz val="11"/>
        <color theme="1"/>
        <rFont val="BIZ UDPゴシック"/>
        <family val="3"/>
        <charset val="128"/>
      </rPr>
      <t xml:space="preserve">Plate</t>
    </r>
    <r>
      <rPr>
        <b val="true"/>
        <sz val="11"/>
        <color theme="1"/>
        <rFont val="WenQuanYi Zen Hei"/>
        <family val="2"/>
      </rPr>
      <t xml:space="preserve">」</t>
    </r>
  </si>
  <si>
    <r>
      <rPr>
        <b val="true"/>
        <sz val="11"/>
        <color theme="1"/>
        <rFont val="WenQuanYi Zen Hei"/>
        <family val="2"/>
      </rPr>
      <t xml:space="preserve">アライ棟</t>
    </r>
    <r>
      <rPr>
        <b val="true"/>
        <sz val="11"/>
        <color theme="1"/>
        <rFont val="BIZ UDPゴシック"/>
        <family val="3"/>
        <charset val="128"/>
      </rPr>
      <t xml:space="preserve">1F</t>
    </r>
  </si>
  <si>
    <r>
      <rPr>
        <b val="true"/>
        <sz val="11"/>
        <color theme="1"/>
        <rFont val="BIZ UDPゴシック"/>
        <family val="3"/>
        <charset val="128"/>
      </rPr>
      <t xml:space="preserve">(90</t>
    </r>
    <r>
      <rPr>
        <b val="true"/>
        <sz val="11"/>
        <color theme="1"/>
        <rFont val="WenQuanYi Zen Hei"/>
        <family val="2"/>
      </rPr>
      <t xml:space="preserve">分制</t>
    </r>
    <r>
      <rPr>
        <b val="true"/>
        <sz val="11"/>
        <color theme="1"/>
        <rFont val="BIZ UDPゴシック"/>
        <family val="3"/>
        <charset val="128"/>
      </rPr>
      <t xml:space="preserve">)</t>
    </r>
  </si>
  <si>
    <r>
      <rPr>
        <sz val="20"/>
        <color rgb="FFFF0000"/>
        <rFont val="HGP創英角ﾎﾟｯﾌﾟ体"/>
        <family val="3"/>
        <charset val="128"/>
      </rPr>
      <t xml:space="preserve">← 1</t>
    </r>
    <r>
      <rPr>
        <sz val="20"/>
        <color rgb="FFFF0000"/>
        <rFont val="WenQuanYi Zen Hei"/>
        <family val="2"/>
      </rPr>
      <t xml:space="preserve">泊の場合は非表示！！</t>
    </r>
  </si>
  <si>
    <t xml:space="preserve">●　ご朝食</t>
  </si>
  <si>
    <r>
      <rPr>
        <sz val="11"/>
        <color theme="1"/>
        <rFont val="BIZ UDPゴシック"/>
        <family val="3"/>
        <charset val="128"/>
      </rPr>
      <t xml:space="preserve">(60</t>
    </r>
    <r>
      <rPr>
        <sz val="11"/>
        <color theme="1"/>
        <rFont val="WenQuanYi Zen Hei"/>
        <family val="2"/>
      </rPr>
      <t xml:space="preserve">分制</t>
    </r>
    <r>
      <rPr>
        <sz val="11"/>
        <color theme="1"/>
        <rFont val="BIZ UDPゴシック"/>
        <family val="3"/>
        <charset val="128"/>
      </rPr>
      <t xml:space="preserve">)</t>
    </r>
  </si>
  <si>
    <r>
      <rPr>
        <b val="true"/>
        <sz val="11"/>
        <color theme="1"/>
        <rFont val="BIZ UDPゴシック"/>
        <family val="3"/>
        <charset val="128"/>
      </rPr>
      <t xml:space="preserve">07:00</t>
    </r>
    <r>
      <rPr>
        <b val="true"/>
        <sz val="11"/>
        <color theme="1"/>
        <rFont val="WenQuanYi Zen Hei"/>
        <family val="2"/>
      </rPr>
      <t xml:space="preserve">〜</t>
    </r>
    <r>
      <rPr>
        <b val="true"/>
        <sz val="11"/>
        <color theme="1"/>
        <rFont val="BIZ UDPゴシック"/>
        <family val="3"/>
        <charset val="128"/>
      </rPr>
      <t xml:space="preserve">10:00 (L.O. 09:30)</t>
    </r>
  </si>
  <si>
    <r>
      <rPr>
        <sz val="22"/>
        <color rgb="FFFF0000"/>
        <rFont val="HGP創英角ﾎﾟｯﾌﾟ体"/>
        <family val="3"/>
        <charset val="128"/>
      </rPr>
      <t xml:space="preserve">← 1</t>
    </r>
    <r>
      <rPr>
        <sz val="22"/>
        <color rgb="FFFF0000"/>
        <rFont val="WenQuanYi Zen Hei"/>
        <family val="2"/>
      </rPr>
      <t xml:space="preserve">店舗営業の場合は非表示！！</t>
    </r>
  </si>
  <si>
    <t xml:space="preserve">和食ビュッフェ 「あさ日」</t>
  </si>
  <si>
    <r>
      <rPr>
        <b val="true"/>
        <sz val="11"/>
        <color theme="1"/>
        <rFont val="WenQuanYi Zen Hei"/>
        <family val="2"/>
      </rPr>
      <t xml:space="preserve">ロッジ棟</t>
    </r>
    <r>
      <rPr>
        <b val="true"/>
        <sz val="11"/>
        <color theme="1"/>
        <rFont val="BIZ UDPゴシック"/>
        <family val="3"/>
        <charset val="128"/>
      </rPr>
      <t xml:space="preserve">2F</t>
    </r>
  </si>
  <si>
    <t xml:space="preserve">●　温泉</t>
  </si>
  <si>
    <t xml:space="preserve">タオルのご利用については、お部屋よりお持ちください。</t>
  </si>
  <si>
    <r>
      <rPr>
        <sz val="11"/>
        <color theme="1"/>
        <rFont val="WenQuanYi Zen Hei"/>
        <family val="2"/>
      </rPr>
      <t xml:space="preserve">なお温泉受付でのタオルの貸し出しはバスタオル・フェイスタオルの二枚組 </t>
    </r>
    <r>
      <rPr>
        <sz val="11"/>
        <color theme="1"/>
        <rFont val="BIZ UDPゴシック"/>
        <family val="3"/>
        <charset val="128"/>
      </rPr>
      <t xml:space="preserve">200</t>
    </r>
    <r>
      <rPr>
        <sz val="11"/>
        <color theme="1"/>
        <rFont val="WenQuanYi Zen Hei"/>
        <family val="2"/>
      </rPr>
      <t xml:space="preserve">円</t>
    </r>
    <r>
      <rPr>
        <sz val="11"/>
        <color theme="1"/>
        <rFont val="BIZ UDPゴシック"/>
        <family val="3"/>
        <charset val="128"/>
      </rPr>
      <t xml:space="preserve">(</t>
    </r>
    <r>
      <rPr>
        <sz val="11"/>
        <color theme="1"/>
        <rFont val="WenQuanYi Zen Hei"/>
        <family val="2"/>
      </rPr>
      <t xml:space="preserve">税込</t>
    </r>
    <r>
      <rPr>
        <sz val="11"/>
        <color theme="1"/>
        <rFont val="BIZ UDPゴシック"/>
        <family val="3"/>
        <charset val="128"/>
      </rPr>
      <t xml:space="preserve">)</t>
    </r>
    <r>
      <rPr>
        <sz val="11"/>
        <color theme="1"/>
        <rFont val="WenQuanYi Zen Hei"/>
        <family val="2"/>
      </rPr>
      <t xml:space="preserve">です。</t>
    </r>
  </si>
  <si>
    <r>
      <rPr>
        <sz val="11"/>
        <rFont val="BIZ UDPゴシック"/>
        <family val="3"/>
        <charset val="128"/>
      </rPr>
      <t xml:space="preserve">※05:00-13:00</t>
    </r>
    <r>
      <rPr>
        <sz val="11"/>
        <rFont val="WenQuanYi Zen Hei"/>
        <family val="2"/>
      </rPr>
      <t xml:space="preserve">の間は温泉受付スタッフ不在につき、タオルの貸し出しは出来かねます。</t>
    </r>
  </si>
  <si>
    <t xml:space="preserve">曜日</t>
  </si>
  <si>
    <t xml:space="preserve">「星空温泉」</t>
  </si>
  <si>
    <r>
      <rPr>
        <b val="true"/>
        <sz val="11"/>
        <rFont val="WenQuanYi Zen Hei"/>
        <family val="2"/>
      </rPr>
      <t xml:space="preserve">アライ棟</t>
    </r>
    <r>
      <rPr>
        <b val="true"/>
        <sz val="11"/>
        <rFont val="BIZ UDPゴシック"/>
        <family val="3"/>
        <charset val="128"/>
      </rPr>
      <t xml:space="preserve">2F</t>
    </r>
  </si>
  <si>
    <t xml:space="preserve">平日</t>
  </si>
  <si>
    <r>
      <rPr>
        <b val="true"/>
        <sz val="11"/>
        <rFont val="BIZ UDPゴシック"/>
        <family val="3"/>
        <charset val="128"/>
      </rPr>
      <t xml:space="preserve">05:00</t>
    </r>
    <r>
      <rPr>
        <b val="true"/>
        <sz val="11"/>
        <rFont val="WenQuanYi Zen Hei"/>
        <family val="2"/>
      </rPr>
      <t xml:space="preserve">〜</t>
    </r>
    <r>
      <rPr>
        <b val="true"/>
        <sz val="11"/>
        <rFont val="BIZ UDPゴシック"/>
        <family val="3"/>
        <charset val="128"/>
      </rPr>
      <t xml:space="preserve">10:00 (</t>
    </r>
    <r>
      <rPr>
        <b val="true"/>
        <sz val="11"/>
        <rFont val="WenQuanYi Zen Hei"/>
        <family val="2"/>
      </rPr>
      <t xml:space="preserve">最終入場 </t>
    </r>
    <r>
      <rPr>
        <b val="true"/>
        <sz val="11"/>
        <rFont val="BIZ UDPゴシック"/>
        <family val="3"/>
        <charset val="128"/>
      </rPr>
      <t xml:space="preserve">09:30)
13:00</t>
    </r>
    <r>
      <rPr>
        <b val="true"/>
        <sz val="11"/>
        <rFont val="WenQuanYi Zen Hei"/>
        <family val="2"/>
      </rPr>
      <t xml:space="preserve">〜</t>
    </r>
    <r>
      <rPr>
        <b val="true"/>
        <sz val="11"/>
        <rFont val="BIZ UDPゴシック"/>
        <family val="3"/>
        <charset val="128"/>
      </rPr>
      <t xml:space="preserve">23:00 (</t>
    </r>
    <r>
      <rPr>
        <b val="true"/>
        <sz val="11"/>
        <rFont val="WenQuanYi Zen Hei"/>
        <family val="2"/>
      </rPr>
      <t xml:space="preserve">最終入場 </t>
    </r>
    <r>
      <rPr>
        <b val="true"/>
        <sz val="11"/>
        <rFont val="BIZ UDPゴシック"/>
        <family val="3"/>
        <charset val="128"/>
      </rPr>
      <t xml:space="preserve">22:30)</t>
    </r>
  </si>
  <si>
    <t xml:space="preserve">土曜日・日曜日・祝日</t>
  </si>
  <si>
    <r>
      <rPr>
        <b val="true"/>
        <sz val="11"/>
        <rFont val="BIZ UDPゴシック"/>
        <family val="3"/>
        <charset val="128"/>
      </rPr>
      <t xml:space="preserve">05:00</t>
    </r>
    <r>
      <rPr>
        <b val="true"/>
        <sz val="11"/>
        <rFont val="WenQuanYi Zen Hei"/>
        <family val="2"/>
      </rPr>
      <t xml:space="preserve">〜</t>
    </r>
    <r>
      <rPr>
        <b val="true"/>
        <sz val="11"/>
        <rFont val="BIZ UDPゴシック"/>
        <family val="3"/>
        <charset val="128"/>
      </rPr>
      <t xml:space="preserve">23:00 (</t>
    </r>
    <r>
      <rPr>
        <b val="true"/>
        <sz val="11"/>
        <rFont val="WenQuanYi Zen Hei"/>
        <family val="2"/>
      </rPr>
      <t xml:space="preserve">最終入場 </t>
    </r>
    <r>
      <rPr>
        <b val="true"/>
        <sz val="11"/>
        <rFont val="BIZ UDPゴシック"/>
        <family val="3"/>
        <charset val="128"/>
      </rPr>
      <t xml:space="preserve">22:30)</t>
    </r>
  </si>
  <si>
    <t xml:space="preserve">●　売店</t>
  </si>
  <si>
    <t xml:space="preserve">特産品ショップ　「六花」</t>
  </si>
  <si>
    <r>
      <rPr>
        <b val="true"/>
        <sz val="11"/>
        <color theme="1"/>
        <rFont val="WenQuanYi Zen Hei"/>
        <family val="2"/>
      </rPr>
      <t xml:space="preserve">アライ棟</t>
    </r>
    <r>
      <rPr>
        <b val="true"/>
        <sz val="11"/>
        <color theme="1"/>
        <rFont val="BIZ UDPゴシック"/>
        <family val="3"/>
        <charset val="128"/>
      </rPr>
      <t xml:space="preserve">B1F - </t>
    </r>
    <r>
      <rPr>
        <b val="true"/>
        <sz val="11"/>
        <color theme="1"/>
        <rFont val="WenQuanYi Zen Hei"/>
        <family val="2"/>
      </rPr>
      <t xml:space="preserve">ロッジ棟</t>
    </r>
    <r>
      <rPr>
        <b val="true"/>
        <sz val="11"/>
        <color theme="1"/>
        <rFont val="BIZ UDPゴシック"/>
        <family val="3"/>
        <charset val="128"/>
      </rPr>
      <t xml:space="preserve">1F
(</t>
    </r>
    <r>
      <rPr>
        <b val="true"/>
        <sz val="11"/>
        <color theme="1"/>
        <rFont val="WenQuanYi Zen Hei"/>
        <family val="2"/>
      </rPr>
      <t xml:space="preserve">屋外連絡通路</t>
    </r>
    <r>
      <rPr>
        <b val="true"/>
        <sz val="11"/>
        <color theme="1"/>
        <rFont val="BIZ UDPゴシック"/>
        <family val="3"/>
        <charset val="128"/>
      </rPr>
      <t xml:space="preserve">)</t>
    </r>
  </si>
  <si>
    <r>
      <rPr>
        <b val="true"/>
        <sz val="11"/>
        <color theme="1"/>
        <rFont val="BIZ UDPゴシック"/>
        <family val="3"/>
        <charset val="128"/>
      </rPr>
      <t xml:space="preserve">09:00</t>
    </r>
    <r>
      <rPr>
        <b val="true"/>
        <sz val="11"/>
        <color theme="1"/>
        <rFont val="WenQuanYi Zen Hei"/>
        <family val="2"/>
      </rPr>
      <t xml:space="preserve">〜</t>
    </r>
    <r>
      <rPr>
        <b val="true"/>
        <sz val="11"/>
        <color theme="1"/>
        <rFont val="BIZ UDPゴシック"/>
        <family val="3"/>
        <charset val="128"/>
      </rPr>
      <t xml:space="preserve">21:00</t>
    </r>
  </si>
  <si>
    <t xml:space="preserve">無人コンビニ</t>
  </si>
  <si>
    <r>
      <rPr>
        <b val="true"/>
        <sz val="11"/>
        <color theme="1"/>
        <rFont val="WenQuanYi Zen Hei"/>
        <family val="2"/>
      </rPr>
      <t xml:space="preserve">アライ棟</t>
    </r>
    <r>
      <rPr>
        <b val="true"/>
        <sz val="11"/>
        <color theme="1"/>
        <rFont val="BIZ UDPゴシック"/>
        <family val="3"/>
        <charset val="128"/>
      </rPr>
      <t xml:space="preserve">B1F</t>
    </r>
  </si>
  <si>
    <r>
      <rPr>
        <b val="true"/>
        <sz val="11"/>
        <color theme="1"/>
        <rFont val="BIZ UDPゴシック"/>
        <family val="3"/>
        <charset val="128"/>
      </rPr>
      <t xml:space="preserve">24</t>
    </r>
    <r>
      <rPr>
        <b val="true"/>
        <sz val="11"/>
        <color theme="1"/>
        <rFont val="WenQuanYi Zen Hei"/>
        <family val="2"/>
      </rPr>
      <t xml:space="preserve">時間営業</t>
    </r>
  </si>
  <si>
    <t xml:space="preserve">●客室案内</t>
  </si>
  <si>
    <t xml:space="preserve">会員登録</t>
  </si>
  <si>
    <r>
      <rPr>
        <b val="true"/>
        <sz val="11"/>
        <rFont val="WenQuanYi Zen Hei"/>
        <family val="2"/>
      </rPr>
      <t xml:space="preserve">会員特典 </t>
    </r>
    <r>
      <rPr>
        <b val="true"/>
        <sz val="11"/>
        <rFont val="BIZ UDPゴシック"/>
        <family val="3"/>
        <charset val="128"/>
      </rPr>
      <t xml:space="preserve">: ①</t>
    </r>
    <r>
      <rPr>
        <b val="true"/>
        <sz val="11"/>
        <rFont val="WenQuanYi Zen Hei"/>
        <family val="2"/>
      </rPr>
      <t xml:space="preserve">対象レストラン</t>
    </r>
    <r>
      <rPr>
        <b val="true"/>
        <sz val="11"/>
        <rFont val="BIZ UDPゴシック"/>
        <family val="3"/>
        <charset val="128"/>
      </rPr>
      <t xml:space="preserve">5%</t>
    </r>
    <r>
      <rPr>
        <b val="true"/>
        <sz val="11"/>
        <rFont val="WenQuanYi Zen Hei"/>
        <family val="2"/>
      </rPr>
      <t xml:space="preserve">割引 ②</t>
    </r>
    <r>
      <rPr>
        <b val="true"/>
        <sz val="11"/>
        <rFont val="BIZ UDPゴシック"/>
        <family val="3"/>
        <charset val="128"/>
      </rPr>
      <t xml:space="preserve">500</t>
    </r>
    <r>
      <rPr>
        <b val="true"/>
        <sz val="11"/>
        <rFont val="WenQuanYi Zen Hei"/>
        <family val="2"/>
      </rPr>
      <t xml:space="preserve">ポイント</t>
    </r>
    <r>
      <rPr>
        <b val="true"/>
        <sz val="11"/>
        <rFont val="BIZ UDPゴシック"/>
        <family val="3"/>
        <charset val="128"/>
      </rPr>
      <t xml:space="preserve">(5$)</t>
    </r>
    <r>
      <rPr>
        <b val="true"/>
        <sz val="11"/>
        <rFont val="WenQuanYi Zen Hei"/>
        <family val="2"/>
      </rPr>
      <t xml:space="preserve">付与</t>
    </r>
  </si>
  <si>
    <t xml:space="preserve">ポイントはお土産など、施設利用にご利用いただけます。フロントにて簡単にご登録いただけます。</t>
  </si>
  <si>
    <t xml:space="preserve">アメニティ</t>
  </si>
  <si>
    <r>
      <rPr>
        <b val="true"/>
        <sz val="11"/>
        <rFont val="WenQuanYi Zen Hei"/>
        <family val="2"/>
      </rPr>
      <t xml:space="preserve">アライ棟</t>
    </r>
    <r>
      <rPr>
        <b val="true"/>
        <sz val="11"/>
        <rFont val="BIZ UDPゴシック"/>
        <family val="3"/>
        <charset val="128"/>
      </rPr>
      <t xml:space="preserve">1F </t>
    </r>
    <r>
      <rPr>
        <b val="true"/>
        <sz val="11"/>
        <rFont val="WenQuanYi Zen Hei"/>
        <family val="2"/>
      </rPr>
      <t xml:space="preserve">ロビーのアメニティデスクよりご自由にお持ちください。</t>
    </r>
  </si>
  <si>
    <t xml:space="preserve">← ロッジ宿泊の場合は非表示！！</t>
  </si>
  <si>
    <t xml:space="preserve">館内のご移動
について</t>
  </si>
  <si>
    <t xml:space="preserve">温泉・プールご利用の際は浴衣とスリッパをご着用いただけます。</t>
  </si>
  <si>
    <t xml:space="preserve">レストラン等その他の施設は私服とお靴をご着用のうえでご利用ください。</t>
  </si>
  <si>
    <t xml:space="preserve">※時期により床が滑りやすくなっておりますので、スリッパでのご移動は十分ご注意ください。</t>
  </si>
  <si>
    <t xml:space="preserve">ミネラルウォーター</t>
  </si>
  <si>
    <r>
      <rPr>
        <sz val="11"/>
        <color theme="1"/>
        <rFont val="WenQuanYi Zen Hei"/>
        <family val="2"/>
      </rPr>
      <t xml:space="preserve">冷蔵庫内に</t>
    </r>
    <r>
      <rPr>
        <sz val="11"/>
        <color theme="1"/>
        <rFont val="BIZ UDPゴシック"/>
        <family val="3"/>
        <charset val="128"/>
      </rPr>
      <t xml:space="preserve">1</t>
    </r>
    <r>
      <rPr>
        <sz val="11"/>
        <color theme="1"/>
        <rFont val="WenQuanYi Zen Hei"/>
        <family val="2"/>
      </rPr>
      <t xml:space="preserve">泊につきご宿泊人数分の無料のミネラルウォーターをご用意しております。</t>
    </r>
  </si>
  <si>
    <t xml:space="preserve">自動販売機</t>
  </si>
  <si>
    <t xml:space="preserve">（ソフトドリンク）</t>
  </si>
  <si>
    <r>
      <rPr>
        <sz val="11"/>
        <color theme="1"/>
        <rFont val="WenQuanYi Zen Hei"/>
        <family val="2"/>
      </rPr>
      <t xml:space="preserve">①ロッジ棟</t>
    </r>
    <r>
      <rPr>
        <sz val="11"/>
        <color theme="1"/>
        <rFont val="BIZ UDPゴシック"/>
        <family val="3"/>
        <charset val="128"/>
      </rPr>
      <t xml:space="preserve">2F</t>
    </r>
    <r>
      <rPr>
        <sz val="11"/>
        <color theme="1"/>
        <rFont val="WenQuanYi Zen Hei"/>
        <family val="2"/>
      </rPr>
      <t xml:space="preserve">　②アライ棟</t>
    </r>
    <r>
      <rPr>
        <sz val="11"/>
        <color theme="1"/>
        <rFont val="BIZ UDPゴシック"/>
        <family val="3"/>
        <charset val="128"/>
      </rPr>
      <t xml:space="preserve">2F </t>
    </r>
    <r>
      <rPr>
        <sz val="11"/>
        <color theme="1"/>
        <rFont val="WenQuanYi Zen Hei"/>
        <family val="2"/>
      </rPr>
      <t xml:space="preserve">星空温泉内　③ヴィレッジステーション</t>
    </r>
    <r>
      <rPr>
        <sz val="11"/>
        <color theme="1"/>
        <rFont val="BIZ UDPゴシック"/>
        <family val="3"/>
        <charset val="128"/>
      </rPr>
      <t xml:space="preserve">1F</t>
    </r>
  </si>
  <si>
    <t xml:space="preserve">（アイス）</t>
  </si>
  <si>
    <r>
      <rPr>
        <sz val="11"/>
        <color theme="1"/>
        <rFont val="WenQuanYi Zen Hei"/>
        <family val="2"/>
      </rPr>
      <t xml:space="preserve">アライ棟</t>
    </r>
    <r>
      <rPr>
        <sz val="11"/>
        <color theme="1"/>
        <rFont val="BIZ UDPゴシック"/>
        <family val="3"/>
        <charset val="128"/>
      </rPr>
      <t xml:space="preserve">2F </t>
    </r>
    <r>
      <rPr>
        <sz val="11"/>
        <color theme="1"/>
        <rFont val="WenQuanYi Zen Hei"/>
        <family val="2"/>
      </rPr>
      <t xml:space="preserve">星空温泉内</t>
    </r>
  </si>
  <si>
    <t xml:space="preserve">（アルコール）</t>
  </si>
  <si>
    <r>
      <rPr>
        <sz val="11"/>
        <color theme="1"/>
        <rFont val="WenQuanYi Zen Hei"/>
        <family val="2"/>
      </rPr>
      <t xml:space="preserve">ロッジ棟</t>
    </r>
    <r>
      <rPr>
        <sz val="11"/>
        <color theme="1"/>
        <rFont val="BIZ UDPゴシック"/>
        <family val="3"/>
        <charset val="128"/>
      </rPr>
      <t xml:space="preserve">2F</t>
    </r>
  </si>
  <si>
    <t xml:space="preserve">電子レンジ</t>
  </si>
  <si>
    <r>
      <rPr>
        <sz val="11"/>
        <color theme="1"/>
        <rFont val="BIZ UDPゴシック"/>
        <family val="3"/>
        <charset val="128"/>
      </rPr>
      <t xml:space="preserve">(</t>
    </r>
    <r>
      <rPr>
        <sz val="11"/>
        <color theme="1"/>
        <rFont val="WenQuanYi Zen Hei"/>
        <family val="2"/>
      </rPr>
      <t xml:space="preserve">アライ棟</t>
    </r>
    <r>
      <rPr>
        <sz val="11"/>
        <color theme="1"/>
        <rFont val="BIZ UDPゴシック"/>
        <family val="3"/>
        <charset val="128"/>
      </rPr>
      <t xml:space="preserve">)</t>
    </r>
    <r>
      <rPr>
        <sz val="11"/>
        <color theme="1"/>
        <rFont val="WenQuanYi Zen Hei"/>
        <family val="2"/>
      </rPr>
      <t xml:space="preserve">　</t>
    </r>
  </si>
  <si>
    <r>
      <rPr>
        <sz val="11"/>
        <color theme="1"/>
        <rFont val="BIZ UDPゴシック"/>
        <family val="3"/>
        <charset val="128"/>
      </rPr>
      <t xml:space="preserve">B1F </t>
    </r>
    <r>
      <rPr>
        <sz val="11"/>
        <color theme="1"/>
        <rFont val="WenQuanYi Zen Hei"/>
        <family val="2"/>
      </rPr>
      <t xml:space="preserve">セルフコンビニ横</t>
    </r>
  </si>
  <si>
    <r>
      <rPr>
        <sz val="11"/>
        <color theme="1"/>
        <rFont val="BIZ UDPゴシック"/>
        <family val="3"/>
        <charset val="128"/>
      </rPr>
      <t xml:space="preserve">(</t>
    </r>
    <r>
      <rPr>
        <sz val="11"/>
        <color theme="1"/>
        <rFont val="WenQuanYi Zen Hei"/>
        <family val="2"/>
      </rPr>
      <t xml:space="preserve">ロッジ棟</t>
    </r>
    <r>
      <rPr>
        <sz val="11"/>
        <color theme="1"/>
        <rFont val="BIZ UDPゴシック"/>
        <family val="3"/>
        <charset val="128"/>
      </rPr>
      <t xml:space="preserve">)</t>
    </r>
    <r>
      <rPr>
        <sz val="11"/>
        <color theme="1"/>
        <rFont val="WenQuanYi Zen Hei"/>
        <family val="2"/>
      </rPr>
      <t xml:space="preserve">　</t>
    </r>
  </si>
  <si>
    <r>
      <rPr>
        <sz val="11"/>
        <color theme="1"/>
        <rFont val="BIZ UDPゴシック"/>
        <family val="3"/>
        <charset val="128"/>
      </rPr>
      <t xml:space="preserve">2F </t>
    </r>
    <r>
      <rPr>
        <sz val="11"/>
        <color theme="1"/>
        <rFont val="WenQuanYi Zen Hei"/>
        <family val="2"/>
      </rPr>
      <t xml:space="preserve">ランドリールーム</t>
    </r>
  </si>
  <si>
    <t xml:space="preserve">製氷機</t>
  </si>
  <si>
    <t xml:space="preserve">（アライ棟）　</t>
  </si>
  <si>
    <r>
      <rPr>
        <sz val="11"/>
        <color theme="1"/>
        <rFont val="BIZ UDPゴシック"/>
        <family val="3"/>
        <charset val="128"/>
      </rPr>
      <t xml:space="preserve">3F </t>
    </r>
    <r>
      <rPr>
        <sz val="11"/>
        <color theme="1"/>
        <rFont val="WenQuanYi Zen Hei"/>
        <family val="2"/>
      </rPr>
      <t xml:space="preserve">客室フロア、</t>
    </r>
    <r>
      <rPr>
        <sz val="11"/>
        <color theme="1"/>
        <rFont val="BIZ UDPゴシック"/>
        <family val="3"/>
        <charset val="128"/>
      </rPr>
      <t xml:space="preserve">4F </t>
    </r>
    <r>
      <rPr>
        <sz val="11"/>
        <color theme="1"/>
        <rFont val="WenQuanYi Zen Hei"/>
        <family val="2"/>
      </rPr>
      <t xml:space="preserve">客室フロア</t>
    </r>
  </si>
  <si>
    <t xml:space="preserve">（ロッジ棟）　</t>
  </si>
  <si>
    <t xml:space="preserve">喫煙所</t>
  </si>
  <si>
    <r>
      <rPr>
        <sz val="11"/>
        <color theme="1"/>
        <rFont val="WenQuanYi Zen Hei"/>
        <family val="2"/>
      </rPr>
      <t xml:space="preserve">①アライ棟</t>
    </r>
    <r>
      <rPr>
        <sz val="11"/>
        <color theme="1"/>
        <rFont val="BIZ UDPゴシック"/>
        <family val="3"/>
        <charset val="128"/>
      </rPr>
      <t xml:space="preserve">B1F - </t>
    </r>
    <r>
      <rPr>
        <sz val="11"/>
        <color theme="1"/>
        <rFont val="WenQuanYi Zen Hei"/>
        <family val="2"/>
      </rPr>
      <t xml:space="preserve">ロッジ棟</t>
    </r>
    <r>
      <rPr>
        <sz val="11"/>
        <color theme="1"/>
        <rFont val="BIZ UDPゴシック"/>
        <family val="3"/>
        <charset val="128"/>
      </rPr>
      <t xml:space="preserve">1F(</t>
    </r>
    <r>
      <rPr>
        <sz val="11"/>
        <color theme="1"/>
        <rFont val="WenQuanYi Zen Hei"/>
        <family val="2"/>
      </rPr>
      <t xml:space="preserve">屋外連絡通路</t>
    </r>
    <r>
      <rPr>
        <sz val="11"/>
        <color theme="1"/>
        <rFont val="BIZ UDPゴシック"/>
        <family val="3"/>
        <charset val="128"/>
      </rPr>
      <t xml:space="preserve">)</t>
    </r>
    <r>
      <rPr>
        <sz val="11"/>
        <color theme="1"/>
        <rFont val="WenQuanYi Zen Hei"/>
        <family val="2"/>
      </rPr>
      <t xml:space="preserve">のランドリー前　②ロッジ棟</t>
    </r>
    <r>
      <rPr>
        <sz val="11"/>
        <color theme="1"/>
        <rFont val="BIZ UDPゴシック"/>
        <family val="3"/>
        <charset val="128"/>
      </rPr>
      <t xml:space="preserve">B1F</t>
    </r>
    <r>
      <rPr>
        <sz val="11"/>
        <color theme="1"/>
        <rFont val="WenQuanYi Zen Hei"/>
        <family val="2"/>
      </rPr>
      <t xml:space="preserve">エントランス脇</t>
    </r>
  </si>
  <si>
    <t xml:space="preserve">※バルコニー含む客室内での喫煙はご遠慮ください。</t>
  </si>
  <si>
    <t xml:space="preserve">ルームキー</t>
  </si>
  <si>
    <r>
      <rPr>
        <sz val="11"/>
        <color theme="1"/>
        <rFont val="WenQuanYi Zen Hei"/>
        <family val="2"/>
      </rPr>
      <t xml:space="preserve">紛失した場合は交換費用として</t>
    </r>
    <r>
      <rPr>
        <sz val="11"/>
        <color theme="1"/>
        <rFont val="BIZ UDPゴシック"/>
        <family val="3"/>
        <charset val="128"/>
      </rPr>
      <t xml:space="preserve">30,000</t>
    </r>
    <r>
      <rPr>
        <sz val="11"/>
        <color theme="1"/>
        <rFont val="WenQuanYi Zen Hei"/>
        <family val="2"/>
      </rPr>
      <t xml:space="preserve">円を頂戴しますのでご注意ください。</t>
    </r>
  </si>
  <si>
    <t xml:space="preserve">← アライ宿泊の場合は非表示！！</t>
  </si>
  <si>
    <t xml:space="preserve">外出の際はフロントデスクにてお預かりいたします。</t>
  </si>
  <si>
    <r>
      <rPr>
        <sz val="11"/>
        <color theme="1"/>
        <rFont val="WenQuanYi Zen Hei"/>
        <family val="2"/>
      </rPr>
      <t xml:space="preserve">◎　</t>
    </r>
    <r>
      <rPr>
        <sz val="11"/>
        <color theme="1"/>
        <rFont val="BIZ UDPゴシック"/>
        <family val="3"/>
        <charset val="128"/>
      </rPr>
      <t xml:space="preserve">Free Wi-Fi</t>
    </r>
  </si>
  <si>
    <r>
      <rPr>
        <sz val="11"/>
        <color theme="1"/>
        <rFont val="WenQuanYi Zen Hei"/>
        <family val="2"/>
      </rPr>
      <t xml:space="preserve">右の</t>
    </r>
    <r>
      <rPr>
        <sz val="11"/>
        <color theme="1"/>
        <rFont val="BIZ UDPゴシック"/>
        <family val="3"/>
        <charset val="128"/>
      </rPr>
      <t xml:space="preserve">QR</t>
    </r>
    <r>
      <rPr>
        <sz val="11"/>
        <color theme="1"/>
        <rFont val="WenQuanYi Zen Hei"/>
        <family val="2"/>
      </rPr>
      <t xml:space="preserve">コードをスマートフォンで読み取っていただければ接続できます。</t>
    </r>
  </si>
  <si>
    <r>
      <rPr>
        <b val="true"/>
        <sz val="11"/>
        <color theme="1"/>
        <rFont val="BIZ UDPゴシック"/>
        <family val="3"/>
        <charset val="128"/>
      </rPr>
      <t xml:space="preserve">SSID </t>
    </r>
    <r>
      <rPr>
        <b val="true"/>
        <sz val="11"/>
        <color theme="1"/>
        <rFont val="WenQuanYi Zen Hei"/>
        <family val="2"/>
      </rPr>
      <t xml:space="preserve">　　　： </t>
    </r>
    <r>
      <rPr>
        <b val="true"/>
        <sz val="11"/>
        <color theme="1"/>
        <rFont val="BIZ UDPゴシック"/>
        <family val="3"/>
        <charset val="128"/>
      </rPr>
      <t xml:space="preserve">Lotte Arai Resort</t>
    </r>
  </si>
  <si>
    <r>
      <rPr>
        <b val="true"/>
        <sz val="11"/>
        <color theme="1"/>
        <rFont val="WenQuanYi Zen Hei"/>
        <family val="2"/>
      </rPr>
      <t xml:space="preserve">パスワード ： </t>
    </r>
    <r>
      <rPr>
        <b val="true"/>
        <sz val="11"/>
        <color theme="1"/>
        <rFont val="BIZ UDPゴシック"/>
        <family val="3"/>
        <charset val="128"/>
      </rPr>
      <t xml:space="preserve">arai1429</t>
    </r>
  </si>
  <si>
    <r>
      <rPr>
        <b val="true"/>
        <sz val="16"/>
        <color theme="1"/>
        <rFont val="Meiryo UI"/>
        <family val="3"/>
        <charset val="128"/>
      </rPr>
      <t xml:space="preserve">Fax</t>
    </r>
    <r>
      <rPr>
        <b val="true"/>
        <sz val="16"/>
        <color theme="1"/>
        <rFont val="WenQuanYi Zen Hei"/>
        <family val="2"/>
      </rPr>
      <t xml:space="preserve">　送付状</t>
    </r>
  </si>
  <si>
    <t xml:space="preserve">送信日：</t>
  </si>
  <si>
    <t xml:space="preserve">送信枚数：</t>
  </si>
  <si>
    <r>
      <rPr>
        <sz val="11"/>
        <color theme="1"/>
        <rFont val="WenQuanYi Zen Hei"/>
        <family val="2"/>
      </rPr>
      <t xml:space="preserve">本紙含め　</t>
    </r>
    <r>
      <rPr>
        <sz val="11"/>
        <color theme="1"/>
        <rFont val="ＭＳ Ｐゴシック"/>
        <family val="2"/>
        <charset val="128"/>
      </rPr>
      <t xml:space="preserve">2</t>
    </r>
    <r>
      <rPr>
        <sz val="11"/>
        <color theme="1"/>
        <rFont val="WenQuanYi Zen Hei"/>
        <family val="2"/>
      </rPr>
      <t xml:space="preserve">枚</t>
    </r>
  </si>
  <si>
    <t xml:space="preserve">送付先</t>
  </si>
  <si>
    <t xml:space="preserve">差出人</t>
  </si>
  <si>
    <t xml:space="preserve">株式会社　</t>
  </si>
  <si>
    <t xml:space="preserve">御中</t>
  </si>
  <si>
    <t xml:space="preserve">ロッテアライリゾート</t>
  </si>
  <si>
    <t xml:space="preserve">様</t>
  </si>
  <si>
    <t xml:space="preserve">宿泊課</t>
  </si>
  <si>
    <r>
      <rPr>
        <sz val="10.5"/>
        <color theme="1"/>
        <rFont val="Meiryo UI"/>
        <family val="3"/>
        <charset val="128"/>
      </rPr>
      <t xml:space="preserve">TEL</t>
    </r>
    <r>
      <rPr>
        <sz val="10.5"/>
        <color theme="1"/>
        <rFont val="WenQuanYi Zen Hei"/>
        <family val="2"/>
      </rPr>
      <t xml:space="preserve">：</t>
    </r>
  </si>
  <si>
    <r>
      <rPr>
        <sz val="10.5"/>
        <color theme="1"/>
        <rFont val="Meiryo UI"/>
        <family val="3"/>
        <charset val="128"/>
      </rPr>
      <t xml:space="preserve">TEL</t>
    </r>
    <r>
      <rPr>
        <sz val="10.5"/>
        <color theme="1"/>
        <rFont val="WenQuanYi Zen Hei"/>
        <family val="2"/>
      </rPr>
      <t xml:space="preserve">：</t>
    </r>
    <r>
      <rPr>
        <sz val="10.5"/>
        <color theme="1"/>
        <rFont val="Meiryo UI"/>
        <family val="3"/>
        <charset val="128"/>
      </rPr>
      <t xml:space="preserve">0255-75-1103</t>
    </r>
  </si>
  <si>
    <r>
      <rPr>
        <sz val="10.5"/>
        <color theme="1"/>
        <rFont val="Meiryo UI"/>
        <family val="3"/>
        <charset val="128"/>
      </rPr>
      <t xml:space="preserve">FAX</t>
    </r>
    <r>
      <rPr>
        <sz val="10.5"/>
        <color theme="1"/>
        <rFont val="WenQuanYi Zen Hei"/>
        <family val="2"/>
      </rPr>
      <t xml:space="preserve">：</t>
    </r>
  </si>
  <si>
    <r>
      <rPr>
        <sz val="10.5"/>
        <color theme="1"/>
        <rFont val="Meiryo UI"/>
        <family val="3"/>
        <charset val="128"/>
      </rPr>
      <t xml:space="preserve">FAX</t>
    </r>
    <r>
      <rPr>
        <sz val="10.5"/>
        <color theme="1"/>
        <rFont val="WenQuanYi Zen Hei"/>
        <family val="2"/>
      </rPr>
      <t xml:space="preserve">：</t>
    </r>
    <r>
      <rPr>
        <sz val="10.5"/>
        <color theme="1"/>
        <rFont val="Meiryo UI"/>
        <family val="3"/>
        <charset val="128"/>
      </rPr>
      <t xml:space="preserve">0255-75-1157</t>
    </r>
  </si>
  <si>
    <t xml:space="preserve">明細項目</t>
  </si>
  <si>
    <t xml:space="preserve">確度</t>
  </si>
  <si>
    <r>
      <rPr>
        <b val="true"/>
        <sz val="9"/>
        <color rgb="FF000000"/>
        <rFont val="WenQuanYi Zen Hei"/>
        <family val="2"/>
      </rPr>
      <t xml:space="preserve">▼ホテル情報・設定</t>
    </r>
    <r>
      <rPr>
        <b val="true"/>
        <sz val="9"/>
        <color rgb="FF000000"/>
        <rFont val="Yu Gothic"/>
        <family val="0"/>
        <charset val="1"/>
      </rPr>
      <t xml:space="preserve">(</t>
    </r>
    <r>
      <rPr>
        <b val="true"/>
        <sz val="9"/>
        <color rgb="FF000000"/>
        <rFont val="WenQuanYi Zen Hei"/>
        <family val="2"/>
      </rPr>
      <t xml:space="preserve">帳票の発行者欄などに入ります</t>
    </r>
    <r>
      <rPr>
        <b val="true"/>
        <sz val="9"/>
        <color rgb="FF000000"/>
        <rFont val="Yu Gothic"/>
        <family val="0"/>
        <charset val="1"/>
      </rPr>
      <t xml:space="preserve">)</t>
    </r>
  </si>
  <si>
    <r>
      <rPr>
        <b val="true"/>
        <sz val="9"/>
        <color rgb="FF000000"/>
        <rFont val="WenQuanYi Zen Hei"/>
        <family val="2"/>
      </rPr>
      <t xml:space="preserve">時刻</t>
    </r>
    <r>
      <rPr>
        <b val="true"/>
        <sz val="9"/>
        <color rgb="FF000000"/>
        <rFont val="Yu Gothic"/>
        <family val="0"/>
        <charset val="1"/>
      </rPr>
      <t xml:space="preserve">(15</t>
    </r>
    <r>
      <rPr>
        <b val="true"/>
        <sz val="9"/>
        <color rgb="FF000000"/>
        <rFont val="WenQuanYi Zen Hei"/>
        <family val="2"/>
      </rPr>
      <t xml:space="preserve">分毎</t>
    </r>
    <r>
      <rPr>
        <b val="true"/>
        <sz val="9"/>
        <color rgb="FF000000"/>
        <rFont val="Yu Gothic"/>
        <family val="0"/>
        <charset val="1"/>
      </rPr>
      <t xml:space="preserve">)</t>
    </r>
  </si>
  <si>
    <t xml:space="preserve">食事会場</t>
  </si>
  <si>
    <t xml:space="preserve">引合</t>
  </si>
  <si>
    <t xml:space="preserve">未定</t>
  </si>
  <si>
    <t xml:space="preserve">宴会場</t>
  </si>
  <si>
    <t xml:space="preserve">シアター</t>
  </si>
  <si>
    <t xml:space="preserve">宿泊</t>
  </si>
  <si>
    <t xml:space="preserve">S</t>
  </si>
  <si>
    <t xml:space="preserve">ホテル名</t>
  </si>
  <si>
    <r>
      <rPr>
        <sz val="9"/>
        <color rgb="FF000000"/>
        <rFont val="Yu Gothic"/>
        <family val="0"/>
        <charset val="1"/>
      </rPr>
      <t xml:space="preserve">(</t>
    </r>
    <r>
      <rPr>
        <sz val="9"/>
        <color rgb="FF000000"/>
        <rFont val="WenQuanYi Zen Hei"/>
        <family val="2"/>
      </rPr>
      <t xml:space="preserve">ホテル名を入力</t>
    </r>
    <r>
      <rPr>
        <sz val="9"/>
        <color rgb="FF000000"/>
        <rFont val="Yu Gothic"/>
        <family val="0"/>
        <charset val="1"/>
      </rPr>
      <t xml:space="preserve">)</t>
    </r>
  </si>
  <si>
    <t xml:space="preserve">6:30</t>
  </si>
  <si>
    <t xml:space="preserve">仮予約</t>
  </si>
  <si>
    <t xml:space="preserve">現地支払</t>
  </si>
  <si>
    <t xml:space="preserve">多目的ホール</t>
  </si>
  <si>
    <t xml:space="preserve">スクール</t>
  </si>
  <si>
    <t xml:space="preserve">宴会</t>
  </si>
  <si>
    <t xml:space="preserve">式</t>
  </si>
  <si>
    <t xml:space="preserve">A</t>
  </si>
  <si>
    <r>
      <rPr>
        <b val="true"/>
        <sz val="9"/>
        <color rgb="FF000000"/>
        <rFont val="WenQuanYi Zen Hei"/>
        <family val="2"/>
      </rPr>
      <t xml:space="preserve">住所・</t>
    </r>
    <r>
      <rPr>
        <b val="true"/>
        <sz val="9"/>
        <color rgb="FF000000"/>
        <rFont val="Yu Gothic"/>
        <family val="0"/>
        <charset val="1"/>
      </rPr>
      <t xml:space="preserve">TEL</t>
    </r>
  </si>
  <si>
    <r>
      <rPr>
        <sz val="9"/>
        <color rgb="FF000000"/>
        <rFont val="Yu Gothic"/>
        <family val="0"/>
        <charset val="1"/>
      </rPr>
      <t xml:space="preserve">(</t>
    </r>
    <r>
      <rPr>
        <sz val="9"/>
        <color rgb="FF000000"/>
        <rFont val="WenQuanYi Zen Hei"/>
        <family val="2"/>
      </rPr>
      <t xml:space="preserve">住所・</t>
    </r>
    <r>
      <rPr>
        <sz val="9"/>
        <color rgb="FF000000"/>
        <rFont val="Yu Gothic"/>
        <family val="0"/>
        <charset val="1"/>
      </rPr>
      <t xml:space="preserve">TEL</t>
    </r>
    <r>
      <rPr>
        <sz val="9"/>
        <color rgb="FF000000"/>
        <rFont val="WenQuanYi Zen Hei"/>
        <family val="2"/>
      </rPr>
      <t xml:space="preserve">を入力</t>
    </r>
    <r>
      <rPr>
        <sz val="9"/>
        <color rgb="FF000000"/>
        <rFont val="Yu Gothic"/>
        <family val="0"/>
        <charset val="1"/>
      </rPr>
      <t xml:space="preserve">)</t>
    </r>
  </si>
  <si>
    <t xml:space="preserve">6:45</t>
  </si>
  <si>
    <t xml:space="preserve">あさ日</t>
  </si>
  <si>
    <t xml:space="preserve">確定</t>
  </si>
  <si>
    <t xml:space="preserve">事前振込</t>
  </si>
  <si>
    <t xml:space="preserve">円卓</t>
  </si>
  <si>
    <t xml:space="preserve">料飲</t>
  </si>
  <si>
    <t xml:space="preserve">台</t>
  </si>
  <si>
    <t xml:space="preserve">B</t>
  </si>
  <si>
    <t xml:space="preserve">インボイス番号</t>
  </si>
  <si>
    <t xml:space="preserve">T0000000000000</t>
  </si>
  <si>
    <t xml:space="preserve">7:00</t>
  </si>
  <si>
    <t xml:space="preserve">矢代</t>
  </si>
  <si>
    <t xml:space="preserve">実施済</t>
  </si>
  <si>
    <t xml:space="preserve">売掛</t>
  </si>
  <si>
    <t xml:space="preserve">立食</t>
  </si>
  <si>
    <t xml:space="preserve">送迎</t>
  </si>
  <si>
    <t xml:space="preserve">室</t>
  </si>
  <si>
    <t xml:space="preserve">C</t>
  </si>
  <si>
    <t xml:space="preserve">担当者</t>
  </si>
  <si>
    <t xml:space="preserve">7:15</t>
  </si>
  <si>
    <t xml:space="preserve">BECO</t>
  </si>
  <si>
    <t xml:space="preserve">請求済</t>
  </si>
  <si>
    <t xml:space="preserve">その他</t>
  </si>
  <si>
    <t xml:space="preserve">個</t>
  </si>
  <si>
    <t xml:space="preserve">振込先</t>
  </si>
  <si>
    <r>
      <rPr>
        <sz val="9"/>
        <color rgb="FF000000"/>
        <rFont val="Yu Gothic"/>
        <family val="0"/>
        <charset val="1"/>
      </rPr>
      <t xml:space="preserve">(</t>
    </r>
    <r>
      <rPr>
        <sz val="9"/>
        <color rgb="FF000000"/>
        <rFont val="WenQuanYi Zen Hei"/>
        <family val="2"/>
      </rPr>
      <t xml:space="preserve">銀行名・支店・口座種別・番号・名義</t>
    </r>
    <r>
      <rPr>
        <sz val="9"/>
        <color rgb="FF000000"/>
        <rFont val="Yu Gothic"/>
        <family val="0"/>
        <charset val="1"/>
      </rPr>
      <t xml:space="preserve">)</t>
    </r>
  </si>
  <si>
    <t xml:space="preserve">7:30</t>
  </si>
  <si>
    <t xml:space="preserve">入金済</t>
  </si>
  <si>
    <t xml:space="preserve">本</t>
  </si>
  <si>
    <t xml:space="preserve">7:45</t>
  </si>
  <si>
    <t xml:space="preserve">キャンセル</t>
  </si>
  <si>
    <r>
      <rPr>
        <b val="true"/>
        <sz val="9"/>
        <color rgb="FF000000"/>
        <rFont val="WenQuanYi Zen Hei"/>
        <family val="2"/>
      </rPr>
      <t xml:space="preserve">カレンダー</t>
    </r>
    <r>
      <rPr>
        <b val="true"/>
        <sz val="9"/>
        <color rgb="FF000000"/>
        <rFont val="Yu Gothic"/>
        <family val="0"/>
        <charset val="1"/>
      </rPr>
      <t xml:space="preserve">URL</t>
    </r>
  </si>
  <si>
    <t xml:space="preserve">8:00</t>
  </si>
  <si>
    <t xml:space="preserve">8:15</t>
  </si>
  <si>
    <t xml:space="preserve">8:30</t>
  </si>
  <si>
    <r>
      <rPr>
        <sz val="8"/>
        <color rgb="FF666666"/>
        <rFont val="WenQuanYi Zen Hei"/>
        <family val="2"/>
      </rPr>
      <t xml:space="preserve">選択肢はこの列を書き換えれば入力シートの▼リストに反映。カレンダー</t>
    </r>
    <r>
      <rPr>
        <sz val="8"/>
        <color rgb="FF666666"/>
        <rFont val="Yu Gothic"/>
        <family val="0"/>
        <charset val="1"/>
      </rPr>
      <t xml:space="preserve">URL(I8)</t>
    </r>
    <r>
      <rPr>
        <sz val="8"/>
        <color rgb="FF666666"/>
        <rFont val="WenQuanYi Zen Hei"/>
        <family val="2"/>
      </rPr>
      <t xml:space="preserve">を入れると入力シートのリンクが有効になります。</t>
    </r>
  </si>
  <si>
    <t xml:space="preserve">8:45</t>
  </si>
  <si>
    <t xml:space="preserve">9:00</t>
  </si>
  <si>
    <t xml:space="preserve">9:15</t>
  </si>
  <si>
    <t xml:space="preserve">9:30</t>
  </si>
  <si>
    <t xml:space="preserve">9:45</t>
  </si>
  <si>
    <t xml:space="preserve">10:00</t>
  </si>
  <si>
    <t xml:space="preserve">10:15</t>
  </si>
  <si>
    <t xml:space="preserve">10:30</t>
  </si>
  <si>
    <t xml:space="preserve">10:45</t>
  </si>
  <si>
    <t xml:space="preserve">11:00</t>
  </si>
  <si>
    <t xml:space="preserve">11:15</t>
  </si>
  <si>
    <t xml:space="preserve">11:30</t>
  </si>
  <si>
    <t xml:space="preserve">11:45</t>
  </si>
  <si>
    <t xml:space="preserve">12:00</t>
  </si>
  <si>
    <t xml:space="preserve">12:15</t>
  </si>
  <si>
    <t xml:space="preserve">12:30</t>
  </si>
  <si>
    <t xml:space="preserve">12:45</t>
  </si>
  <si>
    <t xml:space="preserve">13:00</t>
  </si>
  <si>
    <t xml:space="preserve">13:15</t>
  </si>
  <si>
    <t xml:space="preserve">13:30</t>
  </si>
  <si>
    <t xml:space="preserve">13:45</t>
  </si>
  <si>
    <t xml:space="preserve">14:00</t>
  </si>
  <si>
    <t xml:space="preserve">14:15</t>
  </si>
  <si>
    <t xml:space="preserve">14:30</t>
  </si>
  <si>
    <t xml:space="preserve">14:45</t>
  </si>
  <si>
    <t xml:space="preserve">15:00</t>
  </si>
  <si>
    <t xml:space="preserve">15:15</t>
  </si>
  <si>
    <t xml:space="preserve">15:30</t>
  </si>
  <si>
    <t xml:space="preserve">15:45</t>
  </si>
  <si>
    <t xml:space="preserve">16:00</t>
  </si>
  <si>
    <t xml:space="preserve">16:15</t>
  </si>
  <si>
    <t xml:space="preserve">16:30</t>
  </si>
  <si>
    <t xml:space="preserve">16:45</t>
  </si>
  <si>
    <t xml:space="preserve">17:00</t>
  </si>
  <si>
    <t xml:space="preserve">17:15</t>
  </si>
  <si>
    <t xml:space="preserve">17:30</t>
  </si>
  <si>
    <t xml:space="preserve">17:45</t>
  </si>
  <si>
    <t xml:space="preserve">18:15</t>
  </si>
  <si>
    <t xml:space="preserve">18:30</t>
  </si>
  <si>
    <t xml:space="preserve">18:45</t>
  </si>
  <si>
    <t xml:space="preserve">19:00</t>
  </si>
  <si>
    <t xml:space="preserve">19:15</t>
  </si>
  <si>
    <t xml:space="preserve">19:30</t>
  </si>
  <si>
    <t xml:space="preserve">19:45</t>
  </si>
  <si>
    <t xml:space="preserve">20:00</t>
  </si>
  <si>
    <t xml:space="preserve">20:15</t>
  </si>
  <si>
    <t xml:space="preserve">20:30</t>
  </si>
  <si>
    <t xml:space="preserve">20:45</t>
  </si>
  <si>
    <t xml:space="preserve">21:00</t>
  </si>
  <si>
    <r>
      <rPr>
        <b val="true"/>
        <sz val="12"/>
        <color theme="1"/>
        <rFont val="Meiryo UI"/>
        <family val="3"/>
        <charset val="128"/>
      </rPr>
      <t xml:space="preserve">2026</t>
    </r>
    <r>
      <rPr>
        <b val="true"/>
        <sz val="12"/>
        <color theme="1"/>
        <rFont val="WenQuanYi Zen Hei"/>
        <family val="2"/>
      </rPr>
      <t xml:space="preserve">　</t>
    </r>
    <r>
      <rPr>
        <b val="true"/>
        <sz val="12"/>
        <color theme="1"/>
        <rFont val="Meiryo UI"/>
        <family val="3"/>
        <charset val="128"/>
      </rPr>
      <t xml:space="preserve">F</t>
    </r>
    <r>
      <rPr>
        <b val="true"/>
        <sz val="12"/>
        <color theme="1"/>
        <rFont val="WenQuanYi Zen Hei"/>
        <family val="2"/>
      </rPr>
      <t xml:space="preserve">＆</t>
    </r>
    <r>
      <rPr>
        <b val="true"/>
        <sz val="12"/>
        <color theme="1"/>
        <rFont val="Meiryo UI"/>
        <family val="3"/>
        <charset val="128"/>
      </rPr>
      <t xml:space="preserve">B PackageCode</t>
    </r>
  </si>
  <si>
    <t xml:space="preserve">セグメント</t>
  </si>
  <si>
    <t xml:space="preserve">区分</t>
  </si>
  <si>
    <r>
      <rPr>
        <b val="true"/>
        <sz val="15"/>
        <color theme="0"/>
        <rFont val="Meiryo UI"/>
        <family val="3"/>
        <charset val="128"/>
      </rPr>
      <t xml:space="preserve">SNOW</t>
    </r>
    <r>
      <rPr>
        <b val="true"/>
        <sz val="15"/>
        <color theme="0"/>
        <rFont val="WenQuanYi Zen Hei"/>
        <family val="2"/>
      </rPr>
      <t xml:space="preserve">　（</t>
    </r>
    <r>
      <rPr>
        <b val="true"/>
        <sz val="15"/>
        <color theme="0"/>
        <rFont val="Meiryo UI"/>
        <family val="3"/>
        <charset val="128"/>
      </rPr>
      <t xml:space="preserve">2026-05-10</t>
    </r>
    <r>
      <rPr>
        <b val="true"/>
        <sz val="15"/>
        <color theme="0"/>
        <rFont val="WenQuanYi Zen Hei"/>
        <family val="2"/>
      </rPr>
      <t xml:space="preserve">まで）</t>
    </r>
  </si>
  <si>
    <r>
      <rPr>
        <b val="true"/>
        <sz val="15"/>
        <color theme="0"/>
        <rFont val="Meiryo UI"/>
        <family val="3"/>
        <charset val="128"/>
      </rPr>
      <t xml:space="preserve">GREEN</t>
    </r>
    <r>
      <rPr>
        <b val="true"/>
        <sz val="15"/>
        <color theme="0"/>
        <rFont val="WenQuanYi Zen Hei"/>
        <family val="2"/>
      </rPr>
      <t xml:space="preserve">　（</t>
    </r>
    <r>
      <rPr>
        <b val="true"/>
        <sz val="15"/>
        <color theme="0"/>
        <rFont val="Meiryo UI"/>
        <family val="3"/>
        <charset val="128"/>
      </rPr>
      <t xml:space="preserve">2026-05-11</t>
    </r>
    <r>
      <rPr>
        <b val="true"/>
        <sz val="15"/>
        <color theme="0"/>
        <rFont val="WenQuanYi Zen Hei"/>
        <family val="2"/>
      </rPr>
      <t xml:space="preserve">から）</t>
    </r>
  </si>
  <si>
    <t xml:space="preserve">RATECODE</t>
  </si>
  <si>
    <r>
      <rPr>
        <sz val="9"/>
        <color theme="0"/>
        <rFont val="WenQuanYi Zen Hei"/>
        <family val="2"/>
      </rPr>
      <t xml:space="preserve">金額</t>
    </r>
    <r>
      <rPr>
        <sz val="9"/>
        <color theme="0"/>
        <rFont val="Meiryo UI"/>
        <family val="3"/>
        <charset val="128"/>
      </rPr>
      <t xml:space="preserve">(net)</t>
    </r>
  </si>
  <si>
    <r>
      <rPr>
        <sz val="9"/>
        <color theme="0"/>
        <rFont val="WenQuanYi Zen Hei"/>
        <family val="2"/>
      </rPr>
      <t xml:space="preserve">金額</t>
    </r>
    <r>
      <rPr>
        <sz val="9"/>
        <color theme="0"/>
        <rFont val="Meiryo UI"/>
        <family val="3"/>
        <charset val="128"/>
      </rPr>
      <t xml:space="preserve">(</t>
    </r>
    <r>
      <rPr>
        <sz val="9"/>
        <color theme="0"/>
        <rFont val="WenQuanYi Zen Hei"/>
        <family val="2"/>
      </rPr>
      <t xml:space="preserve">サ込</t>
    </r>
    <r>
      <rPr>
        <sz val="9"/>
        <color theme="0"/>
        <rFont val="Meiryo UI"/>
        <family val="3"/>
        <charset val="128"/>
      </rPr>
      <t xml:space="preserve">)</t>
    </r>
  </si>
  <si>
    <t xml:space="preserve">割引率</t>
  </si>
  <si>
    <t xml:space="preserve">前年比</t>
  </si>
  <si>
    <t xml:space="preserve">Description</t>
  </si>
  <si>
    <t xml:space="preserve">(A)</t>
  </si>
  <si>
    <t xml:space="preserve">大人</t>
  </si>
  <si>
    <t xml:space="preserve">朝食</t>
  </si>
  <si>
    <t xml:space="preserve">BFAS-A</t>
  </si>
  <si>
    <t xml:space="preserve">New BF Adult Snow - A rank - 4000</t>
  </si>
  <si>
    <t xml:space="preserve">BFAG-A</t>
  </si>
  <si>
    <t xml:space="preserve">New BF Adult Green - A rank - 3200</t>
  </si>
  <si>
    <r>
      <rPr>
        <b val="true"/>
        <sz val="11"/>
        <color theme="1"/>
        <rFont val="WenQuanYi Zen Hei"/>
        <family val="2"/>
      </rPr>
      <t xml:space="preserve">定価料金</t>
    </r>
    <r>
      <rPr>
        <b val="true"/>
        <sz val="11"/>
        <color theme="1"/>
        <rFont val="Meiryo UI"/>
        <family val="3"/>
        <charset val="128"/>
      </rPr>
      <t xml:space="preserve">/</t>
    </r>
    <r>
      <rPr>
        <b val="true"/>
        <sz val="11"/>
        <color theme="1"/>
        <rFont val="WenQuanYi Zen Hei"/>
        <family val="2"/>
      </rPr>
      <t xml:space="preserve">日帰り
宿泊者当日追加料金</t>
    </r>
  </si>
  <si>
    <t xml:space="preserve">夕食</t>
  </si>
  <si>
    <t xml:space="preserve">DNAS-A</t>
  </si>
  <si>
    <t xml:space="preserve">New DN Adult Snow - A rank - 6300</t>
  </si>
  <si>
    <t xml:space="preserve">DNAG-A</t>
  </si>
  <si>
    <t xml:space="preserve">New DN Adult Green - A rank - 4800</t>
  </si>
  <si>
    <r>
      <rPr>
        <b val="true"/>
        <sz val="10"/>
        <color theme="1"/>
        <rFont val="WenQuanYi Zen Hei"/>
        <family val="2"/>
      </rPr>
      <t xml:space="preserve">子供      </t>
    </r>
    <r>
      <rPr>
        <b val="true"/>
        <sz val="10"/>
        <color theme="1"/>
        <rFont val="Meiryo UI"/>
        <family val="3"/>
        <charset val="128"/>
      </rPr>
      <t xml:space="preserve">4-12</t>
    </r>
  </si>
  <si>
    <t xml:space="preserve">BFKS-A</t>
  </si>
  <si>
    <t xml:space="preserve">New BF Child Snow - A rank - 2400</t>
  </si>
  <si>
    <t xml:space="preserve">BFKG-A</t>
  </si>
  <si>
    <t xml:space="preserve">New BF Child Green - A rank - 2000</t>
  </si>
  <si>
    <t xml:space="preserve">DNKS-A</t>
  </si>
  <si>
    <t xml:space="preserve">New DN Child Snow - A rank - 3500</t>
  </si>
  <si>
    <t xml:space="preserve">DNKG-A</t>
  </si>
  <si>
    <t xml:space="preserve">New DN Child Green - A rank - 3000</t>
  </si>
  <si>
    <t xml:space="preserve">(B)  </t>
  </si>
  <si>
    <t xml:space="preserve">BFAS-B</t>
  </si>
  <si>
    <t xml:space="preserve">New BF Adult Snow - B rank - 3500</t>
  </si>
  <si>
    <t xml:space="preserve">BFAG-B</t>
  </si>
  <si>
    <t xml:space="preserve">New BF Adult Green - B rank - 2800</t>
  </si>
  <si>
    <r>
      <rPr>
        <b val="true"/>
        <sz val="11"/>
        <color theme="1"/>
        <rFont val="WenQuanYi Zen Hei"/>
        <family val="2"/>
      </rPr>
      <t xml:space="preserve">一般宿泊</t>
    </r>
    <r>
      <rPr>
        <b val="true"/>
        <sz val="11"/>
        <color theme="1"/>
        <rFont val="Meiryo UI"/>
        <family val="3"/>
        <charset val="128"/>
      </rPr>
      <t xml:space="preserve">PKG
</t>
    </r>
    <r>
      <rPr>
        <b val="true"/>
        <sz val="11"/>
        <color theme="1"/>
        <rFont val="WenQuanYi Zen Hei"/>
        <family val="2"/>
      </rPr>
      <t xml:space="preserve">全店舗利用可能</t>
    </r>
  </si>
  <si>
    <t xml:space="preserve">DNAS-B</t>
  </si>
  <si>
    <t xml:space="preserve">New DN Adult Snow - B rank - 5200</t>
  </si>
  <si>
    <t xml:space="preserve">DNAG-B</t>
  </si>
  <si>
    <t xml:space="preserve">New DN Adult Green - B rank - 4000</t>
  </si>
  <si>
    <t xml:space="preserve">BFKS-B</t>
  </si>
  <si>
    <t xml:space="preserve">New BF Child Snow - B rank - 2000</t>
  </si>
  <si>
    <t xml:space="preserve">BFKG-B</t>
  </si>
  <si>
    <t xml:space="preserve">New BF Child Green - B rank - 1700</t>
  </si>
  <si>
    <t xml:space="preserve">DNKS-B</t>
  </si>
  <si>
    <t xml:space="preserve">New DN Child Snow - B rank - 3000</t>
  </si>
  <si>
    <t xml:space="preserve">DNKG-B</t>
  </si>
  <si>
    <t xml:space="preserve">New DN Child Green - B rank - 2500</t>
  </si>
  <si>
    <t xml:space="preserve">(C)       </t>
  </si>
  <si>
    <t xml:space="preserve">BFAS-C</t>
  </si>
  <si>
    <t xml:space="preserve">New BF Adult Snow - C rank - 3000</t>
  </si>
  <si>
    <t xml:space="preserve">BFAG-C</t>
  </si>
  <si>
    <t xml:space="preserve">New BF Adult Green - C rank - 2500</t>
  </si>
  <si>
    <t xml:space="preserve">一般宿泊限定商品</t>
  </si>
  <si>
    <t xml:space="preserve">DNAS-C</t>
  </si>
  <si>
    <t xml:space="preserve">New DN Adult Snow - C rank - 4800</t>
  </si>
  <si>
    <t xml:space="preserve">DNAG-C</t>
  </si>
  <si>
    <t xml:space="preserve">New DN Adult Green - C rank - 3700</t>
  </si>
  <si>
    <t xml:space="preserve">BFKS-C</t>
  </si>
  <si>
    <t xml:space="preserve">New BF Child Snow - C rank - 1700</t>
  </si>
  <si>
    <t xml:space="preserve">BFKG-C</t>
  </si>
  <si>
    <t xml:space="preserve">New BF Child Green - C rank - 1500</t>
  </si>
  <si>
    <t xml:space="preserve">DNKS-C</t>
  </si>
  <si>
    <t xml:space="preserve">New DN Child Snow - C rank - 2800</t>
  </si>
  <si>
    <t xml:space="preserve">DNKG-C</t>
  </si>
  <si>
    <t xml:space="preserve">New DN Child Green - C rank - 2100</t>
  </si>
  <si>
    <r>
      <rPr>
        <b val="true"/>
        <sz val="11"/>
        <color theme="1"/>
        <rFont val="WenQuanYi Zen Hei"/>
        <family val="2"/>
      </rPr>
      <t xml:space="preserve">（</t>
    </r>
    <r>
      <rPr>
        <b val="true"/>
        <sz val="11"/>
        <color theme="1"/>
        <rFont val="Meiryo UI"/>
        <family val="3"/>
        <charset val="128"/>
      </rPr>
      <t xml:space="preserve">D</t>
    </r>
    <r>
      <rPr>
        <b val="true"/>
        <sz val="11"/>
        <color theme="1"/>
        <rFont val="WenQuanYi Zen Hei"/>
        <family val="2"/>
      </rPr>
      <t xml:space="preserve">）団体、修学旅行特別
従業員特別、法人特別
稟議申請により特別適用可（直営店限定）</t>
    </r>
  </si>
  <si>
    <t xml:space="preserve">BFAS-D</t>
  </si>
  <si>
    <t xml:space="preserve">New BF Adult Snow - D rank - 2400</t>
  </si>
  <si>
    <t xml:space="preserve">BFAG-D</t>
  </si>
  <si>
    <t xml:space="preserve">New BF Adult Green - D rank - 2000</t>
  </si>
  <si>
    <t xml:space="preserve">DNAS-D</t>
  </si>
  <si>
    <t xml:space="preserve">New DN Adult Snow - D rank - 3500</t>
  </si>
  <si>
    <t xml:space="preserve">DNAG-D</t>
  </si>
  <si>
    <t xml:space="preserve">New DN Adult Green - D rank - 3000</t>
  </si>
  <si>
    <t xml:space="preserve">BFKS-D</t>
  </si>
  <si>
    <t xml:space="preserve">New BF Child Snow - D rank - 1500</t>
  </si>
  <si>
    <t xml:space="preserve">BFKG-D</t>
  </si>
  <si>
    <t xml:space="preserve">New BF Child Green - D rank - 1100</t>
  </si>
  <si>
    <t xml:space="preserve">DNKS-D</t>
  </si>
  <si>
    <t xml:space="preserve">New DN Child Snow - D rank - 2500</t>
  </si>
  <si>
    <t xml:space="preserve">DNKG-D</t>
  </si>
  <si>
    <t xml:space="preserve">New DN Child Green - D rank - 1650</t>
  </si>
  <si>
    <t xml:space="preserve">部屋タイプ</t>
  </si>
  <si>
    <t xml:space="preserve">料金</t>
  </si>
  <si>
    <t xml:space="preserve">支払い方法</t>
  </si>
  <si>
    <t xml:space="preserve">税・サービス料</t>
  </si>
  <si>
    <t xml:space="preserve">朝食代</t>
  </si>
  <si>
    <t xml:space="preserve">朝食会場</t>
  </si>
  <si>
    <t xml:space="preserve">夕食代</t>
  </si>
  <si>
    <t xml:space="preserve">夕食予約時刻</t>
  </si>
  <si>
    <t xml:space="preserve">食事・入湯税</t>
  </si>
  <si>
    <t xml:space="preserve">追加精算</t>
  </si>
  <si>
    <t xml:space="preserve">-</t>
  </si>
  <si>
    <t xml:space="preserve">t/c,  driver</t>
  </si>
  <si>
    <t xml:space="preserve">ご宿泊　</t>
  </si>
  <si>
    <t xml:space="preserve">サ込税込</t>
  </si>
  <si>
    <r>
      <rPr>
        <sz val="11"/>
        <color theme="1"/>
        <rFont val="WenQuanYi Zen Hei"/>
        <family val="2"/>
      </rPr>
      <t xml:space="preserve">洋食ビュッフェ 「</t>
    </r>
    <r>
      <rPr>
        <sz val="11"/>
        <color theme="1"/>
        <rFont val="ＭＳ Ｐゴシック"/>
        <family val="2"/>
        <charset val="128"/>
      </rPr>
      <t xml:space="preserve">The Plate</t>
    </r>
    <r>
      <rPr>
        <sz val="11"/>
        <color theme="1"/>
        <rFont val="WenQuanYi Zen Hei"/>
        <family val="2"/>
      </rPr>
      <t xml:space="preserve">」</t>
    </r>
  </si>
  <si>
    <t xml:space="preserve">別途</t>
  </si>
  <si>
    <r>
      <rPr>
        <sz val="11"/>
        <color theme="1"/>
        <rFont val="ＭＳ Ｐゴシック"/>
        <family val="2"/>
        <charset val="128"/>
      </rPr>
      <t xml:space="preserve">C/O</t>
    </r>
    <r>
      <rPr>
        <sz val="11"/>
        <color theme="1"/>
        <rFont val="WenQuanYi Zen Hei"/>
        <family val="2"/>
      </rPr>
      <t xml:space="preserve">時代表者一括清算　　</t>
    </r>
  </si>
  <si>
    <t xml:space="preserve">Superior (Single Use)</t>
  </si>
  <si>
    <r>
      <rPr>
        <sz val="11"/>
        <color theme="1"/>
        <rFont val="ＭＳ Ｐゴシック"/>
        <family val="2"/>
        <charset val="128"/>
      </rPr>
      <t xml:space="preserve">1</t>
    </r>
    <r>
      <rPr>
        <sz val="11"/>
        <color theme="1"/>
        <rFont val="WenQuanYi Zen Hei"/>
        <family val="2"/>
      </rPr>
      <t xml:space="preserve">泊朝食付　</t>
    </r>
  </si>
  <si>
    <t xml:space="preserve">サ込税別</t>
  </si>
  <si>
    <t xml:space="preserve">含む</t>
  </si>
  <si>
    <r>
      <rPr>
        <sz val="11"/>
        <color theme="1"/>
        <rFont val="ＭＳ Ｐゴシック"/>
        <family val="2"/>
        <charset val="128"/>
      </rPr>
      <t xml:space="preserve">C/O</t>
    </r>
    <r>
      <rPr>
        <sz val="11"/>
        <color theme="1"/>
        <rFont val="WenQuanYi Zen Hei"/>
        <family val="2"/>
      </rPr>
      <t xml:space="preserve">時個人精算　</t>
    </r>
  </si>
  <si>
    <t xml:space="preserve">Superior Twin</t>
  </si>
  <si>
    <r>
      <rPr>
        <sz val="11"/>
        <color theme="1"/>
        <rFont val="ＭＳ Ｐゴシック"/>
        <family val="2"/>
        <charset val="128"/>
      </rPr>
      <t xml:space="preserve">1</t>
    </r>
    <r>
      <rPr>
        <sz val="11"/>
        <color theme="1"/>
        <rFont val="WenQuanYi Zen Hei"/>
        <family val="2"/>
      </rPr>
      <t xml:space="preserve">泊</t>
    </r>
    <r>
      <rPr>
        <sz val="11"/>
        <color theme="1"/>
        <rFont val="ＭＳ Ｐゴシック"/>
        <family val="2"/>
        <charset val="128"/>
      </rPr>
      <t xml:space="preserve">2</t>
    </r>
    <r>
      <rPr>
        <sz val="11"/>
        <color theme="1"/>
        <rFont val="WenQuanYi Zen Hei"/>
        <family val="2"/>
      </rPr>
      <t xml:space="preserve">食付　</t>
    </r>
  </si>
  <si>
    <t xml:space="preserve">税サ別</t>
  </si>
  <si>
    <t xml:space="preserve">あさ日・プレート</t>
  </si>
  <si>
    <r>
      <rPr>
        <sz val="11"/>
        <color theme="1"/>
        <rFont val="WenQuanYi Zen Hei"/>
        <family val="2"/>
      </rPr>
      <t xml:space="preserve">ステーキハウス「</t>
    </r>
    <r>
      <rPr>
        <sz val="11"/>
        <color theme="1"/>
        <rFont val="ＭＳ Ｐゴシック"/>
        <family val="2"/>
        <charset val="128"/>
      </rPr>
      <t xml:space="preserve">BECO</t>
    </r>
    <r>
      <rPr>
        <sz val="11"/>
        <color theme="1"/>
        <rFont val="WenQuanYi Zen Hei"/>
        <family val="2"/>
      </rPr>
      <t xml:space="preserve">」</t>
    </r>
  </si>
  <si>
    <t xml:space="preserve">なし</t>
  </si>
  <si>
    <t xml:space="preserve">売掛　</t>
  </si>
  <si>
    <t xml:space="preserve">Superior Double</t>
  </si>
  <si>
    <t xml:space="preserve">しゃぶしゃぶ　「矢代」</t>
  </si>
  <si>
    <t xml:space="preserve">備考参照</t>
  </si>
  <si>
    <t xml:space="preserve">Superior Family Twin</t>
  </si>
  <si>
    <t xml:space="preserve">Superior Triple</t>
  </si>
  <si>
    <t xml:space="preserve">Superior Family Triple</t>
  </si>
  <si>
    <t xml:space="preserve">Deluxe Double</t>
  </si>
  <si>
    <t xml:space="preserve">Deluxe Twin</t>
  </si>
  <si>
    <t xml:space="preserve">Deluxe Twin (Single Use)</t>
  </si>
  <si>
    <t xml:space="preserve">Deluxe Family Twin</t>
  </si>
  <si>
    <t xml:space="preserve">Deluxe Double Twin</t>
  </si>
  <si>
    <t xml:space="preserve">Deluxe Quadruple</t>
  </si>
  <si>
    <t xml:space="preserve">Deluxe Suite R</t>
  </si>
  <si>
    <t xml:space="preserve">Corner Suite</t>
  </si>
  <si>
    <t xml:space="preserve">Deluxe Suite</t>
  </si>
  <si>
    <t xml:space="preserve">Deluxe Suite F</t>
  </si>
  <si>
    <t xml:space="preserve">Premier Suite</t>
  </si>
  <si>
    <t xml:space="preserve">Grand Premier Suite</t>
  </si>
  <si>
    <t xml:space="preserve">Presidential Suite A</t>
  </si>
  <si>
    <t xml:space="preserve">Presidential Suite B</t>
  </si>
  <si>
    <r>
      <rPr>
        <sz val="11"/>
        <color theme="1"/>
        <rFont val="ＭＳ Ｐゴシック"/>
        <family val="2"/>
        <charset val="128"/>
      </rPr>
      <t xml:space="preserve">Presidential Suite A</t>
    </r>
    <r>
      <rPr>
        <sz val="11"/>
        <color theme="1"/>
        <rFont val="WenQuanYi Zen Hei"/>
        <family val="2"/>
      </rPr>
      <t xml:space="preserve">＋</t>
    </r>
    <r>
      <rPr>
        <sz val="11"/>
        <color theme="1"/>
        <rFont val="ＭＳ Ｐゴシック"/>
        <family val="2"/>
        <charset val="128"/>
      </rPr>
      <t xml:space="preserve">B</t>
    </r>
  </si>
  <si>
    <r>
      <rPr>
        <sz val="11"/>
        <color theme="1"/>
        <rFont val="ＭＳ Ｐゴシック"/>
        <family val="2"/>
        <charset val="128"/>
      </rPr>
      <t xml:space="preserve">Fax </t>
    </r>
    <r>
      <rPr>
        <sz val="11"/>
        <color theme="1"/>
        <rFont val="WenQuanYi Zen Hei"/>
        <family val="2"/>
      </rPr>
      <t xml:space="preserve">枚数</t>
    </r>
  </si>
  <si>
    <t xml:space="preserve">本紙のみ</t>
  </si>
  <si>
    <r>
      <rPr>
        <sz val="10.5"/>
        <color theme="1"/>
        <rFont val="WenQuanYi Zen Hei"/>
        <family val="2"/>
      </rPr>
      <t xml:space="preserve">本紙含め　</t>
    </r>
    <r>
      <rPr>
        <sz val="10.5"/>
        <color theme="1"/>
        <rFont val="Meiryo UI"/>
        <family val="3"/>
        <charset val="128"/>
      </rPr>
      <t xml:space="preserve">2</t>
    </r>
    <r>
      <rPr>
        <sz val="10.5"/>
        <color theme="1"/>
        <rFont val="WenQuanYi Zen Hei"/>
        <family val="2"/>
      </rPr>
      <t xml:space="preserve">枚</t>
    </r>
  </si>
  <si>
    <r>
      <rPr>
        <sz val="10.5"/>
        <color theme="1"/>
        <rFont val="WenQuanYi Zen Hei"/>
        <family val="2"/>
      </rPr>
      <t xml:space="preserve">本紙含め　</t>
    </r>
    <r>
      <rPr>
        <sz val="10.5"/>
        <color theme="1"/>
        <rFont val="Meiryo UI"/>
        <family val="3"/>
        <charset val="128"/>
      </rPr>
      <t xml:space="preserve">3</t>
    </r>
    <r>
      <rPr>
        <sz val="10.5"/>
        <color theme="1"/>
        <rFont val="WenQuanYi Zen Hei"/>
        <family val="2"/>
      </rPr>
      <t xml:space="preserve">枚</t>
    </r>
  </si>
  <si>
    <r>
      <rPr>
        <sz val="10.5"/>
        <color theme="1"/>
        <rFont val="WenQuanYi Zen Hei"/>
        <family val="2"/>
      </rPr>
      <t xml:space="preserve">本紙含め　</t>
    </r>
    <r>
      <rPr>
        <sz val="10.5"/>
        <color theme="1"/>
        <rFont val="Meiryo UI"/>
        <family val="3"/>
        <charset val="128"/>
      </rPr>
      <t xml:space="preserve">4</t>
    </r>
    <r>
      <rPr>
        <sz val="10.5"/>
        <color theme="1"/>
        <rFont val="WenQuanYi Zen Hei"/>
        <family val="2"/>
      </rPr>
      <t xml:space="preserve">枚</t>
    </r>
  </si>
  <si>
    <r>
      <rPr>
        <sz val="10.5"/>
        <color theme="1"/>
        <rFont val="WenQuanYi Zen Hei"/>
        <family val="2"/>
      </rPr>
      <t xml:space="preserve">本紙含め　</t>
    </r>
    <r>
      <rPr>
        <sz val="10.5"/>
        <color theme="1"/>
        <rFont val="Meiryo UI"/>
        <family val="3"/>
        <charset val="128"/>
      </rPr>
      <t xml:space="preserve">5</t>
    </r>
    <r>
      <rPr>
        <sz val="10.5"/>
        <color theme="1"/>
        <rFont val="WenQuanYi Zen Hei"/>
        <family val="2"/>
      </rPr>
      <t xml:space="preserve">枚</t>
    </r>
  </si>
  <si>
    <r>
      <rPr>
        <sz val="10.5"/>
        <color theme="1"/>
        <rFont val="WenQuanYi Zen Hei"/>
        <family val="2"/>
      </rPr>
      <t xml:space="preserve">本紙含め　</t>
    </r>
    <r>
      <rPr>
        <sz val="10.5"/>
        <color theme="1"/>
        <rFont val="Meiryo UI"/>
        <family val="3"/>
        <charset val="128"/>
      </rPr>
      <t xml:space="preserve">6</t>
    </r>
    <r>
      <rPr>
        <sz val="10.5"/>
        <color theme="1"/>
        <rFont val="WenQuanYi Zen Hei"/>
        <family val="2"/>
      </rPr>
      <t xml:space="preserve">枚</t>
    </r>
  </si>
  <si>
    <r>
      <rPr>
        <sz val="10.5"/>
        <color theme="1"/>
        <rFont val="WenQuanYi Zen Hei"/>
        <family val="2"/>
      </rPr>
      <t xml:space="preserve">本紙含め　</t>
    </r>
    <r>
      <rPr>
        <sz val="10.5"/>
        <color theme="1"/>
        <rFont val="Meiryo UI"/>
        <family val="3"/>
        <charset val="128"/>
      </rPr>
      <t xml:space="preserve">7</t>
    </r>
    <r>
      <rPr>
        <sz val="10.5"/>
        <color theme="1"/>
        <rFont val="WenQuanYi Zen Hei"/>
        <family val="2"/>
      </rPr>
      <t xml:space="preserve">枚</t>
    </r>
  </si>
  <si>
    <t xml:space="preserve">2026-070</t>
  </si>
  <si>
    <t xml:space="preserve">更新日</t>
  </si>
  <si>
    <t xml:space="preserve">経理</t>
  </si>
  <si>
    <t xml:space="preserve">郵送先</t>
  </si>
  <si>
    <t xml:space="preserve">〒</t>
  </si>
  <si>
    <t xml:space="preserve">宛名</t>
  </si>
  <si>
    <t xml:space="preserve">現地</t>
  </si>
  <si>
    <t xml:space="preserve">手配</t>
  </si>
  <si>
    <t xml:space="preserve">営業</t>
  </si>
  <si>
    <t xml:space="preserve">団体・ツアー名</t>
  </si>
  <si>
    <t xml:space="preserve">Koike</t>
  </si>
  <si>
    <t xml:space="preserve">Miyamoto</t>
  </si>
  <si>
    <t xml:space="preserve">郵送</t>
  </si>
  <si>
    <t xml:space="preserve">到着時刻</t>
  </si>
  <si>
    <t xml:space="preserve">国籍</t>
  </si>
  <si>
    <t xml:space="preserve">Tour Number</t>
  </si>
  <si>
    <r>
      <rPr>
        <sz val="8"/>
        <color theme="1"/>
        <rFont val="WenQuanYi Zen Hei"/>
        <family val="2"/>
      </rPr>
      <t xml:space="preserve">泊数</t>
    </r>
    <r>
      <rPr>
        <sz val="8"/>
        <color theme="1"/>
        <rFont val="ＭＳ 明朝"/>
        <family val="1"/>
        <charset val="128"/>
      </rPr>
      <t xml:space="preserve">(</t>
    </r>
    <r>
      <rPr>
        <sz val="8"/>
        <color theme="1"/>
        <rFont val="WenQuanYi Zen Hei"/>
        <family val="2"/>
      </rPr>
      <t xml:space="preserve">数量</t>
    </r>
    <r>
      <rPr>
        <sz val="8"/>
        <color theme="1"/>
        <rFont val="ＭＳ 明朝"/>
        <family val="1"/>
        <charset val="128"/>
      </rPr>
      <t xml:space="preserve">)</t>
    </r>
  </si>
  <si>
    <t xml:space="preserve">計</t>
  </si>
  <si>
    <t xml:space="preserve">送付期日</t>
  </si>
  <si>
    <r>
      <rPr>
        <b val="true"/>
        <sz val="6"/>
        <color theme="1"/>
        <rFont val="WenQuanYi Zen Hei"/>
        <family val="2"/>
      </rPr>
      <t xml:space="preserve">添乗員
</t>
    </r>
    <r>
      <rPr>
        <b val="true"/>
        <sz val="6"/>
        <color theme="1"/>
        <rFont val="ＭＳ 明朝"/>
        <family val="1"/>
        <charset val="128"/>
      </rPr>
      <t xml:space="preserve">Driver</t>
    </r>
  </si>
  <si>
    <t xml:space="preserve">Status</t>
  </si>
  <si>
    <t xml:space="preserve">ツイン１泊夕朝付</t>
  </si>
  <si>
    <t xml:space="preserve">シングル</t>
  </si>
  <si>
    <t xml:space="preserve">C/I</t>
  </si>
  <si>
    <t xml:space="preserve">火</t>
  </si>
  <si>
    <t xml:space="preserve">C/O</t>
  </si>
  <si>
    <t xml:space="preserve">木</t>
  </si>
  <si>
    <t xml:space="preserve">ツイン</t>
  </si>
  <si>
    <t xml:space="preserve">E-mail</t>
  </si>
  <si>
    <r>
      <rPr>
        <sz val="8"/>
        <color theme="1"/>
        <rFont val="WenQuanYi Zen Hei"/>
        <family val="2"/>
      </rPr>
      <t xml:space="preserve">エキストラ</t>
    </r>
    <r>
      <rPr>
        <sz val="8"/>
        <color theme="1"/>
        <rFont val="ＭＳ 明朝"/>
        <family val="1"/>
        <charset val="128"/>
      </rPr>
      <t xml:space="preserve">BED</t>
    </r>
  </si>
  <si>
    <t xml:space="preserve">住所</t>
  </si>
  <si>
    <t xml:space="preserve">電話</t>
  </si>
  <si>
    <t xml:space="preserve">Fax</t>
  </si>
  <si>
    <t xml:space="preserve">★添乗員</t>
  </si>
  <si>
    <t xml:space="preserve">TEL</t>
  </si>
  <si>
    <t xml:space="preserve">08080227221</t>
  </si>
  <si>
    <t xml:space="preserve">Email
Fax</t>
  </si>
  <si>
    <r>
      <rPr>
        <b val="true"/>
        <sz val="8"/>
        <color theme="1"/>
        <rFont val="ＭＳ 明朝"/>
        <family val="1"/>
        <charset val="128"/>
      </rPr>
      <t xml:space="preserve">Room</t>
    </r>
    <r>
      <rPr>
        <b val="true"/>
        <sz val="8"/>
        <color theme="1"/>
        <rFont val="WenQuanYi Zen Hei"/>
        <family val="2"/>
      </rPr>
      <t xml:space="preserve">　</t>
    </r>
    <r>
      <rPr>
        <b val="true"/>
        <sz val="8"/>
        <color theme="1"/>
        <rFont val="ＭＳ 明朝"/>
        <family val="1"/>
        <charset val="128"/>
      </rPr>
      <t xml:space="preserve">Type</t>
    </r>
  </si>
  <si>
    <t xml:space="preserve">Pax</t>
  </si>
  <si>
    <t xml:space="preserve">Rate</t>
  </si>
  <si>
    <t xml:space="preserve">RmTTL</t>
  </si>
  <si>
    <t xml:space="preserve">Rate Total</t>
  </si>
  <si>
    <r>
      <rPr>
        <sz val="8"/>
        <color theme="1"/>
        <rFont val="WenQuanYi Zen Hei"/>
        <family val="2"/>
      </rPr>
      <t xml:space="preserve">添乗員</t>
    </r>
    <r>
      <rPr>
        <sz val="8"/>
        <color theme="1"/>
        <rFont val="ＭＳ 明朝"/>
        <family val="1"/>
        <charset val="128"/>
      </rPr>
      <t xml:space="preserve">/</t>
    </r>
    <r>
      <rPr>
        <sz val="8"/>
        <color theme="1"/>
        <rFont val="WenQuanYi Zen Hei"/>
        <family val="2"/>
      </rPr>
      <t xml:space="preserve">乗務員</t>
    </r>
  </si>
  <si>
    <t xml:space="preserve">消費税</t>
  </si>
  <si>
    <r>
      <rPr>
        <sz val="8"/>
        <color theme="1"/>
        <rFont val="ＭＳ 明朝"/>
        <family val="1"/>
        <charset val="128"/>
      </rPr>
      <t xml:space="preserve">*10%</t>
    </r>
    <r>
      <rPr>
        <sz val="8"/>
        <color theme="1"/>
        <rFont val="WenQuanYi Zen Hei"/>
        <family val="2"/>
      </rPr>
      <t xml:space="preserve">にて計算</t>
    </r>
  </si>
  <si>
    <t xml:space="preserve">昼食 </t>
  </si>
  <si>
    <t xml:space="preserve">Total</t>
  </si>
  <si>
    <t xml:space="preserve">合計</t>
  </si>
  <si>
    <r>
      <rPr>
        <sz val="8"/>
        <color theme="1"/>
        <rFont val="ＭＳ 明朝"/>
        <family val="1"/>
        <charset val="128"/>
      </rPr>
      <t xml:space="preserve">PKG</t>
    </r>
    <r>
      <rPr>
        <sz val="8"/>
        <color theme="1"/>
        <rFont val="WenQuanYi Zen Hei"/>
        <family val="2"/>
      </rPr>
      <t xml:space="preserve">料金（税別）</t>
    </r>
  </si>
  <si>
    <t xml:space="preserve">１日目</t>
  </si>
  <si>
    <t xml:space="preserve">２日目</t>
  </si>
  <si>
    <t xml:space="preserve">３日目</t>
  </si>
  <si>
    <r>
      <rPr>
        <sz val="8"/>
        <color theme="1"/>
        <rFont val="ＭＳ 明朝"/>
        <family val="1"/>
        <charset val="128"/>
      </rPr>
      <t xml:space="preserve">7:00</t>
    </r>
    <r>
      <rPr>
        <sz val="8"/>
        <color theme="1"/>
        <rFont val="WenQuanYi Zen Hei"/>
        <family val="2"/>
      </rPr>
      <t xml:space="preserve">～</t>
    </r>
  </si>
  <si>
    <t xml:space="preserve">昼食</t>
  </si>
  <si>
    <t xml:space="preserve">宴会・メモ</t>
  </si>
  <si>
    <t xml:space="preserve">フロント
チェック欄</t>
  </si>
  <si>
    <r>
      <rPr>
        <sz val="8"/>
        <color theme="1"/>
        <rFont val="ＭＳ 明朝"/>
        <family val="1"/>
        <charset val="128"/>
      </rPr>
      <t xml:space="preserve">&lt;2</t>
    </r>
    <r>
      <rPr>
        <sz val="8"/>
        <color theme="1"/>
        <rFont val="WenQuanYi Zen Hei"/>
        <family val="2"/>
      </rPr>
      <t xml:space="preserve">日前</t>
    </r>
    <r>
      <rPr>
        <sz val="8"/>
        <color theme="1"/>
        <rFont val="ＭＳ 明朝"/>
        <family val="1"/>
        <charset val="128"/>
      </rPr>
      <t xml:space="preserve">&gt; </t>
    </r>
    <r>
      <rPr>
        <sz val="8"/>
        <color theme="1"/>
        <rFont val="WenQuanYi Zen Hei"/>
        <family val="2"/>
      </rPr>
      <t xml:space="preserve">　 □館内案内作成　□名前シール作成　□部屋割り連絡</t>
    </r>
  </si>
  <si>
    <r>
      <rPr>
        <sz val="8"/>
        <color theme="1"/>
        <rFont val="WenQuanYi Zen Hei"/>
        <family val="2"/>
      </rPr>
      <t xml:space="preserve">担当 </t>
    </r>
    <r>
      <rPr>
        <sz val="8"/>
        <color theme="1"/>
        <rFont val="ＭＳ 明朝"/>
        <family val="1"/>
        <charset val="128"/>
      </rPr>
      <t xml:space="preserve">: </t>
    </r>
  </si>
  <si>
    <r>
      <rPr>
        <sz val="8"/>
        <color rgb="FFFF0000"/>
        <rFont val="ＭＳ 明朝"/>
        <family val="1"/>
        <charset val="128"/>
      </rPr>
      <t xml:space="preserve">           □T/C</t>
    </r>
    <r>
      <rPr>
        <sz val="8"/>
        <color rgb="FFFF0000"/>
        <rFont val="WenQuanYi Zen Hei"/>
        <family val="2"/>
      </rPr>
      <t xml:space="preserve">案内　夕食</t>
    </r>
    <r>
      <rPr>
        <sz val="8"/>
        <color rgb="FFFF0000"/>
        <rFont val="ＭＳ 明朝"/>
        <family val="1"/>
        <charset val="128"/>
      </rPr>
      <t xml:space="preserve">(</t>
    </r>
    <r>
      <rPr>
        <sz val="8"/>
        <color rgb="FFFF0000"/>
        <rFont val="WenQuanYi Zen Hei"/>
        <family val="2"/>
      </rPr>
      <t xml:space="preserve">プレート</t>
    </r>
    <r>
      <rPr>
        <sz val="8"/>
        <color rgb="FFFF0000"/>
        <rFont val="ＭＳ 明朝"/>
        <family val="1"/>
        <charset val="128"/>
      </rPr>
      <t xml:space="preserve">00:00)</t>
    </r>
    <r>
      <rPr>
        <sz val="8"/>
        <color rgb="FFFF0000"/>
        <rFont val="WenQuanYi Zen Hei"/>
        <family val="2"/>
      </rPr>
      <t xml:space="preserve">　朝食</t>
    </r>
    <r>
      <rPr>
        <sz val="8"/>
        <color rgb="FFFF0000"/>
        <rFont val="ＭＳ 明朝"/>
        <family val="1"/>
        <charset val="128"/>
      </rPr>
      <t xml:space="preserve">(</t>
    </r>
    <r>
      <rPr>
        <sz val="8"/>
        <color rgb="FFFF0000"/>
        <rFont val="WenQuanYi Zen Hei"/>
        <family val="2"/>
      </rPr>
      <t xml:space="preserve">プレート</t>
    </r>
    <r>
      <rPr>
        <sz val="8"/>
        <color rgb="FFFF0000"/>
        <rFont val="ＭＳ 明朝"/>
        <family val="1"/>
        <charset val="128"/>
      </rPr>
      <t xml:space="preserve">)</t>
    </r>
    <r>
      <rPr>
        <sz val="8"/>
        <color rgb="FFFF0000"/>
        <rFont val="WenQuanYi Zen Hei"/>
        <family val="2"/>
      </rPr>
      <t xml:space="preserve">　六花</t>
    </r>
    <r>
      <rPr>
        <sz val="8"/>
        <color rgb="FFFF0000"/>
        <rFont val="ＭＳ 明朝"/>
        <family val="1"/>
        <charset val="128"/>
      </rPr>
      <t xml:space="preserve">(18:00)</t>
    </r>
    <r>
      <rPr>
        <sz val="8"/>
        <color rgb="FFFF0000"/>
        <rFont val="WenQuanYi Zen Hei"/>
        <family val="2"/>
      </rPr>
      <t xml:space="preserve">　到着時間</t>
    </r>
    <r>
      <rPr>
        <sz val="8"/>
        <color rgb="FFFF0000"/>
        <rFont val="ＭＳ 明朝"/>
        <family val="1"/>
        <charset val="128"/>
      </rPr>
      <t xml:space="preserve">(00:00)
</t>
    </r>
    <r>
      <rPr>
        <sz val="8"/>
        <color rgb="FFFF0000"/>
        <rFont val="WenQuanYi Zen Hei"/>
        <family val="2"/>
      </rPr>
      <t xml:space="preserve">　　　　　            人数</t>
    </r>
    <r>
      <rPr>
        <sz val="8"/>
        <color rgb="FFFF0000"/>
        <rFont val="ＭＳ 明朝"/>
        <family val="1"/>
        <charset val="128"/>
      </rPr>
      <t xml:space="preserve">()</t>
    </r>
    <r>
      <rPr>
        <sz val="8"/>
        <color rgb="FFFF0000"/>
        <rFont val="WenQuanYi Zen Hei"/>
        <family val="2"/>
      </rPr>
      <t xml:space="preserve">　到着棟</t>
    </r>
    <r>
      <rPr>
        <sz val="8"/>
        <color rgb="FFFF0000"/>
        <rFont val="ＭＳ 明朝"/>
        <family val="1"/>
        <charset val="128"/>
      </rPr>
      <t xml:space="preserve">()</t>
    </r>
    <r>
      <rPr>
        <sz val="8"/>
        <color rgb="FFFF0000"/>
        <rFont val="WenQuanYi Zen Hei"/>
        <family val="2"/>
      </rPr>
      <t xml:space="preserve">　案内方法</t>
    </r>
    <r>
      <rPr>
        <sz val="8"/>
        <color rgb="FFFF0000"/>
        <rFont val="ＭＳ 明朝"/>
        <family val="1"/>
        <charset val="128"/>
      </rPr>
      <t xml:space="preserve">()</t>
    </r>
    <r>
      <rPr>
        <sz val="8"/>
        <color rgb="FFFF0000"/>
        <rFont val="WenQuanYi Zen Hei"/>
        <family val="2"/>
      </rPr>
      <t xml:space="preserve">　インター連絡</t>
    </r>
    <r>
      <rPr>
        <sz val="8"/>
        <color rgb="FFFF0000"/>
        <rFont val="ＭＳ 明朝"/>
        <family val="1"/>
        <charset val="128"/>
      </rPr>
      <t xml:space="preserve">()</t>
    </r>
    <r>
      <rPr>
        <sz val="8"/>
        <color rgb="FFFF0000"/>
        <rFont val="WenQuanYi Zen Hei"/>
        <family val="2"/>
      </rPr>
      <t xml:space="preserve">　フロント電話番号</t>
    </r>
    <r>
      <rPr>
        <sz val="8"/>
        <color rgb="FFFF0000"/>
        <rFont val="ＭＳ 明朝"/>
        <family val="1"/>
        <charset val="128"/>
      </rPr>
      <t xml:space="preserve">()</t>
    </r>
  </si>
  <si>
    <r>
      <rPr>
        <sz val="8"/>
        <color theme="1"/>
        <rFont val="ＭＳ 明朝"/>
        <family val="1"/>
        <charset val="128"/>
      </rPr>
      <t xml:space="preserve">&lt;1</t>
    </r>
    <r>
      <rPr>
        <sz val="8"/>
        <color theme="1"/>
        <rFont val="WenQuanYi Zen Hei"/>
        <family val="2"/>
      </rPr>
      <t xml:space="preserve">日前</t>
    </r>
    <r>
      <rPr>
        <sz val="8"/>
        <color theme="1"/>
        <rFont val="ＭＳ 明朝"/>
        <family val="1"/>
        <charset val="128"/>
      </rPr>
      <t xml:space="preserve">&gt;  </t>
    </r>
    <r>
      <rPr>
        <sz val="8"/>
        <color theme="1"/>
        <rFont val="WenQuanYi Zen Hei"/>
        <family val="2"/>
      </rPr>
      <t xml:space="preserve">　□料金確認　□館内案内印刷</t>
    </r>
  </si>
  <si>
    <r>
      <rPr>
        <sz val="8"/>
        <color theme="1"/>
        <rFont val="ＭＳ 明朝"/>
        <family val="1"/>
        <charset val="128"/>
      </rPr>
      <t xml:space="preserve">&lt;</t>
    </r>
    <r>
      <rPr>
        <sz val="8"/>
        <color theme="1"/>
        <rFont val="WenQuanYi Zen Hei"/>
        <family val="2"/>
      </rPr>
      <t xml:space="preserve">当日 </t>
    </r>
    <r>
      <rPr>
        <sz val="8"/>
        <color theme="1"/>
        <rFont val="ＭＳ 明朝"/>
        <family val="1"/>
        <charset val="128"/>
      </rPr>
      <t xml:space="preserve">&gt; </t>
    </r>
    <r>
      <rPr>
        <sz val="8"/>
        <color theme="1"/>
        <rFont val="WenQuanYi Zen Hei"/>
        <family val="2"/>
      </rPr>
      <t xml:space="preserve">　 □名前シール印刷　□</t>
    </r>
    <r>
      <rPr>
        <sz val="8"/>
        <color theme="1"/>
        <rFont val="ＭＳ 明朝"/>
        <family val="1"/>
        <charset val="128"/>
      </rPr>
      <t xml:space="preserve">T/C</t>
    </r>
    <r>
      <rPr>
        <sz val="8"/>
        <color theme="1"/>
        <rFont val="WenQuanYi Zen Hei"/>
        <family val="2"/>
      </rPr>
      <t xml:space="preserve">到着時間確認</t>
    </r>
  </si>
  <si>
    <t xml:space="preserve">その他 伝達事項</t>
  </si>
  <si>
    <t xml:space="preserve">Group List</t>
  </si>
  <si>
    <t xml:space="preserve">Group No.</t>
  </si>
  <si>
    <t xml:space="preserve">Group Name</t>
  </si>
  <si>
    <t xml:space="preserve">Agent / Corporate</t>
  </si>
  <si>
    <t xml:space="preserve">先方担当者</t>
  </si>
  <si>
    <t xml:space="preserve">電話番号</t>
  </si>
  <si>
    <t xml:space="preserve">Tour Type</t>
  </si>
  <si>
    <t xml:space="preserve">Nationalily</t>
  </si>
  <si>
    <t xml:space="preserve">Sales</t>
  </si>
  <si>
    <t xml:space="preserve">T/C</t>
  </si>
  <si>
    <t xml:space="preserve">Dri</t>
  </si>
  <si>
    <t xml:space="preserve">Room TTL</t>
  </si>
  <si>
    <t xml:space="preserve">Guest pax</t>
  </si>
  <si>
    <t xml:space="preserve">ルームチャージ税別</t>
  </si>
  <si>
    <t xml:space="preserve">【夜】ﾃﾅﾝﾄ</t>
  </si>
  <si>
    <t xml:space="preserve">【朝】ﾃﾅﾝﾄ</t>
  </si>
  <si>
    <t xml:space="preserve">バス到着時刻</t>
  </si>
  <si>
    <t xml:space="preserve">バス出発時刻</t>
  </si>
  <si>
    <t xml:space="preserve">添乗員名</t>
  </si>
  <si>
    <r>
      <rPr>
        <sz val="11"/>
        <rFont val="WenQuanYi Zen Hei"/>
        <family val="2"/>
      </rPr>
      <t xml:space="preserve">添乗員</t>
    </r>
    <r>
      <rPr>
        <sz val="11"/>
        <rFont val="ＭＳ Ｐゴシック"/>
        <family val="3"/>
        <charset val="128"/>
      </rPr>
      <t xml:space="preserve">TEL</t>
    </r>
  </si>
  <si>
    <t xml:space="preserve">コミッション</t>
  </si>
  <si>
    <r>
      <rPr>
        <sz val="11"/>
        <rFont val="Calibri"/>
        <family val="2"/>
        <charset val="1"/>
      </rPr>
      <t xml:space="preserve">Remarks</t>
    </r>
    <r>
      <rPr>
        <sz val="11"/>
        <rFont val="WenQuanYi Zen Hei"/>
        <family val="2"/>
      </rPr>
      <t xml:space="preserve">（営業メモ用）</t>
    </r>
  </si>
  <si>
    <t xml:space="preserve">2026-049</t>
  </si>
  <si>
    <r>
      <rPr>
        <sz val="10"/>
        <color theme="1"/>
        <rFont val="WenQuanYi Zen Hei"/>
        <family val="2"/>
      </rPr>
      <t xml:space="preserve">株式会社　</t>
    </r>
    <r>
      <rPr>
        <sz val="10"/>
        <color theme="1"/>
        <rFont val="ＭＳ Ｐゴシック"/>
        <family val="3"/>
        <charset val="128"/>
      </rPr>
      <t xml:space="preserve">INPEX</t>
    </r>
    <r>
      <rPr>
        <sz val="10"/>
        <color theme="1"/>
        <rFont val="WenQuanYi Zen Hei"/>
        <family val="2"/>
      </rPr>
      <t xml:space="preserve">　</t>
    </r>
    <r>
      <rPr>
        <sz val="10"/>
        <color theme="1"/>
        <rFont val="ＭＳ Ｐゴシック"/>
        <family val="3"/>
        <charset val="128"/>
      </rPr>
      <t xml:space="preserve">JAPAN</t>
    </r>
    <r>
      <rPr>
        <sz val="10"/>
        <color theme="1"/>
        <rFont val="WenQuanYi Zen Hei"/>
        <family val="2"/>
      </rPr>
      <t xml:space="preserve">　宮永勝　様</t>
    </r>
  </si>
  <si>
    <t xml:space="preserve">お客様を直江津燃料基地へご案内</t>
  </si>
  <si>
    <t xml:space="preserve">直受け</t>
  </si>
  <si>
    <t xml:space="preserve">宮永勝　社長</t>
  </si>
  <si>
    <r>
      <rPr>
        <sz val="11"/>
        <color theme="1"/>
        <rFont val="WenQuanYi Zen Hei"/>
        <family val="2"/>
      </rPr>
      <t xml:space="preserve">〒</t>
    </r>
    <r>
      <rPr>
        <sz val="11"/>
        <color theme="1"/>
        <rFont val="ＭＳ Ｐゴシック"/>
        <family val="3"/>
        <charset val="128"/>
      </rPr>
      <t xml:space="preserve">107-6332</t>
    </r>
    <r>
      <rPr>
        <sz val="11"/>
        <color theme="1"/>
        <rFont val="WenQuanYi Zen Hei"/>
        <family val="2"/>
      </rPr>
      <t xml:space="preserve">　東京都港区赤坂</t>
    </r>
    <r>
      <rPr>
        <sz val="11"/>
        <color theme="1"/>
        <rFont val="ＭＳ Ｐゴシック"/>
        <family val="3"/>
        <charset val="128"/>
      </rPr>
      <t xml:space="preserve">5-3-1</t>
    </r>
    <r>
      <rPr>
        <sz val="11"/>
        <color theme="1"/>
        <rFont val="WenQuanYi Zen Hei"/>
        <family val="2"/>
      </rPr>
      <t xml:space="preserve">　赤坂</t>
    </r>
    <r>
      <rPr>
        <sz val="11"/>
        <color theme="1"/>
        <rFont val="ＭＳ Ｐゴシック"/>
        <family val="3"/>
        <charset val="128"/>
      </rPr>
      <t xml:space="preserve">Biz</t>
    </r>
    <r>
      <rPr>
        <sz val="11"/>
        <color theme="1"/>
        <rFont val="WenQuanYi Zen Hei"/>
        <family val="2"/>
      </rPr>
      <t xml:space="preserve">タワー</t>
    </r>
  </si>
  <si>
    <t xml:space="preserve">03-3137-7539</t>
  </si>
  <si>
    <t xml:space="preserve">masaru.miyanaga@inpex.co.jp</t>
  </si>
  <si>
    <t xml:space="preserve">MICE</t>
  </si>
  <si>
    <t xml:space="preserve">Japan</t>
  </si>
  <si>
    <t xml:space="preserve">綿貫</t>
  </si>
  <si>
    <t xml:space="preserve">プレート</t>
  </si>
  <si>
    <t xml:space="preserve">現払い</t>
  </si>
  <si>
    <t xml:space="preserve">2026-046</t>
  </si>
  <si>
    <t xml:space="preserve">長岡花火大会</t>
  </si>
  <si>
    <t xml:space="preserve">インバウンド募集</t>
  </si>
  <si>
    <t xml:space="preserve">㈱ジャパンホリデートラベル</t>
  </si>
  <si>
    <r>
      <rPr>
        <sz val="11"/>
        <color theme="1"/>
        <rFont val="WenQuanYi Zen Hei"/>
        <family val="2"/>
      </rPr>
      <t xml:space="preserve">王（</t>
    </r>
    <r>
      <rPr>
        <sz val="11"/>
        <color theme="1"/>
        <rFont val="ＭＳ Ｐゴシック"/>
        <family val="3"/>
        <charset val="128"/>
      </rPr>
      <t xml:space="preserve">Wang</t>
    </r>
    <r>
      <rPr>
        <sz val="11"/>
        <color theme="1"/>
        <rFont val="WenQuanYi Zen Hei"/>
        <family val="2"/>
      </rPr>
      <t xml:space="preserve">　</t>
    </r>
    <r>
      <rPr>
        <sz val="11"/>
        <color theme="1"/>
        <rFont val="ＭＳ Ｐゴシック"/>
        <family val="3"/>
        <charset val="128"/>
      </rPr>
      <t xml:space="preserve">Wei</t>
    </r>
    <r>
      <rPr>
        <sz val="11"/>
        <color theme="1"/>
        <rFont val="WenQuanYi Zen Hei"/>
        <family val="2"/>
      </rPr>
      <t xml:space="preserve">）</t>
    </r>
  </si>
  <si>
    <r>
      <rPr>
        <sz val="11"/>
        <color theme="1"/>
        <rFont val="WenQuanYi Zen Hei"/>
        <family val="2"/>
      </rPr>
      <t xml:space="preserve">〒</t>
    </r>
    <r>
      <rPr>
        <sz val="11"/>
        <color theme="1"/>
        <rFont val="ＭＳ Ｐゴシック"/>
        <family val="3"/>
        <charset val="128"/>
      </rPr>
      <t xml:space="preserve">163-1309</t>
    </r>
    <r>
      <rPr>
        <sz val="11"/>
        <color theme="1"/>
        <rFont val="WenQuanYi Zen Hei"/>
        <family val="2"/>
      </rPr>
      <t xml:space="preserve">　東京都新宿区西新宿</t>
    </r>
    <r>
      <rPr>
        <sz val="11"/>
        <color theme="1"/>
        <rFont val="ＭＳ Ｐゴシック"/>
        <family val="3"/>
        <charset val="128"/>
      </rPr>
      <t xml:space="preserve">6‐5‐1</t>
    </r>
    <r>
      <rPr>
        <sz val="11"/>
        <color theme="1"/>
        <rFont val="WenQuanYi Zen Hei"/>
        <family val="2"/>
      </rPr>
      <t xml:space="preserve">　新宿アイランドタワー</t>
    </r>
    <r>
      <rPr>
        <sz val="11"/>
        <color theme="1"/>
        <rFont val="ＭＳ Ｐゴシック"/>
        <family val="3"/>
        <charset val="128"/>
      </rPr>
      <t xml:space="preserve">9F</t>
    </r>
  </si>
  <si>
    <t xml:space="preserve">050-5490-1233</t>
  </si>
  <si>
    <t xml:space="preserve">インバウンド</t>
  </si>
  <si>
    <t xml:space="preserve">複数国</t>
  </si>
  <si>
    <t xml:space="preserve">畑村</t>
  </si>
  <si>
    <t xml:space="preserve">―</t>
  </si>
  <si>
    <t xml:space="preserve">Plate</t>
  </si>
  <si>
    <t xml:space="preserve">2026-001</t>
  </si>
  <si>
    <r>
      <rPr>
        <sz val="10"/>
        <color theme="1"/>
        <rFont val="WenQuanYi Zen Hei"/>
        <family val="2"/>
      </rPr>
      <t xml:space="preserve">日本骨免疫学会　</t>
    </r>
    <r>
      <rPr>
        <sz val="10"/>
        <color theme="1"/>
        <rFont val="ＭＳ Ｐゴシック"/>
        <family val="2"/>
        <charset val="128"/>
      </rPr>
      <t xml:space="preserve">2026 </t>
    </r>
    <r>
      <rPr>
        <sz val="10"/>
        <color theme="1"/>
        <rFont val="WenQuanYi Zen Hei"/>
        <family val="2"/>
      </rPr>
      <t xml:space="preserve">学会</t>
    </r>
  </si>
  <si>
    <t xml:space="preserve">学会開催　</t>
  </si>
  <si>
    <t xml:space="preserve">森重様</t>
  </si>
  <si>
    <t xml:space="preserve">090-1947-9456</t>
  </si>
  <si>
    <t xml:space="preserve">osteoimmunology.society@gmail.com</t>
  </si>
  <si>
    <t xml:space="preserve">前払い</t>
  </si>
  <si>
    <t xml:space="preserve">2026-002</t>
  </si>
  <si>
    <t xml:space="preserve">仮</t>
  </si>
  <si>
    <r>
      <rPr>
        <sz val="10"/>
        <color theme="1"/>
        <rFont val="ＭＳ Ｐゴシック"/>
        <family val="2"/>
        <charset val="128"/>
      </rPr>
      <t xml:space="preserve">2026 ALOHA RNL TOUR #5 </t>
    </r>
    <r>
      <rPr>
        <sz val="10"/>
        <color theme="1"/>
        <rFont val="WenQuanYi Zen Hei"/>
        <family val="2"/>
      </rPr>
      <t xml:space="preserve">ハワイ在住日日系在住</t>
    </r>
  </si>
  <si>
    <t xml:space="preserve">米国日系ハワイ来日団体　観光旅行</t>
  </si>
  <si>
    <r>
      <rPr>
        <sz val="11"/>
        <color theme="1"/>
        <rFont val="ＭＳ Ｐゴシック"/>
        <family val="3"/>
        <charset val="128"/>
      </rPr>
      <t xml:space="preserve">Air Apartment </t>
    </r>
    <r>
      <rPr>
        <sz val="11"/>
        <color theme="1"/>
        <rFont val="WenQuanYi Zen Hei"/>
        <family val="2"/>
      </rPr>
      <t xml:space="preserve">ご担当　後藤様</t>
    </r>
  </si>
  <si>
    <t xml:space="preserve">後藤</t>
  </si>
  <si>
    <r>
      <rPr>
        <sz val="12"/>
        <color rgb="FF222222"/>
        <rFont val="WenQuanYi Zen Hei"/>
        <family val="2"/>
      </rPr>
      <t xml:space="preserve">東京都新宿区西新宿</t>
    </r>
    <r>
      <rPr>
        <sz val="12"/>
        <color rgb="FF222222"/>
        <rFont val="ＭＳ Ｐゴシック"/>
        <family val="3"/>
        <charset val="128"/>
      </rPr>
      <t xml:space="preserve">8-11-10 </t>
    </r>
    <r>
      <rPr>
        <sz val="12"/>
        <color rgb="FF222222"/>
        <rFont val="WenQuanYi Zen Hei"/>
        <family val="2"/>
      </rPr>
      <t xml:space="preserve">星野ビル</t>
    </r>
    <r>
      <rPr>
        <sz val="12"/>
        <color rgb="FF222222"/>
        <rFont val="ＭＳ Ｐゴシック"/>
        <family val="3"/>
        <charset val="128"/>
      </rPr>
      <t xml:space="preserve">3</t>
    </r>
    <r>
      <rPr>
        <sz val="12"/>
        <color rgb="FF222222"/>
        <rFont val="WenQuanYi Zen Hei"/>
        <family val="2"/>
      </rPr>
      <t xml:space="preserve">階</t>
    </r>
  </si>
  <si>
    <t xml:space="preserve">050-3488-5944</t>
  </si>
  <si>
    <t xml:space="preserve">office@air-atokyo.com</t>
  </si>
  <si>
    <t xml:space="preserve">USA</t>
  </si>
  <si>
    <t xml:space="preserve">watanuki</t>
  </si>
  <si>
    <t xml:space="preserve">手仕舞は１月末日　人数調整は７日前</t>
  </si>
  <si>
    <t xml:space="preserve">2026-003</t>
  </si>
  <si>
    <r>
      <rPr>
        <sz val="11"/>
        <color theme="1"/>
        <rFont val="ＭＳ Ｐゴシック"/>
        <family val="3"/>
        <charset val="128"/>
      </rPr>
      <t xml:space="preserve">GLOBIS AS</t>
    </r>
    <r>
      <rPr>
        <sz val="11"/>
        <color theme="1"/>
        <rFont val="WenQuanYi Zen Hei"/>
        <family val="2"/>
      </rPr>
      <t xml:space="preserve">リトリート（ </t>
    </r>
    <r>
      <rPr>
        <sz val="11"/>
        <color theme="1"/>
        <rFont val="ＭＳ Ｐゴシック"/>
        <family val="3"/>
        <charset val="128"/>
      </rPr>
      <t xml:space="preserve">GROUP①</t>
    </r>
    <r>
      <rPr>
        <sz val="11"/>
        <color theme="1"/>
        <rFont val="WenQuanYi Zen Hei"/>
        <family val="2"/>
      </rPr>
      <t xml:space="preserve">）</t>
    </r>
  </si>
  <si>
    <r>
      <rPr>
        <sz val="10"/>
        <color theme="1"/>
        <rFont val="ＭＳ Ｐゴシック"/>
        <family val="2"/>
        <charset val="128"/>
      </rPr>
      <t xml:space="preserve">MICE (</t>
    </r>
    <r>
      <rPr>
        <sz val="10"/>
        <color theme="1"/>
        <rFont val="WenQuanYi Zen Hei"/>
        <family val="2"/>
      </rPr>
      <t xml:space="preserve">募集型</t>
    </r>
    <r>
      <rPr>
        <sz val="10"/>
        <color theme="1"/>
        <rFont val="ＭＳ Ｐゴシック"/>
        <family val="2"/>
        <charset val="128"/>
      </rPr>
      <t xml:space="preserve">)</t>
    </r>
  </si>
  <si>
    <t xml:space="preserve">グロービス</t>
  </si>
  <si>
    <t xml:space="preserve">青木</t>
  </si>
  <si>
    <t xml:space="preserve">東京都千代田区二番町５番地１住友不動産麹町ビル</t>
  </si>
  <si>
    <t xml:space="preserve">070-3762-2757</t>
  </si>
  <si>
    <t xml:space="preserve">mie.aoki@globis.co.jp</t>
  </si>
  <si>
    <t xml:space="preserve">横井</t>
  </si>
  <si>
    <t xml:space="preserve">2026-004</t>
  </si>
  <si>
    <r>
      <rPr>
        <sz val="11"/>
        <color theme="1"/>
        <rFont val="ＭＳ Ｐゴシック"/>
        <family val="3"/>
        <charset val="128"/>
      </rPr>
      <t xml:space="preserve">GLOBIS AS</t>
    </r>
    <r>
      <rPr>
        <sz val="11"/>
        <color theme="1"/>
        <rFont val="WenQuanYi Zen Hei"/>
        <family val="2"/>
      </rPr>
      <t xml:space="preserve">リトリート（ </t>
    </r>
    <r>
      <rPr>
        <sz val="11"/>
        <color theme="1"/>
        <rFont val="ＭＳ Ｐゴシック"/>
        <family val="3"/>
        <charset val="128"/>
      </rPr>
      <t xml:space="preserve">GROUP②</t>
    </r>
    <r>
      <rPr>
        <sz val="11"/>
        <color theme="1"/>
        <rFont val="WenQuanYi Zen Hei"/>
        <family val="2"/>
      </rPr>
      <t xml:space="preserve">）</t>
    </r>
  </si>
  <si>
    <t xml:space="preserve">2026-005</t>
  </si>
  <si>
    <t xml:space="preserve">Gendron Ski Tour</t>
  </si>
  <si>
    <t xml:space="preserve">団体ツアー</t>
  </si>
  <si>
    <t xml:space="preserve">Gendron Ski</t>
  </si>
  <si>
    <t xml:space="preserve">Mélanie Dumont-Roussin </t>
  </si>
  <si>
    <t xml:space="preserve">1465, boul. Mgr-Langlois, Salaberry-de-Valleyfield (QC) Canada, J6S 1C2</t>
  </si>
  <si>
    <t xml:space="preserve">450-373-8747</t>
  </si>
  <si>
    <t xml:space="preserve">mdroussin@voyagesgendron.com</t>
  </si>
  <si>
    <t xml:space="preserve">ツアー</t>
  </si>
  <si>
    <t xml:space="preserve">Australia</t>
  </si>
  <si>
    <t xml:space="preserve">2026-006</t>
  </si>
  <si>
    <t xml:space="preserve">2026-007</t>
  </si>
  <si>
    <t xml:space="preserve">2026-008</t>
  </si>
  <si>
    <t xml:space="preserve">富洋海運　社員旅行</t>
  </si>
  <si>
    <t xml:space="preserve">MICE </t>
  </si>
  <si>
    <t xml:space="preserve">吉田様</t>
  </si>
  <si>
    <t xml:space="preserve">大阪府大阪市北区堂島２丁目３番８号</t>
  </si>
  <si>
    <t xml:space="preserve">080-3861-4517</t>
  </si>
  <si>
    <t xml:space="preserve">y.yoshida@fuyokkk.co.jp </t>
  </si>
  <si>
    <t xml:space="preserve">事前カード決済</t>
  </si>
  <si>
    <r>
      <rPr>
        <sz val="10"/>
        <color theme="1"/>
        <rFont val="ＭＳ Ｐゴシック"/>
        <family val="3"/>
        <charset val="128"/>
      </rPr>
      <t xml:space="preserve">2025</t>
    </r>
    <r>
      <rPr>
        <sz val="10"/>
        <color theme="1"/>
        <rFont val="WenQuanYi Zen Hei"/>
        <family val="2"/>
      </rPr>
      <t xml:space="preserve">年からのリピーター</t>
    </r>
  </si>
  <si>
    <t xml:space="preserve">2026-009</t>
  </si>
  <si>
    <r>
      <rPr>
        <sz val="10"/>
        <color theme="1"/>
        <rFont val="ＭＳ ゴシック"/>
        <family val="3"/>
        <charset val="128"/>
      </rPr>
      <t xml:space="preserve">Natt</t>
    </r>
    <r>
      <rPr>
        <sz val="10"/>
        <color theme="1"/>
        <rFont val="WenQuanYi Zen Hei"/>
        <family val="2"/>
      </rPr>
      <t xml:space="preserve">様御一行</t>
    </r>
  </si>
  <si>
    <t xml:space="preserve">Powder Ski Japan</t>
  </si>
  <si>
    <t xml:space="preserve">上田様</t>
  </si>
  <si>
    <t xml:space="preserve">P.O.Box 105155, Auckland City, 1143, New Zealand</t>
  </si>
  <si>
    <t xml:space="preserve">09 281 2143</t>
  </si>
  <si>
    <t xml:space="preserve">mail@powderskijapan.com</t>
  </si>
  <si>
    <t xml:space="preserve">Thai</t>
  </si>
  <si>
    <t xml:space="preserve">2026-010</t>
  </si>
  <si>
    <r>
      <rPr>
        <sz val="10"/>
        <color theme="1"/>
        <rFont val="ＭＳ Ｐゴシック"/>
        <family val="3"/>
        <charset val="128"/>
      </rPr>
      <t xml:space="preserve">260112</t>
    </r>
    <r>
      <rPr>
        <sz val="10"/>
        <color theme="1"/>
        <rFont val="WenQuanYi Zen Hei"/>
        <family val="2"/>
      </rPr>
      <t xml:space="preserve">孫先生ご一行</t>
    </r>
  </si>
  <si>
    <r>
      <rPr>
        <sz val="10.5"/>
        <color rgb="FF000000"/>
        <rFont val="ＭＳ Ｐゴシック"/>
        <family val="3"/>
        <charset val="128"/>
      </rPr>
      <t xml:space="preserve">KNT </t>
    </r>
    <r>
      <rPr>
        <sz val="10.5"/>
        <color rgb="FF000000"/>
        <rFont val="WenQuanYi Zen Hei"/>
        <family val="2"/>
      </rPr>
      <t xml:space="preserve">仙台支店</t>
    </r>
  </si>
  <si>
    <t xml:space="preserve">ユー様</t>
  </si>
  <si>
    <r>
      <rPr>
        <sz val="11"/>
        <color theme="1"/>
        <rFont val="WenQuanYi Zen Hei"/>
        <family val="2"/>
      </rPr>
      <t xml:space="preserve">宮城県仙台市青葉区中央</t>
    </r>
    <r>
      <rPr>
        <sz val="11"/>
        <color theme="1"/>
        <rFont val="ＭＳ Ｐゴシック"/>
        <family val="3"/>
        <charset val="128"/>
      </rPr>
      <t xml:space="preserve">4-6-1 SS30</t>
    </r>
    <r>
      <rPr>
        <sz val="11"/>
        <color theme="1"/>
        <rFont val="WenQuanYi Zen Hei"/>
        <family val="2"/>
      </rPr>
      <t xml:space="preserve">　</t>
    </r>
    <r>
      <rPr>
        <sz val="11"/>
        <color theme="1"/>
        <rFont val="ＭＳ Ｐゴシック"/>
        <family val="3"/>
        <charset val="128"/>
      </rPr>
      <t xml:space="preserve">15F</t>
    </r>
  </si>
  <si>
    <t xml:space="preserve">022-222-4141</t>
  </si>
  <si>
    <t xml:space="preserve">t.yudan824@kntct.com</t>
  </si>
  <si>
    <t xml:space="preserve">China</t>
  </si>
  <si>
    <r>
      <rPr>
        <sz val="9"/>
        <color theme="1"/>
        <rFont val="ＭＳ Ｐゴシック"/>
        <family val="3"/>
        <charset val="128"/>
      </rPr>
      <t xml:space="preserve">KNT</t>
    </r>
    <r>
      <rPr>
        <sz val="9"/>
        <color theme="1"/>
        <rFont val="WenQuanYi Zen Hei"/>
        <family val="2"/>
      </rPr>
      <t xml:space="preserve">クーポン</t>
    </r>
  </si>
  <si>
    <t xml:space="preserve">2026-011</t>
  </si>
  <si>
    <t xml:space="preserve">台湾スキーツアー</t>
  </si>
  <si>
    <t xml:space="preserve">募集ツアー</t>
  </si>
  <si>
    <r>
      <rPr>
        <sz val="10.5"/>
        <color rgb="FF000000"/>
        <rFont val="WenQuanYi Zen Hei"/>
        <family val="2"/>
      </rPr>
      <t xml:space="preserve">株式会社</t>
    </r>
    <r>
      <rPr>
        <sz val="10.5"/>
        <color rgb="FF000000"/>
        <rFont val="ＭＳ Ｐゴシック"/>
        <family val="3"/>
        <charset val="128"/>
      </rPr>
      <t xml:space="preserve">YKT</t>
    </r>
  </si>
  <si>
    <t xml:space="preserve">チョウ様</t>
  </si>
  <si>
    <r>
      <rPr>
        <sz val="11"/>
        <color theme="1"/>
        <rFont val="WenQuanYi Zen Hei"/>
        <family val="2"/>
      </rPr>
      <t xml:space="preserve">東京都江東区大島</t>
    </r>
    <r>
      <rPr>
        <sz val="11"/>
        <color theme="1"/>
        <rFont val="ＭＳ Ｐゴシック"/>
        <family val="3"/>
        <charset val="128"/>
      </rPr>
      <t xml:space="preserve">2-26-14</t>
    </r>
  </si>
  <si>
    <t xml:space="preserve">03-5627-7878</t>
  </si>
  <si>
    <t xml:space="preserve">info@ykt88.co.jp</t>
  </si>
  <si>
    <t xml:space="preserve">Taiwan</t>
  </si>
  <si>
    <t xml:space="preserve">事前振り込み</t>
  </si>
  <si>
    <t xml:space="preserve">2026-012</t>
  </si>
  <si>
    <t xml:space="preserve">正式予約</t>
  </si>
  <si>
    <t xml:space="preserve">Japan Package FIT</t>
  </si>
  <si>
    <t xml:space="preserve">FIT</t>
  </si>
  <si>
    <t xml:space="preserve">Japan Package</t>
  </si>
  <si>
    <t xml:space="preserve">Daisuke Mizukoshi</t>
  </si>
  <si>
    <t xml:space="preserve">Add: PO BOX 3026, Asquith, NSW 2077</t>
  </si>
  <si>
    <t xml:space="preserve">dai@japanpackage.com.au</t>
  </si>
  <si>
    <t xml:space="preserve">2026-013</t>
  </si>
  <si>
    <r>
      <rPr>
        <sz val="10"/>
        <color theme="1"/>
        <rFont val="ＭＳ Ｐゴシック"/>
        <family val="2"/>
        <charset val="128"/>
      </rPr>
      <t xml:space="preserve">PAG Japan </t>
    </r>
    <r>
      <rPr>
        <sz val="10"/>
        <color theme="1"/>
        <rFont val="WenQuanYi Zen Hei"/>
        <family val="2"/>
      </rPr>
      <t xml:space="preserve">スキー旅行</t>
    </r>
  </si>
  <si>
    <t xml:space="preserve">社員旅行</t>
  </si>
  <si>
    <r>
      <rPr>
        <sz val="11"/>
        <color theme="1"/>
        <rFont val="ＭＳ Ｐゴシック"/>
        <family val="3"/>
        <charset val="128"/>
      </rPr>
      <t xml:space="preserve">JTB BS</t>
    </r>
    <r>
      <rPr>
        <sz val="11"/>
        <color theme="1"/>
        <rFont val="WenQuanYi Zen Hei"/>
        <family val="2"/>
      </rPr>
      <t xml:space="preserve">第八事業部</t>
    </r>
  </si>
  <si>
    <t xml:space="preserve">打矢様</t>
  </si>
  <si>
    <r>
      <rPr>
        <sz val="11"/>
        <color rgb="FF202124"/>
        <rFont val="WenQuanYi Zen Hei"/>
        <family val="2"/>
      </rPr>
      <t xml:space="preserve">東京都千代田区霞が関</t>
    </r>
    <r>
      <rPr>
        <sz val="11"/>
        <color rgb="FF202124"/>
        <rFont val="ＭＳ ゴシック"/>
        <family val="3"/>
        <charset val="128"/>
      </rPr>
      <t xml:space="preserve">3-2-5 </t>
    </r>
    <r>
      <rPr>
        <sz val="11"/>
        <color rgb="FF202124"/>
        <rFont val="WenQuanYi Zen Hei"/>
        <family val="2"/>
      </rPr>
      <t xml:space="preserve">霞が関ビルディング</t>
    </r>
    <r>
      <rPr>
        <sz val="11"/>
        <color rgb="FF202124"/>
        <rFont val="ＭＳ ゴシック"/>
        <family val="3"/>
        <charset val="128"/>
      </rPr>
      <t xml:space="preserve">23</t>
    </r>
    <r>
      <rPr>
        <sz val="11"/>
        <color rgb="FF202124"/>
        <rFont val="WenQuanYi Zen Hei"/>
        <family val="2"/>
      </rPr>
      <t xml:space="preserve">階</t>
    </r>
  </si>
  <si>
    <t xml:space="preserve">03-6737-9343</t>
  </si>
  <si>
    <t xml:space="preserve">t_uchiya027@jtb.com</t>
  </si>
  <si>
    <r>
      <rPr>
        <sz val="9"/>
        <color theme="1"/>
        <rFont val="ＭＳ Ｐゴシック"/>
        <family val="3"/>
        <charset val="128"/>
      </rPr>
      <t xml:space="preserve">JTB</t>
    </r>
    <r>
      <rPr>
        <sz val="9"/>
        <color theme="1"/>
        <rFont val="WenQuanYi Zen Hei"/>
        <family val="2"/>
      </rPr>
      <t xml:space="preserve">クーポン</t>
    </r>
  </si>
  <si>
    <t xml:space="preserve">2026-014</t>
  </si>
  <si>
    <t xml:space="preserve">0111 Powder Holidays FIT</t>
  </si>
  <si>
    <t xml:space="preserve">Powder Holidays</t>
  </si>
  <si>
    <t xml:space="preserve">Ms. Mayumi Terakado</t>
  </si>
  <si>
    <t xml:space="preserve">13/50 Cavill Ave Surfers Paradise QLD 4217</t>
  </si>
  <si>
    <t xml:space="preserve">1300 527 267</t>
  </si>
  <si>
    <t xml:space="preserve">mayumi@powderholidays.com</t>
  </si>
  <si>
    <t xml:space="preserve">2026-015</t>
  </si>
  <si>
    <t xml:space="preserve">妙高ツーリズムマネージメント</t>
  </si>
  <si>
    <t xml:space="preserve">インバンド宿泊</t>
  </si>
  <si>
    <t xml:space="preserve">蔡紋如</t>
  </si>
  <si>
    <r>
      <rPr>
        <sz val="12"/>
        <color rgb="FF333333"/>
        <rFont val="WenQuanYi Zen Hei"/>
        <family val="2"/>
      </rPr>
      <t xml:space="preserve">新潟県妙高市大字田口</t>
    </r>
    <r>
      <rPr>
        <sz val="12"/>
        <color rgb="FF333333"/>
        <rFont val="Inherit"/>
        <family val="3"/>
        <charset val="128"/>
      </rPr>
      <t xml:space="preserve">309</t>
    </r>
    <r>
      <rPr>
        <sz val="12"/>
        <color rgb="FF333333"/>
        <rFont val="WenQuanYi Zen Hei"/>
        <family val="2"/>
      </rPr>
      <t xml:space="preserve">番地</t>
    </r>
    <r>
      <rPr>
        <sz val="12"/>
        <color rgb="FF333333"/>
        <rFont val="Inherit"/>
        <family val="3"/>
        <charset val="128"/>
      </rPr>
      <t xml:space="preserve">1</t>
    </r>
  </si>
  <si>
    <t xml:space="preserve">0255-86-2412</t>
  </si>
  <si>
    <t xml:space="preserve">myokotaiwan@gmail.com</t>
  </si>
  <si>
    <t xml:space="preserve">台湾</t>
  </si>
  <si>
    <t xml:space="preserve">2026-016</t>
  </si>
  <si>
    <r>
      <rPr>
        <sz val="12"/>
        <color rgb="FF333333"/>
        <rFont val="WenQuanYi Zen Hei"/>
        <family val="2"/>
      </rPr>
      <t xml:space="preserve">新潟県妙高市大字田口</t>
    </r>
    <r>
      <rPr>
        <sz val="12"/>
        <color rgb="FF333333"/>
        <rFont val="Inherit"/>
        <family val="2"/>
        <charset val="1"/>
      </rPr>
      <t xml:space="preserve">309</t>
    </r>
    <r>
      <rPr>
        <sz val="12"/>
        <color rgb="FF333333"/>
        <rFont val="WenQuanYi Zen Hei"/>
        <family val="2"/>
      </rPr>
      <t xml:space="preserve">番地</t>
    </r>
    <r>
      <rPr>
        <sz val="12"/>
        <color rgb="FF333333"/>
        <rFont val="Inherit"/>
        <family val="2"/>
        <charset val="1"/>
      </rPr>
      <t xml:space="preserve">2</t>
    </r>
  </si>
  <si>
    <t xml:space="preserve">0255-86-2413</t>
  </si>
  <si>
    <t xml:space="preserve">2026-017</t>
  </si>
  <si>
    <t xml:space="preserve">Ski Japan Holidays FIT</t>
  </si>
  <si>
    <t xml:space="preserve">Ski Japan Holidays</t>
  </si>
  <si>
    <t xml:space="preserve">稲永様</t>
  </si>
  <si>
    <r>
      <rPr>
        <sz val="11"/>
        <color theme="1"/>
        <rFont val="ＭＳ Ｐゴシック"/>
        <family val="3"/>
        <charset val="128"/>
      </rPr>
      <t xml:space="preserve">6660 Hokujo Hakuba-mura Kitaazumi-gun Nagano-ken Japan </t>
    </r>
    <r>
      <rPr>
        <sz val="11"/>
        <color theme="1"/>
        <rFont val="WenQuanYi Zen Hei"/>
        <family val="2"/>
      </rPr>
      <t xml:space="preserve">〒</t>
    </r>
    <r>
      <rPr>
        <sz val="11"/>
        <color theme="1"/>
        <rFont val="ＭＳ Ｐゴシック"/>
        <family val="3"/>
        <charset val="128"/>
      </rPr>
      <t xml:space="preserve">399-9301</t>
    </r>
  </si>
  <si>
    <t xml:space="preserve">81 (0)261 72 6663  </t>
  </si>
  <si>
    <t xml:space="preserve">bookings@japanspecialists.com</t>
  </si>
  <si>
    <t xml:space="preserve">2026-018</t>
  </si>
  <si>
    <t xml:space="preserve">Mogul Ski FIT</t>
  </si>
  <si>
    <t xml:space="preserve">Mogul Ski</t>
  </si>
  <si>
    <t xml:space="preserve">Edgar Beck</t>
  </si>
  <si>
    <t xml:space="preserve">Level 1, 464 High Street, Prahran, VIC, 3181 Australia   </t>
  </si>
  <si>
    <t xml:space="preserve">+61 395 252 555</t>
  </si>
  <si>
    <t xml:space="preserve">edgar@mogulski.com.au</t>
  </si>
  <si>
    <t xml:space="preserve">2026-019</t>
  </si>
  <si>
    <t xml:space="preserve">中国スキー団体（ハルビン国際旅行社）</t>
  </si>
  <si>
    <t xml:space="preserve">ハルビン国際旅行社</t>
  </si>
  <si>
    <t xml:space="preserve">近藤 みき</t>
  </si>
  <si>
    <t xml:space="preserve">025-383-6211</t>
  </si>
  <si>
    <t xml:space="preserve">aha261720@gmail.com</t>
  </si>
  <si>
    <t xml:space="preserve">2026-020</t>
  </si>
  <si>
    <t xml:space="preserve">Jason Grondman</t>
  </si>
  <si>
    <t xml:space="preserve">jason@mogulski.com.au</t>
  </si>
  <si>
    <t xml:space="preserve">2026-021</t>
  </si>
  <si>
    <t xml:space="preserve">Different Snow FIT</t>
  </si>
  <si>
    <t xml:space="preserve">Different Snow</t>
  </si>
  <si>
    <t xml:space="preserve">Nick Coates</t>
  </si>
  <si>
    <t xml:space="preserve">+44(0)1242 242 505</t>
  </si>
  <si>
    <t xml:space="preserve">nick@differentsnow.com</t>
  </si>
  <si>
    <t xml:space="preserve">2026-022</t>
  </si>
  <si>
    <t xml:space="preserve">北信越高等学校バレーボール大会</t>
  </si>
  <si>
    <t xml:space="preserve">教育旅行</t>
  </si>
  <si>
    <t xml:space="preserve">日本旅行　新潟支店</t>
  </si>
  <si>
    <t xml:space="preserve">加藤 美花</t>
  </si>
  <si>
    <t xml:space="preserve">025-248-6161</t>
  </si>
  <si>
    <t xml:space="preserve">mika_kato@nta.co.jp</t>
  </si>
  <si>
    <t xml:space="preserve">クーポン</t>
  </si>
  <si>
    <t xml:space="preserve">2026-023</t>
  </si>
  <si>
    <r>
      <rPr>
        <sz val="10"/>
        <color theme="1"/>
        <rFont val="ＭＳ Ｐゴシック"/>
        <family val="2"/>
        <charset val="128"/>
      </rPr>
      <t xml:space="preserve">ER-260420 </t>
    </r>
    <r>
      <rPr>
        <sz val="10"/>
        <color theme="1"/>
        <rFont val="WenQuanYi Zen Hei"/>
        <family val="2"/>
      </rPr>
      <t xml:space="preserve">東北ジャパンネットワーク　ツアー</t>
    </r>
  </si>
  <si>
    <t xml:space="preserve">東北ジャパンネットワーク</t>
  </si>
  <si>
    <t xml:space="preserve">許</t>
  </si>
  <si>
    <t xml:space="preserve">050-6864-6228</t>
  </si>
  <si>
    <t xml:space="preserve">kyo@tohokujapan.net</t>
  </si>
  <si>
    <t xml:space="preserve">2026-024</t>
  </si>
  <si>
    <t xml:space="preserve">Japan Dimention Ski tour (USA)</t>
  </si>
  <si>
    <t xml:space="preserve">Japan Dimention</t>
  </si>
  <si>
    <t xml:space="preserve">木村</t>
  </si>
  <si>
    <r>
      <rPr>
        <sz val="11"/>
        <color theme="1"/>
        <rFont val="WenQuanYi Zen Hei"/>
        <family val="2"/>
      </rPr>
      <t xml:space="preserve">三重県四日市市小杉町</t>
    </r>
    <r>
      <rPr>
        <sz val="11"/>
        <color theme="1"/>
        <rFont val="ＭＳ Ｐゴシック"/>
        <family val="3"/>
        <charset val="128"/>
      </rPr>
      <t xml:space="preserve">605</t>
    </r>
  </si>
  <si>
    <t xml:space="preserve">070-4332-6734</t>
  </si>
  <si>
    <t xml:space="preserve">partners@japan-dimension.com</t>
  </si>
  <si>
    <t xml:space="preserve">2026-025</t>
  </si>
  <si>
    <t xml:space="preserve">0103 KODO Travel FIT</t>
  </si>
  <si>
    <t xml:space="preserve">KODO Travel</t>
  </si>
  <si>
    <t xml:space="preserve">玉川 美沙</t>
  </si>
  <si>
    <r>
      <rPr>
        <sz val="11"/>
        <color rgb="FF202124"/>
        <rFont val="WenQuanYi Zen Hei"/>
        <family val="2"/>
      </rPr>
      <t xml:space="preserve">群馬県利根郡みなかみ町湯檜曽</t>
    </r>
    <r>
      <rPr>
        <sz val="11"/>
        <color rgb="FF202124"/>
        <rFont val="ＭＳ ゴシック"/>
        <family val="3"/>
        <charset val="128"/>
      </rPr>
      <t xml:space="preserve">45</t>
    </r>
  </si>
  <si>
    <t xml:space="preserve">080-4923-1477</t>
  </si>
  <si>
    <t xml:space="preserve">misa@kodotravel.com</t>
  </si>
  <si>
    <t xml:space="preserve">2026-026</t>
  </si>
  <si>
    <t xml:space="preserve">wondertrunk&amp;co. FIT</t>
  </si>
  <si>
    <t xml:space="preserve">wondertrunk&amp;co.</t>
  </si>
  <si>
    <t xml:space="preserve">帆足　様</t>
  </si>
  <si>
    <r>
      <rPr>
        <sz val="11"/>
        <color theme="1"/>
        <rFont val="WenQuanYi Zen Hei"/>
        <family val="2"/>
      </rPr>
      <t xml:space="preserve">〒</t>
    </r>
    <r>
      <rPr>
        <sz val="11"/>
        <color theme="1"/>
        <rFont val="ＭＳ Ｐゴシック"/>
        <family val="3"/>
        <charset val="128"/>
      </rPr>
      <t xml:space="preserve">150-0042</t>
    </r>
    <r>
      <rPr>
        <sz val="11"/>
        <color theme="1"/>
        <rFont val="WenQuanYi Zen Hei"/>
        <family val="2"/>
      </rPr>
      <t xml:space="preserve">　東京都渋谷区宇田川町</t>
    </r>
    <r>
      <rPr>
        <sz val="11"/>
        <color theme="1"/>
        <rFont val="ＭＳ Ｐゴシック"/>
        <family val="3"/>
        <charset val="128"/>
      </rPr>
      <t xml:space="preserve">3-7 </t>
    </r>
    <r>
      <rPr>
        <sz val="11"/>
        <color theme="1"/>
        <rFont val="WenQuanYi Zen Hei"/>
        <family val="2"/>
      </rPr>
      <t xml:space="preserve">ヒューリック渋谷公園通りビル</t>
    </r>
    <r>
      <rPr>
        <sz val="11"/>
        <color theme="1"/>
        <rFont val="ＭＳ Ｐゴシック"/>
        <family val="3"/>
        <charset val="128"/>
      </rPr>
      <t xml:space="preserve">3F</t>
    </r>
  </si>
  <si>
    <t xml:space="preserve">03-6427-8402</t>
  </si>
  <si>
    <t xml:space="preserve">ema@wondertrunk.co</t>
  </si>
  <si>
    <t xml:space="preserve">2026-027</t>
  </si>
  <si>
    <t xml:space="preserve">0126 Japan Holidays FIT</t>
  </si>
  <si>
    <t xml:space="preserve">Japan Holidays</t>
  </si>
  <si>
    <t xml:space="preserve">横川 様</t>
  </si>
  <si>
    <r>
      <rPr>
        <sz val="11"/>
        <color theme="1"/>
        <rFont val="WenQuanYi Zen Hei"/>
        <family val="2"/>
      </rPr>
      <t xml:space="preserve">長野県北安曇郡白馬村</t>
    </r>
    <r>
      <rPr>
        <sz val="11"/>
        <color theme="1"/>
        <rFont val="ＭＳ Ｐゴシック"/>
        <family val="3"/>
        <charset val="128"/>
      </rPr>
      <t xml:space="preserve">6660</t>
    </r>
  </si>
  <si>
    <t xml:space="preserve">0261-72-6663</t>
  </si>
  <si>
    <t xml:space="preserve">2026-028</t>
  </si>
  <si>
    <t xml:space="preserve">エーオングループジャパン株式会社</t>
  </si>
  <si>
    <t xml:space="preserve">鷲尾 直樹</t>
  </si>
  <si>
    <r>
      <rPr>
        <sz val="11"/>
        <color theme="1"/>
        <rFont val="WenQuanYi Zen Hei"/>
        <family val="2"/>
      </rPr>
      <t xml:space="preserve">東京都千代田区永田町</t>
    </r>
    <r>
      <rPr>
        <sz val="11"/>
        <color theme="1"/>
        <rFont val="ＭＳ Ｐゴシック"/>
        <family val="3"/>
        <charset val="128"/>
      </rPr>
      <t xml:space="preserve">2-10-3</t>
    </r>
    <r>
      <rPr>
        <sz val="11"/>
        <color theme="1"/>
        <rFont val="WenQuanYi Zen Hei"/>
        <family val="2"/>
      </rPr>
      <t xml:space="preserve">キャピトルタワー</t>
    </r>
    <r>
      <rPr>
        <sz val="11"/>
        <color theme="1"/>
        <rFont val="ＭＳ Ｐゴシック"/>
        <family val="3"/>
        <charset val="128"/>
      </rPr>
      <t xml:space="preserve">11</t>
    </r>
    <r>
      <rPr>
        <sz val="11"/>
        <color theme="1"/>
        <rFont val="WenQuanYi Zen Hei"/>
        <family val="2"/>
      </rPr>
      <t xml:space="preserve">階</t>
    </r>
  </si>
  <si>
    <t xml:space="preserve">03-4589-4270</t>
  </si>
  <si>
    <t xml:space="preserve">naoki.washio@aon.com</t>
  </si>
  <si>
    <t xml:space="preserve">yokoi</t>
  </si>
  <si>
    <t xml:space="preserve">2026-029</t>
  </si>
  <si>
    <r>
      <rPr>
        <sz val="10"/>
        <color theme="1"/>
        <rFont val="WenQuanYi Zen Hei"/>
        <family val="2"/>
      </rPr>
      <t xml:space="preserve">雪の森株式会社　</t>
    </r>
    <r>
      <rPr>
        <sz val="10"/>
        <color theme="1"/>
        <rFont val="ＭＳ Ｐゴシック"/>
        <family val="3"/>
        <charset val="128"/>
      </rPr>
      <t xml:space="preserve">FIT</t>
    </r>
  </si>
  <si>
    <t xml:space="preserve">雪の森株式会社</t>
  </si>
  <si>
    <t xml:space="preserve">平馬 新</t>
  </si>
  <si>
    <r>
      <rPr>
        <sz val="11"/>
        <color theme="1"/>
        <rFont val="WenQuanYi Zen Hei"/>
        <family val="2"/>
      </rPr>
      <t xml:space="preserve">〒</t>
    </r>
    <r>
      <rPr>
        <sz val="11"/>
        <color theme="1"/>
        <rFont val="ＭＳ Ｐゴシック"/>
        <family val="3"/>
        <charset val="128"/>
      </rPr>
      <t xml:space="preserve">949-6212 </t>
    </r>
    <r>
      <rPr>
        <sz val="11"/>
        <color theme="1"/>
        <rFont val="WenQuanYi Zen Hei"/>
        <family val="2"/>
      </rPr>
      <t xml:space="preserve">新潟県南魚沼郡湯沢町三国</t>
    </r>
    <r>
      <rPr>
        <sz val="11"/>
        <color theme="1"/>
        <rFont val="ＭＳ Ｐゴシック"/>
        <family val="3"/>
        <charset val="128"/>
      </rPr>
      <t xml:space="preserve">348-3</t>
    </r>
  </si>
  <si>
    <t xml:space="preserve">070-8976-7878</t>
  </si>
  <si>
    <t xml:space="preserve">heima@yukinomori.com</t>
  </si>
  <si>
    <t xml:space="preserve">現地払い</t>
  </si>
  <si>
    <t xml:space="preserve">2026-030</t>
  </si>
  <si>
    <r>
      <rPr>
        <sz val="10"/>
        <color theme="1"/>
        <rFont val="WenQuanYi Zen Hei"/>
        <family val="2"/>
      </rPr>
      <t xml:space="preserve">イギリスメディア </t>
    </r>
    <r>
      <rPr>
        <sz val="10"/>
        <color theme="1"/>
        <rFont val="ＭＳ Ｐゴシック"/>
        <family val="3"/>
        <charset val="128"/>
      </rPr>
      <t xml:space="preserve">FAM</t>
    </r>
    <r>
      <rPr>
        <sz val="10"/>
        <color theme="1"/>
        <rFont val="WenQuanYi Zen Hei"/>
        <family val="2"/>
      </rPr>
      <t xml:space="preserve">ツアー</t>
    </r>
  </si>
  <si>
    <t xml:space="preserve">メディアツアー</t>
  </si>
  <si>
    <t xml:space="preserve">淡雪合同会社</t>
  </si>
  <si>
    <t xml:space="preserve">ジェニファー スピッツ</t>
  </si>
  <si>
    <r>
      <rPr>
        <sz val="11"/>
        <color theme="1"/>
        <rFont val="WenQuanYi Zen Hei"/>
        <family val="2"/>
      </rPr>
      <t xml:space="preserve">〒</t>
    </r>
    <r>
      <rPr>
        <sz val="11"/>
        <color theme="1"/>
        <rFont val="ＭＳ Ｐゴシック"/>
        <family val="3"/>
        <charset val="128"/>
      </rPr>
      <t xml:space="preserve">951-8067 </t>
    </r>
    <r>
      <rPr>
        <sz val="11"/>
        <color theme="1"/>
        <rFont val="WenQuanYi Zen Hei"/>
        <family val="2"/>
      </rPr>
      <t xml:space="preserve">新潟県新潟市中央区本町通</t>
    </r>
    <r>
      <rPr>
        <sz val="11"/>
        <color theme="1"/>
        <rFont val="ＭＳ Ｐゴシック"/>
        <family val="3"/>
        <charset val="128"/>
      </rPr>
      <t xml:space="preserve">12</t>
    </r>
    <r>
      <rPr>
        <sz val="11"/>
        <color theme="1"/>
        <rFont val="WenQuanYi Zen Hei"/>
        <family val="2"/>
      </rPr>
      <t xml:space="preserve">番町</t>
    </r>
    <r>
      <rPr>
        <sz val="11"/>
        <color theme="1"/>
        <rFont val="ＭＳ Ｐゴシック"/>
        <family val="3"/>
        <charset val="128"/>
      </rPr>
      <t xml:space="preserve">2782</t>
    </r>
    <r>
      <rPr>
        <sz val="11"/>
        <color theme="1"/>
        <rFont val="WenQuanYi Zen Hei"/>
        <family val="2"/>
      </rPr>
      <t xml:space="preserve">番地</t>
    </r>
  </si>
  <si>
    <t xml:space="preserve">080-3254-4769</t>
  </si>
  <si>
    <t xml:space="preserve">Jen@awayuki.com</t>
  </si>
  <si>
    <t xml:space="preserve">England</t>
  </si>
  <si>
    <t xml:space="preserve">全旅クーポン</t>
  </si>
  <si>
    <t xml:space="preserve">2026-031</t>
  </si>
  <si>
    <r>
      <rPr>
        <sz val="8"/>
        <color theme="1"/>
        <rFont val="WenQuanYi Zen Hei"/>
        <family val="2"/>
      </rPr>
      <t xml:space="preserve">第１候補　　　　　　他は</t>
    </r>
    <r>
      <rPr>
        <sz val="8"/>
        <color theme="1"/>
        <rFont val="ＭＳ Ｐゴシック"/>
        <family val="3"/>
        <charset val="128"/>
      </rPr>
      <t xml:space="preserve">10/6</t>
    </r>
    <r>
      <rPr>
        <sz val="8"/>
        <color theme="1"/>
        <rFont val="WenQuanYi Zen Hei"/>
        <family val="2"/>
      </rPr>
      <t xml:space="preserve">　</t>
    </r>
    <r>
      <rPr>
        <sz val="8"/>
        <color theme="1"/>
        <rFont val="ＭＳ Ｐゴシック"/>
        <family val="3"/>
        <charset val="128"/>
      </rPr>
      <t xml:space="preserve">10/7</t>
    </r>
    <r>
      <rPr>
        <sz val="8"/>
        <color theme="1"/>
        <rFont val="WenQuanYi Zen Hei"/>
        <family val="2"/>
      </rPr>
      <t xml:space="preserve">が候補</t>
    </r>
  </si>
  <si>
    <r>
      <rPr>
        <sz val="8"/>
        <color theme="1"/>
        <rFont val="ＭＳ ゴシック"/>
        <family val="2"/>
        <charset val="128"/>
      </rPr>
      <t xml:space="preserve">※2025</t>
    </r>
    <r>
      <rPr>
        <sz val="8"/>
        <color theme="1"/>
        <rFont val="WenQuanYi Zen Hei"/>
        <family val="2"/>
      </rPr>
      <t xml:space="preserve">年</t>
    </r>
    <r>
      <rPr>
        <sz val="8"/>
        <color theme="1"/>
        <rFont val="ＭＳ ゴシック"/>
        <family val="2"/>
        <charset val="128"/>
      </rPr>
      <t xml:space="preserve">12</t>
    </r>
    <r>
      <rPr>
        <sz val="8"/>
        <color theme="1"/>
        <rFont val="WenQuanYi Zen Hei"/>
        <family val="2"/>
      </rPr>
      <t xml:space="preserve">月中旬には日程日が確定します</t>
    </r>
  </si>
  <si>
    <r>
      <rPr>
        <sz val="10"/>
        <color theme="1"/>
        <rFont val="WenQuanYi Zen Hei"/>
        <family val="2"/>
      </rPr>
      <t xml:space="preserve">５県　議会事務局会議　会議</t>
    </r>
    <r>
      <rPr>
        <sz val="10"/>
        <color theme="1"/>
        <rFont val="ＭＳ Ｐゴシック"/>
        <family val="3"/>
        <charset val="128"/>
      </rPr>
      <t xml:space="preserve">/</t>
    </r>
    <r>
      <rPr>
        <sz val="10"/>
        <color theme="1"/>
        <rFont val="WenQuanYi Zen Hei"/>
        <family val="2"/>
      </rPr>
      <t xml:space="preserve">懇親会</t>
    </r>
  </si>
  <si>
    <t xml:space="preserve">北陸５県　議会事務局　事務局長会議</t>
  </si>
  <si>
    <t xml:space="preserve">妙高市役所　議会事務局</t>
  </si>
  <si>
    <t xml:space="preserve">横田こうえつ様</t>
  </si>
  <si>
    <r>
      <rPr>
        <sz val="11"/>
        <color theme="1"/>
        <rFont val="WenQuanYi Zen Hei"/>
        <family val="2"/>
      </rPr>
      <t xml:space="preserve">妙高市役所　議会事務局様が</t>
    </r>
    <r>
      <rPr>
        <sz val="11"/>
        <color theme="1"/>
        <rFont val="ＭＳ Ｐゴシック"/>
        <family val="3"/>
        <charset val="128"/>
      </rPr>
      <t xml:space="preserve">2026</t>
    </r>
    <r>
      <rPr>
        <sz val="11"/>
        <color theme="1"/>
        <rFont val="WenQuanYi Zen Hei"/>
        <family val="2"/>
      </rPr>
      <t xml:space="preserve">年度持ち回り県担当</t>
    </r>
  </si>
  <si>
    <t xml:space="preserve">0255-74-0043</t>
  </si>
  <si>
    <t xml:space="preserve">参加募集</t>
  </si>
  <si>
    <t xml:space="preserve">後日請求</t>
  </si>
  <si>
    <r>
      <rPr>
        <sz val="10"/>
        <color theme="1"/>
        <rFont val="ＭＳ Ｐゴシック"/>
        <family val="3"/>
        <charset val="128"/>
      </rPr>
      <t xml:space="preserve">2025</t>
    </r>
    <r>
      <rPr>
        <sz val="10"/>
        <color theme="1"/>
        <rFont val="WenQuanYi Zen Hei"/>
        <family val="2"/>
      </rPr>
      <t xml:space="preserve">年</t>
    </r>
    <r>
      <rPr>
        <sz val="10"/>
        <color theme="1"/>
        <rFont val="ＭＳ Ｐゴシック"/>
        <family val="3"/>
        <charset val="128"/>
      </rPr>
      <t xml:space="preserve">11</t>
    </r>
    <r>
      <rPr>
        <sz val="10"/>
        <color theme="1"/>
        <rFont val="WenQuanYi Zen Hei"/>
        <family val="2"/>
      </rPr>
      <t xml:space="preserve">月</t>
    </r>
    <r>
      <rPr>
        <sz val="10"/>
        <color theme="1"/>
        <rFont val="ＭＳ Ｐゴシック"/>
        <family val="3"/>
        <charset val="128"/>
      </rPr>
      <t xml:space="preserve">21</t>
    </r>
    <r>
      <rPr>
        <sz val="10"/>
        <color theme="1"/>
        <rFont val="WenQuanYi Zen Hei"/>
        <family val="2"/>
      </rPr>
      <t xml:space="preserve">日現在に於いて連絡あり、</t>
    </r>
    <r>
      <rPr>
        <sz val="10"/>
        <color theme="1"/>
        <rFont val="ＭＳ Ｐゴシック"/>
        <family val="3"/>
        <charset val="128"/>
      </rPr>
      <t xml:space="preserve">10/6-7</t>
    </r>
    <r>
      <rPr>
        <sz val="10"/>
        <color theme="1"/>
        <rFont val="WenQuanYi Zen Hei"/>
        <family val="2"/>
      </rPr>
      <t xml:space="preserve">　</t>
    </r>
    <r>
      <rPr>
        <sz val="10"/>
        <color theme="1"/>
        <rFont val="ＭＳ Ｐゴシック"/>
        <family val="3"/>
        <charset val="128"/>
      </rPr>
      <t xml:space="preserve">7-8</t>
    </r>
    <r>
      <rPr>
        <sz val="10"/>
        <color theme="1"/>
        <rFont val="WenQuanYi Zen Hei"/>
        <family val="2"/>
      </rPr>
      <t xml:space="preserve">　</t>
    </r>
    <r>
      <rPr>
        <sz val="10"/>
        <color theme="1"/>
        <rFont val="ＭＳ Ｐゴシック"/>
        <family val="3"/>
        <charset val="128"/>
      </rPr>
      <t xml:space="preserve">8-9</t>
    </r>
    <r>
      <rPr>
        <sz val="10"/>
        <color theme="1"/>
        <rFont val="WenQuanYi Zen Hei"/>
        <family val="2"/>
      </rPr>
      <t xml:space="preserve">　８日の確定が濃厚</t>
    </r>
  </si>
  <si>
    <t xml:space="preserve">2026-032</t>
  </si>
  <si>
    <t xml:space="preserve">学校法人東京インターナショナルスクール</t>
  </si>
  <si>
    <t xml:space="preserve">修学旅行</t>
  </si>
  <si>
    <r>
      <rPr>
        <sz val="10"/>
        <color theme="1"/>
        <rFont val="ＭＳ Ｐゴシック"/>
        <family val="3"/>
        <charset val="128"/>
      </rPr>
      <t xml:space="preserve">JTB</t>
    </r>
    <r>
      <rPr>
        <sz val="10"/>
        <color theme="1"/>
        <rFont val="WenQuanYi Zen Hei"/>
        <family val="2"/>
      </rPr>
      <t xml:space="preserve">教育第一事業部</t>
    </r>
  </si>
  <si>
    <t xml:space="preserve">米谷 真鈴</t>
  </si>
  <si>
    <r>
      <rPr>
        <sz val="11"/>
        <color theme="1"/>
        <rFont val="WenQuanYi Zen Hei"/>
        <family val="2"/>
      </rPr>
      <t xml:space="preserve">〒</t>
    </r>
    <r>
      <rPr>
        <sz val="11"/>
        <color theme="1"/>
        <rFont val="ＭＳ Ｐゴシック"/>
        <family val="3"/>
        <charset val="128"/>
      </rPr>
      <t xml:space="preserve">141-0021 </t>
    </r>
    <r>
      <rPr>
        <sz val="11"/>
        <color theme="1"/>
        <rFont val="WenQuanYi Zen Hei"/>
        <family val="2"/>
      </rPr>
      <t xml:space="preserve">東京都目黒区上大崎</t>
    </r>
    <r>
      <rPr>
        <sz val="11"/>
        <color theme="1"/>
        <rFont val="ＭＳ Ｐゴシック"/>
        <family val="3"/>
        <charset val="128"/>
      </rPr>
      <t xml:space="preserve">2-24-9 </t>
    </r>
    <r>
      <rPr>
        <sz val="11"/>
        <color theme="1"/>
        <rFont val="WenQuanYi Zen Hei"/>
        <family val="2"/>
      </rPr>
      <t xml:space="preserve">目黒</t>
    </r>
    <r>
      <rPr>
        <sz val="11"/>
        <color theme="1"/>
        <rFont val="ＭＳ Ｐゴシック"/>
        <family val="3"/>
        <charset val="128"/>
      </rPr>
      <t xml:space="preserve">IK</t>
    </r>
    <r>
      <rPr>
        <sz val="11"/>
        <color theme="1"/>
        <rFont val="WenQuanYi Zen Hei"/>
        <family val="2"/>
      </rPr>
      <t xml:space="preserve">ビル</t>
    </r>
    <r>
      <rPr>
        <sz val="11"/>
        <color theme="1"/>
        <rFont val="ＭＳ Ｐゴシック"/>
        <family val="3"/>
        <charset val="128"/>
      </rPr>
      <t xml:space="preserve">3</t>
    </r>
    <r>
      <rPr>
        <sz val="11"/>
        <color theme="1"/>
        <rFont val="WenQuanYi Zen Hei"/>
        <family val="2"/>
      </rPr>
      <t xml:space="preserve">階</t>
    </r>
  </si>
  <si>
    <t xml:space="preserve">03-6631-3219</t>
  </si>
  <si>
    <t xml:space="preserve">m_kometani068@jtb.com</t>
  </si>
  <si>
    <t xml:space="preserve">foreign</t>
  </si>
  <si>
    <t xml:space="preserve">2026-033</t>
  </si>
  <si>
    <t xml:space="preserve">新潟県立新潟よつば学園　小学部</t>
  </si>
  <si>
    <r>
      <rPr>
        <sz val="11"/>
        <color theme="1"/>
        <rFont val="WenQuanYi Zen Hei"/>
        <family val="2"/>
      </rPr>
      <t xml:space="preserve">東武トップツアーズ 新潟市絵</t>
    </r>
    <r>
      <rPr>
        <sz val="11"/>
        <color theme="1"/>
        <rFont val="ＭＳ Ｐゴシック"/>
        <family val="3"/>
        <charset val="128"/>
      </rPr>
      <t xml:space="preserve">th</t>
    </r>
  </si>
  <si>
    <t xml:space="preserve">川野 青葉</t>
  </si>
  <si>
    <r>
      <rPr>
        <sz val="11"/>
        <color theme="1"/>
        <rFont val="WenQuanYi Zen Hei"/>
        <family val="2"/>
      </rPr>
      <t xml:space="preserve">〒</t>
    </r>
    <r>
      <rPr>
        <sz val="11"/>
        <color theme="1"/>
        <rFont val="ＭＳ Ｐゴシック"/>
        <family val="3"/>
        <charset val="128"/>
      </rPr>
      <t xml:space="preserve">950-0912</t>
    </r>
    <r>
      <rPr>
        <sz val="11"/>
        <color theme="1"/>
        <rFont val="WenQuanYi Zen Hei"/>
        <family val="2"/>
      </rPr>
      <t xml:space="preserve">　新潟県新潟市中央区南笹口</t>
    </r>
    <r>
      <rPr>
        <sz val="11"/>
        <color theme="1"/>
        <rFont val="ＭＳ Ｐゴシック"/>
        <family val="3"/>
        <charset val="128"/>
      </rPr>
      <t xml:space="preserve">1-1-54</t>
    </r>
    <r>
      <rPr>
        <sz val="11"/>
        <color theme="1"/>
        <rFont val="WenQuanYi Zen Hei"/>
        <family val="2"/>
      </rPr>
      <t xml:space="preserve">　 日生南笹口ビル</t>
    </r>
    <r>
      <rPr>
        <sz val="11"/>
        <color theme="1"/>
        <rFont val="ＭＳ Ｐゴシック"/>
        <family val="3"/>
        <charset val="128"/>
      </rPr>
      <t xml:space="preserve">5</t>
    </r>
    <r>
      <rPr>
        <sz val="11"/>
        <color theme="1"/>
        <rFont val="WenQuanYi Zen Hei"/>
        <family val="2"/>
      </rPr>
      <t xml:space="preserve">階</t>
    </r>
  </si>
  <si>
    <t xml:space="preserve">050-9001-8753</t>
  </si>
  <si>
    <t xml:space="preserve">aoba_kawano@tobutoptours.co.jp</t>
  </si>
  <si>
    <t xml:space="preserve">2026-034</t>
  </si>
  <si>
    <t xml:space="preserve">インバウンド宿泊</t>
  </si>
  <si>
    <t xml:space="preserve">スノーボード旅行</t>
  </si>
  <si>
    <t xml:space="preserve">柿栖</t>
  </si>
  <si>
    <r>
      <rPr>
        <sz val="11"/>
        <color theme="1"/>
        <rFont val="ＭＳ Ｐゴシック"/>
        <family val="3"/>
        <charset val="128"/>
      </rPr>
      <t xml:space="preserve">070-6489</t>
    </r>
    <r>
      <rPr>
        <sz val="11"/>
        <color theme="1"/>
        <rFont val="WenQuanYi Zen Hei"/>
        <family val="2"/>
      </rPr>
      <t xml:space="preserve">－</t>
    </r>
    <r>
      <rPr>
        <sz val="11"/>
        <color theme="1"/>
        <rFont val="ＭＳ Ｐゴシック"/>
        <family val="3"/>
        <charset val="128"/>
      </rPr>
      <t xml:space="preserve">4095</t>
    </r>
  </si>
  <si>
    <t xml:space="preserve">kakisu &lt;kakisu@matisse-consul.co.jp&gt;</t>
  </si>
  <si>
    <t xml:space="preserve">2026-035</t>
  </si>
  <si>
    <r>
      <rPr>
        <sz val="11"/>
        <color theme="1"/>
        <rFont val="ＭＳ Ｐゴシック"/>
        <family val="3"/>
        <charset val="128"/>
      </rPr>
      <t xml:space="preserve">070-6489</t>
    </r>
    <r>
      <rPr>
        <sz val="11"/>
        <color theme="1"/>
        <rFont val="WenQuanYi Zen Hei"/>
        <family val="2"/>
      </rPr>
      <t xml:space="preserve">－</t>
    </r>
    <r>
      <rPr>
        <sz val="11"/>
        <color theme="1"/>
        <rFont val="ＭＳ Ｐゴシック"/>
        <family val="3"/>
        <charset val="128"/>
      </rPr>
      <t xml:space="preserve">4096</t>
    </r>
  </si>
  <si>
    <t xml:space="preserve">2026-036</t>
  </si>
  <si>
    <t xml:space="preserve">全国春日連合会</t>
  </si>
  <si>
    <t xml:space="preserve">年次総会</t>
  </si>
  <si>
    <t xml:space="preserve">頸城観光</t>
  </si>
  <si>
    <t xml:space="preserve">佐藤三郎</t>
  </si>
  <si>
    <r>
      <rPr>
        <sz val="11"/>
        <color theme="1"/>
        <rFont val="WenQuanYi Zen Hei"/>
        <family val="2"/>
      </rPr>
      <t xml:space="preserve">〒</t>
    </r>
    <r>
      <rPr>
        <sz val="11"/>
        <color theme="1"/>
        <rFont val="Calibri"/>
        <family val="2"/>
        <charset val="128"/>
      </rPr>
      <t xml:space="preserve">942-0004 </t>
    </r>
    <r>
      <rPr>
        <sz val="11"/>
        <color theme="1"/>
        <rFont val="WenQuanYi Zen Hei"/>
        <family val="2"/>
      </rPr>
      <t xml:space="preserve">　新潟県上越市西本町</t>
    </r>
    <r>
      <rPr>
        <sz val="11"/>
        <color theme="1"/>
        <rFont val="Calibri"/>
        <family val="2"/>
        <charset val="128"/>
      </rPr>
      <t xml:space="preserve">2-3-21</t>
    </r>
  </si>
  <si>
    <t xml:space="preserve">025-543-4133</t>
  </si>
  <si>
    <t xml:space="preserve">sato@kubikikanko.com</t>
  </si>
  <si>
    <t xml:space="preserve">一部前払い</t>
  </si>
  <si>
    <t xml:space="preserve">全国の春日神社の連合、本部は奈良</t>
  </si>
  <si>
    <t xml:space="preserve">2026-037</t>
  </si>
  <si>
    <t xml:space="preserve">サレジアン国際学園様　中等部</t>
  </si>
  <si>
    <t xml:space="preserve">オリエンテーション</t>
  </si>
  <si>
    <t xml:space="preserve">妙高ツーリズムマネジメント</t>
  </si>
  <si>
    <t xml:space="preserve">舘野 智光</t>
  </si>
  <si>
    <t xml:space="preserve">025-582-3935</t>
  </si>
  <si>
    <t xml:space="preserve">tateno@myoko-gt.com</t>
  </si>
  <si>
    <t xml:space="preserve">後請求</t>
  </si>
  <si>
    <r>
      <rPr>
        <sz val="9"/>
        <color theme="1"/>
        <rFont val="WenQuanYi Zen Hei"/>
        <family val="2"/>
      </rPr>
      <t xml:space="preserve">昼食あり　</t>
    </r>
    <r>
      <rPr>
        <sz val="9"/>
        <color theme="1"/>
        <rFont val="ＭＳ Ｐゴシック"/>
        <family val="3"/>
        <charset val="128"/>
      </rPr>
      <t xml:space="preserve">@1500</t>
    </r>
    <r>
      <rPr>
        <sz val="9"/>
        <color theme="1"/>
        <rFont val="WenQuanYi Zen Hei"/>
        <family val="2"/>
      </rPr>
      <t xml:space="preserve">円</t>
    </r>
  </si>
  <si>
    <t xml:space="preserve">2026-038</t>
  </si>
  <si>
    <t xml:space="preserve">サレジアン国際学園様　高等部</t>
  </si>
  <si>
    <t xml:space="preserve">2026-039</t>
  </si>
  <si>
    <t xml:space="preserve">国際高等学校 中等部</t>
  </si>
  <si>
    <t xml:space="preserve">スキーキャンプ</t>
  </si>
  <si>
    <t xml:space="preserve">直接予約</t>
  </si>
  <si>
    <t xml:space="preserve">角 梓</t>
  </si>
  <si>
    <t xml:space="preserve">4-4  Sagamine, Komenoki, Nisshin, Aichi, Japan, 470-0193, </t>
  </si>
  <si>
    <t xml:space="preserve">056-173-8181</t>
  </si>
  <si>
    <t xml:space="preserve">azusa_sumi@ic.nucba.ac.jp</t>
  </si>
  <si>
    <t xml:space="preserve">koike</t>
  </si>
  <si>
    <t xml:space="preserve">2026-040</t>
  </si>
  <si>
    <t xml:space="preserve">2026 Bicycle Adventures / Cycling trip to Shinshu-Hokuriku</t>
  </si>
  <si>
    <t xml:space="preserve">株式会社近畿日本ツーリスト　グローバル営業支店</t>
  </si>
  <si>
    <r>
      <rPr>
        <sz val="11"/>
        <color theme="1"/>
        <rFont val="WenQuanYi Zen Hei"/>
        <family val="2"/>
      </rPr>
      <t xml:space="preserve">東京都千代田区神田和泉町</t>
    </r>
    <r>
      <rPr>
        <sz val="11"/>
        <color theme="1"/>
        <rFont val="ＭＳ Ｐゴシック"/>
        <family val="3"/>
        <charset val="128"/>
      </rPr>
      <t xml:space="preserve">1-13 </t>
    </r>
    <r>
      <rPr>
        <sz val="11"/>
        <color theme="1"/>
        <rFont val="WenQuanYi Zen Hei"/>
        <family val="2"/>
      </rPr>
      <t xml:space="preserve">住友商事神田和泉町ビル</t>
    </r>
    <r>
      <rPr>
        <sz val="11"/>
        <color theme="1"/>
        <rFont val="ＭＳ Ｐゴシック"/>
        <family val="3"/>
        <charset val="128"/>
      </rPr>
      <t xml:space="preserve">14F</t>
    </r>
  </si>
  <si>
    <t xml:space="preserve">03-6891-9200</t>
  </si>
  <si>
    <t xml:space="preserve">k.yokoyama692@kntct.com</t>
  </si>
  <si>
    <t xml:space="preserve">2026-041</t>
  </si>
  <si>
    <r>
      <rPr>
        <sz val="9"/>
        <color theme="1"/>
        <rFont val="ＭＳ Ｐゴシック"/>
        <family val="2"/>
        <charset val="128"/>
      </rPr>
      <t xml:space="preserve">PCG </t>
    </r>
    <r>
      <rPr>
        <sz val="9"/>
        <color theme="1"/>
        <rFont val="WenQuanYi Zen Hei"/>
        <family val="2"/>
      </rPr>
      <t xml:space="preserve">ペイシャンスキャピトルグループ　役員・社員様近隣エリア視察</t>
    </r>
  </si>
  <si>
    <t xml:space="preserve">参加案内に於いて人数確定　※現段階では他ホテル相見積</t>
  </si>
  <si>
    <t xml:space="preserve">川崎恵理　様</t>
  </si>
  <si>
    <r>
      <rPr>
        <sz val="11"/>
        <color theme="1"/>
        <rFont val="WenQuanYi Zen Hei"/>
        <family val="2"/>
      </rPr>
      <t xml:space="preserve">〒</t>
    </r>
    <r>
      <rPr>
        <sz val="11"/>
        <color theme="1"/>
        <rFont val="ＭＳ Ｐゴシック"/>
        <family val="3"/>
        <charset val="128"/>
      </rPr>
      <t xml:space="preserve">100-0005</t>
    </r>
    <r>
      <rPr>
        <sz val="11"/>
        <color theme="1"/>
        <rFont val="WenQuanYi Zen Hei"/>
        <family val="2"/>
      </rPr>
      <t xml:space="preserve">　東京都千代田区丸の内</t>
    </r>
    <r>
      <rPr>
        <sz val="11"/>
        <color theme="1"/>
        <rFont val="ＭＳ Ｐゴシック"/>
        <family val="3"/>
        <charset val="128"/>
      </rPr>
      <t xml:space="preserve">2-1-1</t>
    </r>
    <r>
      <rPr>
        <sz val="11"/>
        <color theme="1"/>
        <rFont val="WenQuanYi Zen Hei"/>
        <family val="2"/>
      </rPr>
      <t xml:space="preserve">　明治安田生命ビル</t>
    </r>
    <r>
      <rPr>
        <sz val="11"/>
        <color theme="1"/>
        <rFont val="ＭＳ Ｐゴシック"/>
        <family val="3"/>
        <charset val="128"/>
      </rPr>
      <t xml:space="preserve">5F</t>
    </r>
  </si>
  <si>
    <t xml:space="preserve">080-3019-6209</t>
  </si>
  <si>
    <t xml:space="preserve">eri@pcg.ltd</t>
  </si>
  <si>
    <t xml:space="preserve">団体</t>
  </si>
  <si>
    <t xml:space="preserve">杉野沢エリア　上越近隣エリア視察</t>
  </si>
  <si>
    <t xml:space="preserve">2026-042</t>
  </si>
  <si>
    <r>
      <rPr>
        <sz val="10"/>
        <color theme="1"/>
        <rFont val="WenQuanYi Zen Hei"/>
        <family val="2"/>
      </rPr>
      <t xml:space="preserve">新進新潟</t>
    </r>
    <r>
      <rPr>
        <sz val="10"/>
        <color theme="1"/>
        <rFont val="ＭＳ Ｐゴシック"/>
        <family val="2"/>
        <charset val="128"/>
      </rPr>
      <t xml:space="preserve">0401JP</t>
    </r>
  </si>
  <si>
    <t xml:space="preserve">台湾募集ツアー</t>
  </si>
  <si>
    <t xml:space="preserve">新進旅行社</t>
  </si>
  <si>
    <r>
      <rPr>
        <sz val="11"/>
        <color theme="1"/>
        <rFont val="ＭＳ Ｐゴシック"/>
        <family val="3"/>
        <charset val="128"/>
      </rPr>
      <t xml:space="preserve">JACK / </t>
    </r>
    <r>
      <rPr>
        <sz val="11"/>
        <color theme="1"/>
        <rFont val="WenQuanYi Zen Hei"/>
        <family val="2"/>
      </rPr>
      <t xml:space="preserve">陳煒佳 </t>
    </r>
    <r>
      <rPr>
        <sz val="11"/>
        <color theme="1"/>
        <rFont val="ＭＳ Ｐゴシック"/>
        <family val="3"/>
        <charset val="128"/>
      </rPr>
      <t xml:space="preserve">/ </t>
    </r>
    <r>
      <rPr>
        <sz val="11"/>
        <color theme="1"/>
        <rFont val="WenQuanYi Zen Hei"/>
        <family val="2"/>
      </rPr>
      <t xml:space="preserve">姚</t>
    </r>
  </si>
  <si>
    <r>
      <rPr>
        <sz val="11"/>
        <color theme="1"/>
        <rFont val="WenQuanYi Zen Hei"/>
        <family val="2"/>
      </rPr>
      <t xml:space="preserve">台湾北市中山區松江路 </t>
    </r>
    <r>
      <rPr>
        <sz val="11"/>
        <color theme="1"/>
        <rFont val="ＭＳ Ｐゴシック"/>
        <family val="3"/>
        <charset val="128"/>
      </rPr>
      <t xml:space="preserve">76 </t>
    </r>
    <r>
      <rPr>
        <sz val="11"/>
        <color theme="1"/>
        <rFont val="WenQuanYi Zen Hei"/>
        <family val="2"/>
      </rPr>
      <t xml:space="preserve">号 </t>
    </r>
    <r>
      <rPr>
        <sz val="11"/>
        <color theme="1"/>
        <rFont val="ＭＳ Ｐゴシック"/>
        <family val="3"/>
        <charset val="128"/>
      </rPr>
      <t xml:space="preserve">2</t>
    </r>
    <r>
      <rPr>
        <sz val="11"/>
        <color theme="1"/>
        <rFont val="WenQuanYi Zen Hei"/>
        <family val="2"/>
      </rPr>
      <t xml:space="preserve">階</t>
    </r>
  </si>
  <si>
    <t xml:space="preserve">886-2-2561-7788</t>
  </si>
  <si>
    <t xml:space="preserve">前受</t>
  </si>
  <si>
    <t xml:space="preserve">2026-043</t>
  </si>
  <si>
    <t xml:space="preserve">妙高ツーリズムマネージメント　　インバウンド　宿泊</t>
  </si>
  <si>
    <t xml:space="preserve">旅行</t>
  </si>
  <si>
    <r>
      <rPr>
        <sz val="10"/>
        <color theme="1"/>
        <rFont val="WenQuanYi Zen Hei"/>
        <family val="2"/>
      </rPr>
      <t xml:space="preserve">新潟県妙高市大字田口</t>
    </r>
    <r>
      <rPr>
        <sz val="10"/>
        <color theme="1"/>
        <rFont val="メイリオ"/>
        <family val="3"/>
        <charset val="128"/>
      </rPr>
      <t xml:space="preserve">309</t>
    </r>
    <r>
      <rPr>
        <sz val="10"/>
        <color theme="1"/>
        <rFont val="WenQuanYi Zen Hei"/>
        <family val="2"/>
      </rPr>
      <t xml:space="preserve">番地</t>
    </r>
    <r>
      <rPr>
        <sz val="10"/>
        <color theme="1"/>
        <rFont val="メイリオ"/>
        <family val="3"/>
        <charset val="128"/>
      </rPr>
      <t xml:space="preserve">1</t>
    </r>
  </si>
  <si>
    <t xml:space="preserve">2026-044</t>
  </si>
  <si>
    <t xml:space="preserve">2026-045</t>
  </si>
  <si>
    <t xml:space="preserve">Audi TT Meeting 2026</t>
  </si>
  <si>
    <r>
      <rPr>
        <sz val="10"/>
        <color theme="1"/>
        <rFont val="WenQuanYi Zen Hei"/>
        <family val="2"/>
      </rPr>
      <t xml:space="preserve">事務局</t>
    </r>
    <r>
      <rPr>
        <sz val="10"/>
        <color theme="1"/>
        <rFont val="ＭＳ Ｐゴシック"/>
        <family val="3"/>
        <charset val="128"/>
      </rPr>
      <t xml:space="preserve">/</t>
    </r>
    <r>
      <rPr>
        <sz val="10"/>
        <color theme="1"/>
        <rFont val="WenQuanYi Zen Hei"/>
        <family val="2"/>
      </rPr>
      <t xml:space="preserve">幹事は当方手配　※一般参加者は</t>
    </r>
    <r>
      <rPr>
        <sz val="10"/>
        <color theme="1"/>
        <rFont val="ＭＳ Ｐゴシック"/>
        <family val="3"/>
        <charset val="128"/>
      </rPr>
      <t xml:space="preserve">Audi </t>
    </r>
    <r>
      <rPr>
        <sz val="10"/>
        <color theme="1"/>
        <rFont val="WenQuanYi Zen Hei"/>
        <family val="2"/>
      </rPr>
      <t xml:space="preserve">ホームページからプロモーションコードに応募⇔宿泊とする</t>
    </r>
  </si>
  <si>
    <t xml:space="preserve">直</t>
  </si>
  <si>
    <t xml:space="preserve">福嶋鉄平</t>
  </si>
  <si>
    <r>
      <rPr>
        <sz val="11"/>
        <color theme="1"/>
        <rFont val="WenQuanYi Zen Hei"/>
        <family val="2"/>
      </rPr>
      <t xml:space="preserve">〒</t>
    </r>
    <r>
      <rPr>
        <sz val="11"/>
        <color theme="1"/>
        <rFont val="ＭＳ Ｐゴシック"/>
        <family val="3"/>
        <charset val="128"/>
      </rPr>
      <t xml:space="preserve">381-2213</t>
    </r>
    <r>
      <rPr>
        <sz val="11"/>
        <color theme="1"/>
        <rFont val="WenQuanYi Zen Hei"/>
        <family val="2"/>
      </rPr>
      <t xml:space="preserve">　長野市広田</t>
    </r>
    <r>
      <rPr>
        <sz val="11"/>
        <color theme="1"/>
        <rFont val="ＭＳ Ｐゴシック"/>
        <family val="3"/>
        <charset val="128"/>
      </rPr>
      <t xml:space="preserve">3</t>
    </r>
  </si>
  <si>
    <t xml:space="preserve">026-284-5102</t>
  </si>
  <si>
    <t xml:space="preserve">info@runaway.co.jp</t>
  </si>
  <si>
    <t xml:space="preserve">car event</t>
  </si>
  <si>
    <t xml:space="preserve">japan</t>
  </si>
  <si>
    <t xml:space="preserve">2026-047</t>
  </si>
  <si>
    <t xml:space="preserve">ハウメット・シズテムズ・ジャパン　様　</t>
  </si>
  <si>
    <r>
      <rPr>
        <sz val="10"/>
        <color theme="1"/>
        <rFont val="ＭＳ Ｐゴシック"/>
        <family val="3"/>
        <charset val="128"/>
      </rPr>
      <t xml:space="preserve">5/1</t>
    </r>
    <r>
      <rPr>
        <sz val="10"/>
        <color theme="1"/>
        <rFont val="WenQuanYi Zen Hei"/>
        <family val="2"/>
      </rPr>
      <t xml:space="preserve">　仮予定　インセンティブパーティー開催　※海外の方</t>
    </r>
  </si>
  <si>
    <t xml:space="preserve">水谷しずる様</t>
  </si>
  <si>
    <r>
      <rPr>
        <sz val="11"/>
        <color theme="1"/>
        <rFont val="WenQuanYi Zen Hei"/>
        <family val="2"/>
      </rPr>
      <t xml:space="preserve">〒</t>
    </r>
    <r>
      <rPr>
        <sz val="11"/>
        <color theme="1"/>
        <rFont val="ＭＳ Ｐゴシック"/>
        <family val="3"/>
        <charset val="128"/>
      </rPr>
      <t xml:space="preserve">942-0032</t>
    </r>
    <r>
      <rPr>
        <sz val="11"/>
        <color theme="1"/>
        <rFont val="WenQuanYi Zen Hei"/>
        <family val="2"/>
      </rPr>
      <t xml:space="preserve">　新潟県上越市福田</t>
    </r>
    <r>
      <rPr>
        <sz val="11"/>
        <color theme="1"/>
        <rFont val="ＭＳ Ｐゴシック"/>
        <family val="3"/>
        <charset val="128"/>
      </rPr>
      <t xml:space="preserve">1</t>
    </r>
    <r>
      <rPr>
        <sz val="11"/>
        <color theme="1"/>
        <rFont val="WenQuanYi Zen Hei"/>
        <family val="2"/>
      </rPr>
      <t xml:space="preserve">　上越テクノセンター</t>
    </r>
  </si>
  <si>
    <t xml:space="preserve">080-7847-4601</t>
  </si>
  <si>
    <t xml:space="preserve">chizuru.mizutani@howmet.com</t>
  </si>
  <si>
    <t xml:space="preserve">日帰りパーティー</t>
  </si>
  <si>
    <t xml:space="preserve">2026-048</t>
  </si>
  <si>
    <r>
      <rPr>
        <sz val="10"/>
        <color theme="1"/>
        <rFont val="WenQuanYi Zen Hei"/>
        <family val="2"/>
      </rPr>
      <t xml:space="preserve">上越産業株式会社</t>
    </r>
    <r>
      <rPr>
        <sz val="10"/>
        <color theme="1"/>
        <rFont val="ＭＳ Ｐゴシック"/>
        <family val="3"/>
        <charset val="128"/>
      </rPr>
      <t xml:space="preserve">60</t>
    </r>
    <r>
      <rPr>
        <sz val="10"/>
        <color theme="1"/>
        <rFont val="WenQuanYi Zen Hei"/>
        <family val="2"/>
      </rPr>
      <t xml:space="preserve">周年祝賀会</t>
    </r>
  </si>
  <si>
    <r>
      <rPr>
        <sz val="10"/>
        <color theme="1"/>
        <rFont val="WenQuanYi Zen Hei"/>
        <family val="2"/>
      </rPr>
      <t xml:space="preserve">創業</t>
    </r>
    <r>
      <rPr>
        <sz val="10"/>
        <color theme="1"/>
        <rFont val="ＭＳ Ｐゴシック"/>
        <family val="3"/>
        <charset val="128"/>
      </rPr>
      <t xml:space="preserve">1966</t>
    </r>
    <r>
      <rPr>
        <sz val="10"/>
        <color theme="1"/>
        <rFont val="WenQuanYi Zen Hei"/>
        <family val="2"/>
      </rPr>
      <t xml:space="preserve">年、創業</t>
    </r>
    <r>
      <rPr>
        <sz val="10"/>
        <color theme="1"/>
        <rFont val="ＭＳ Ｐゴシック"/>
        <family val="3"/>
        <charset val="128"/>
      </rPr>
      <t xml:space="preserve">60</t>
    </r>
    <r>
      <rPr>
        <sz val="10"/>
        <color theme="1"/>
        <rFont val="WenQuanYi Zen Hei"/>
        <family val="2"/>
      </rPr>
      <t xml:space="preserve">周年の周年行事</t>
    </r>
  </si>
  <si>
    <t xml:space="preserve">㈱日本旅行　長岡支店</t>
  </si>
  <si>
    <t xml:space="preserve">長岡　佳則</t>
  </si>
  <si>
    <r>
      <rPr>
        <sz val="11"/>
        <color theme="1"/>
        <rFont val="WenQuanYi Zen Hei"/>
        <family val="2"/>
      </rPr>
      <t xml:space="preserve">〒</t>
    </r>
    <r>
      <rPr>
        <sz val="11"/>
        <color theme="1"/>
        <rFont val="ＭＳ Ｐゴシック"/>
        <family val="3"/>
        <charset val="128"/>
      </rPr>
      <t xml:space="preserve">940-0071 </t>
    </r>
    <r>
      <rPr>
        <sz val="11"/>
        <color theme="1"/>
        <rFont val="WenQuanYi Zen Hei"/>
        <family val="2"/>
      </rPr>
      <t xml:space="preserve">新潟県長岡市表町</t>
    </r>
    <r>
      <rPr>
        <sz val="11"/>
        <color theme="1"/>
        <rFont val="ＭＳ Ｐゴシック"/>
        <family val="3"/>
        <charset val="128"/>
      </rPr>
      <t xml:space="preserve">1-11-1 </t>
    </r>
    <r>
      <rPr>
        <sz val="11"/>
        <color theme="1"/>
        <rFont val="WenQuanYi Zen Hei"/>
        <family val="2"/>
      </rPr>
      <t xml:space="preserve">長岡フロントビル</t>
    </r>
    <r>
      <rPr>
        <sz val="11"/>
        <color theme="1"/>
        <rFont val="ＭＳ Ｐゴシック"/>
        <family val="3"/>
        <charset val="128"/>
      </rPr>
      <t xml:space="preserve">6</t>
    </r>
    <r>
      <rPr>
        <sz val="11"/>
        <color theme="1"/>
        <rFont val="WenQuanYi Zen Hei"/>
        <family val="2"/>
      </rPr>
      <t xml:space="preserve">階</t>
    </r>
  </si>
  <si>
    <t xml:space="preserve"> 0258-88-2500</t>
  </si>
  <si>
    <t xml:space="preserve">yoshinori_nagaoka@nta.co.jp</t>
  </si>
  <si>
    <t xml:space="preserve">はねうま</t>
  </si>
  <si>
    <t xml:space="preserve">2026-050</t>
  </si>
  <si>
    <r>
      <rPr>
        <sz val="10"/>
        <color theme="1"/>
        <rFont val="ＭＳ Ｐゴシック"/>
        <family val="3"/>
        <charset val="128"/>
      </rPr>
      <t xml:space="preserve">84485</t>
    </r>
    <r>
      <rPr>
        <sz val="10"/>
        <color theme="1"/>
        <rFont val="WenQuanYi Zen Hei"/>
        <family val="2"/>
      </rPr>
      <t xml:space="preserve">ホテル立山とアルペンルート</t>
    </r>
  </si>
  <si>
    <t xml:space="preserve">エスコート</t>
  </si>
  <si>
    <t xml:space="preserve">クラブツーリズム</t>
  </si>
  <si>
    <t xml:space="preserve">山西</t>
  </si>
  <si>
    <r>
      <rPr>
        <sz val="11"/>
        <color theme="1"/>
        <rFont val="WenQuanYi Zen Hei"/>
        <family val="2"/>
      </rPr>
      <t xml:space="preserve">〒</t>
    </r>
    <r>
      <rPr>
        <sz val="11"/>
        <color theme="1"/>
        <rFont val="ＭＳ Ｐゴシック"/>
        <family val="3"/>
        <charset val="128"/>
      </rPr>
      <t xml:space="preserve">107-6332</t>
    </r>
    <r>
      <rPr>
        <sz val="11"/>
        <color theme="1"/>
        <rFont val="WenQuanYi Zen Hei"/>
        <family val="2"/>
      </rPr>
      <t xml:space="preserve">　東京都港区赤坂</t>
    </r>
    <r>
      <rPr>
        <sz val="11"/>
        <color theme="1"/>
        <rFont val="ＭＳ Ｐゴシック"/>
        <family val="3"/>
        <charset val="128"/>
      </rPr>
      <t xml:space="preserve">5-3-2</t>
    </r>
    <r>
      <rPr>
        <sz val="11"/>
        <color theme="1"/>
        <rFont val="WenQuanYi Zen Hei"/>
        <family val="2"/>
      </rPr>
      <t xml:space="preserve">　赤坂</t>
    </r>
    <r>
      <rPr>
        <sz val="11"/>
        <color theme="1"/>
        <rFont val="ＭＳ Ｐゴシック"/>
        <family val="3"/>
        <charset val="128"/>
      </rPr>
      <t xml:space="preserve">Biz</t>
    </r>
    <r>
      <rPr>
        <sz val="11"/>
        <color theme="1"/>
        <rFont val="WenQuanYi Zen Hei"/>
        <family val="2"/>
      </rPr>
      <t xml:space="preserve">タワー</t>
    </r>
  </si>
  <si>
    <r>
      <rPr>
        <sz val="11"/>
        <color theme="1"/>
        <rFont val="WenQuanYi Zen Hei"/>
        <family val="2"/>
      </rPr>
      <t xml:space="preserve">０７０‐</t>
    </r>
    <r>
      <rPr>
        <sz val="11"/>
        <color theme="1"/>
        <rFont val="ＭＳ Ｐゴシック"/>
        <family val="3"/>
        <charset val="128"/>
      </rPr>
      <t xml:space="preserve">2649₋9956</t>
    </r>
  </si>
  <si>
    <t xml:space="preserve">2026-051</t>
  </si>
  <si>
    <r>
      <rPr>
        <sz val="10"/>
        <color theme="1"/>
        <rFont val="ＭＳ Ｐゴシック"/>
        <family val="3"/>
        <charset val="128"/>
      </rPr>
      <t xml:space="preserve">84486</t>
    </r>
    <r>
      <rPr>
        <sz val="10"/>
        <color theme="1"/>
        <rFont val="WenQuanYi Zen Hei"/>
        <family val="2"/>
      </rPr>
      <t xml:space="preserve">ホテル立山とアルペンルート</t>
    </r>
  </si>
  <si>
    <t xml:space="preserve">2026-052</t>
  </si>
  <si>
    <r>
      <rPr>
        <sz val="10"/>
        <color theme="1"/>
        <rFont val="ＭＳ Ｐゴシック"/>
        <family val="3"/>
        <charset val="128"/>
      </rPr>
      <t xml:space="preserve">84487</t>
    </r>
    <r>
      <rPr>
        <sz val="10"/>
        <color theme="1"/>
        <rFont val="WenQuanYi Zen Hei"/>
        <family val="2"/>
      </rPr>
      <t xml:space="preserve">ホテル立山とアルペンルート</t>
    </r>
  </si>
  <si>
    <t xml:space="preserve">2026-053</t>
  </si>
  <si>
    <r>
      <rPr>
        <sz val="10"/>
        <color theme="1"/>
        <rFont val="WenQuanYi Zen Hei"/>
        <family val="2"/>
      </rPr>
      <t xml:space="preserve">４</t>
    </r>
    <r>
      <rPr>
        <sz val="10"/>
        <color theme="1"/>
        <rFont val="ＭＳ Ｐゴシック"/>
        <family val="3"/>
        <charset val="128"/>
      </rPr>
      <t xml:space="preserve">T05</t>
    </r>
    <r>
      <rPr>
        <sz val="10"/>
        <color theme="1"/>
        <rFont val="WenQuanYi Zen Hei"/>
        <family val="2"/>
      </rPr>
      <t xml:space="preserve">　春の高山祭・高田の夜桜・高遠③</t>
    </r>
  </si>
  <si>
    <t xml:space="preserve">阪急交通社　松山支店　</t>
  </si>
  <si>
    <t xml:space="preserve">辻田</t>
  </si>
  <si>
    <r>
      <rPr>
        <sz val="10"/>
        <color theme="1"/>
        <rFont val="WenQuanYi Zen Hei"/>
        <family val="2"/>
      </rPr>
      <t xml:space="preserve">〒</t>
    </r>
    <r>
      <rPr>
        <sz val="10"/>
        <color theme="1"/>
        <rFont val="ＭＳ Ｐゴシック"/>
        <family val="3"/>
        <charset val="128"/>
      </rPr>
      <t xml:space="preserve">880</t>
    </r>
    <r>
      <rPr>
        <sz val="10"/>
        <color theme="1"/>
        <rFont val="WenQuanYi Zen Hei"/>
        <family val="2"/>
      </rPr>
      <t xml:space="preserve">－</t>
    </r>
    <r>
      <rPr>
        <sz val="10"/>
        <color theme="1"/>
        <rFont val="ＭＳ Ｐゴシック"/>
        <family val="3"/>
        <charset val="128"/>
      </rPr>
      <t xml:space="preserve">0806</t>
    </r>
    <r>
      <rPr>
        <sz val="10"/>
        <color theme="1"/>
        <rFont val="WenQuanYi Zen Hei"/>
        <family val="2"/>
      </rPr>
      <t xml:space="preserve">　宮崎市広島１－</t>
    </r>
    <r>
      <rPr>
        <sz val="10"/>
        <color theme="1"/>
        <rFont val="ＭＳ Ｐゴシック"/>
        <family val="3"/>
        <charset val="128"/>
      </rPr>
      <t xml:space="preserve">18</t>
    </r>
    <r>
      <rPr>
        <sz val="10"/>
        <color theme="1"/>
        <rFont val="WenQuanYi Zen Hei"/>
        <family val="2"/>
      </rPr>
      <t xml:space="preserve">－</t>
    </r>
    <r>
      <rPr>
        <sz val="10"/>
        <color theme="1"/>
        <rFont val="ＭＳ Ｐゴシック"/>
        <family val="3"/>
        <charset val="128"/>
      </rPr>
      <t xml:space="preserve">12</t>
    </r>
    <r>
      <rPr>
        <sz val="10"/>
        <color theme="1"/>
        <rFont val="WenQuanYi Zen Hei"/>
        <family val="2"/>
      </rPr>
      <t xml:space="preserve">　宮崎フコク生命ビル３</t>
    </r>
    <r>
      <rPr>
        <sz val="10"/>
        <color theme="1"/>
        <rFont val="ＭＳ Ｐゴシック"/>
        <family val="3"/>
        <charset val="128"/>
      </rPr>
      <t xml:space="preserve">F</t>
    </r>
  </si>
  <si>
    <r>
      <rPr>
        <sz val="10"/>
        <color rgb="FF000000"/>
        <rFont val="ＭＳ ゴシック"/>
        <family val="2"/>
        <charset val="128"/>
      </rPr>
      <t xml:space="preserve">0985</t>
    </r>
    <r>
      <rPr>
        <sz val="10"/>
        <color rgb="FF000000"/>
        <rFont val="WenQuanYi Zen Hei"/>
        <family val="2"/>
      </rPr>
      <t xml:space="preserve">－</t>
    </r>
    <r>
      <rPr>
        <sz val="10"/>
        <color rgb="FF000000"/>
        <rFont val="ＭＳ ゴシック"/>
        <family val="2"/>
        <charset val="128"/>
      </rPr>
      <t xml:space="preserve">26</t>
    </r>
    <r>
      <rPr>
        <sz val="10"/>
        <color rgb="FF000000"/>
        <rFont val="WenQuanYi Zen Hei"/>
        <family val="2"/>
      </rPr>
      <t xml:space="preserve">－</t>
    </r>
    <r>
      <rPr>
        <sz val="10"/>
        <color rgb="FF000000"/>
        <rFont val="ＭＳ ゴシック"/>
        <family val="2"/>
        <charset val="128"/>
      </rPr>
      <t xml:space="preserve">2626</t>
    </r>
  </si>
  <si>
    <t xml:space="preserve">2026-054</t>
  </si>
  <si>
    <t xml:space="preserve">家族旅行（アワシマ様）</t>
  </si>
  <si>
    <t xml:space="preserve">新富旅行株式会社</t>
  </si>
  <si>
    <t xml:space="preserve">竹鼻</t>
  </si>
  <si>
    <r>
      <rPr>
        <sz val="9"/>
        <color theme="1"/>
        <rFont val="WenQuanYi Zen Hei"/>
        <family val="2"/>
      </rPr>
      <t xml:space="preserve">〒</t>
    </r>
    <r>
      <rPr>
        <sz val="9"/>
        <color theme="1"/>
        <rFont val="ＭＳ Ｐゴシック"/>
        <family val="3"/>
        <charset val="128"/>
      </rPr>
      <t xml:space="preserve">930-0041</t>
    </r>
    <r>
      <rPr>
        <sz val="9"/>
        <color theme="1"/>
        <rFont val="WenQuanYi Zen Hei"/>
        <family val="2"/>
      </rPr>
      <t xml:space="preserve">富山県富山市向川原町</t>
    </r>
    <r>
      <rPr>
        <sz val="9"/>
        <color theme="1"/>
        <rFont val="ＭＳ Ｐゴシック"/>
        <family val="3"/>
        <charset val="128"/>
      </rPr>
      <t xml:space="preserve">2</t>
    </r>
    <r>
      <rPr>
        <sz val="9"/>
        <color theme="1"/>
        <rFont val="WenQuanYi Zen Hei"/>
        <family val="2"/>
      </rPr>
      <t xml:space="preserve">ｰ</t>
    </r>
    <r>
      <rPr>
        <sz val="9"/>
        <color theme="1"/>
        <rFont val="ＭＳ Ｐゴシック"/>
        <family val="3"/>
        <charset val="128"/>
      </rPr>
      <t xml:space="preserve">23</t>
    </r>
    <r>
      <rPr>
        <sz val="9"/>
        <color theme="1"/>
        <rFont val="WenQuanYi Zen Hei"/>
        <family val="2"/>
      </rPr>
      <t xml:space="preserve">ダイアパレス雪見橋１</t>
    </r>
    <r>
      <rPr>
        <sz val="9"/>
        <color theme="1"/>
        <rFont val="ＭＳ Ｐゴシック"/>
        <family val="3"/>
        <charset val="128"/>
      </rPr>
      <t xml:space="preserve">F</t>
    </r>
  </si>
  <si>
    <r>
      <rPr>
        <sz val="11"/>
        <color theme="1"/>
        <rFont val="ＭＳ Ｐゴシック"/>
        <family val="3"/>
        <charset val="128"/>
      </rPr>
      <t xml:space="preserve">076</t>
    </r>
    <r>
      <rPr>
        <sz val="11"/>
        <color theme="1"/>
        <rFont val="WenQuanYi Zen Hei"/>
        <family val="2"/>
      </rPr>
      <t xml:space="preserve">ｰ</t>
    </r>
    <r>
      <rPr>
        <sz val="11"/>
        <color theme="1"/>
        <rFont val="ＭＳ Ｐゴシック"/>
        <family val="3"/>
        <charset val="128"/>
      </rPr>
      <t xml:space="preserve">491-3223</t>
    </r>
  </si>
  <si>
    <t xml:space="preserve">str-kk@nzm.jrnet.ne.jp</t>
  </si>
  <si>
    <t xml:space="preserve">個人</t>
  </si>
  <si>
    <r>
      <rPr>
        <sz val="9"/>
        <color theme="1"/>
        <rFont val="WenQuanYi Zen Hei"/>
        <family val="2"/>
      </rPr>
      <t xml:space="preserve">添寝　お食事費用　</t>
    </r>
    <r>
      <rPr>
        <sz val="9"/>
        <color theme="1"/>
        <rFont val="ＭＳ Ｐゴシック"/>
        <family val="3"/>
        <charset val="128"/>
      </rPr>
      <t xml:space="preserve">5,170</t>
    </r>
    <r>
      <rPr>
        <sz val="9"/>
        <color theme="1"/>
        <rFont val="WenQuanYi Zen Hei"/>
        <family val="2"/>
      </rPr>
      <t xml:space="preserve">円（税別）</t>
    </r>
  </si>
  <si>
    <t xml:space="preserve">2026-055</t>
  </si>
  <si>
    <t xml:space="preserve">LON-1031</t>
  </si>
  <si>
    <t xml:space="preserve">台湾ツアー</t>
  </si>
  <si>
    <t xml:space="preserve">LION TRAVEL</t>
  </si>
  <si>
    <t xml:space="preserve">黃冠穎</t>
  </si>
  <si>
    <r>
      <rPr>
        <sz val="11"/>
        <color theme="1"/>
        <rFont val="WenQuanYi Zen Hei"/>
        <family val="2"/>
      </rPr>
      <t xml:space="preserve">台北市內湖區石潭路</t>
    </r>
    <r>
      <rPr>
        <sz val="11"/>
        <color theme="1"/>
        <rFont val="Malgun Gothic"/>
        <family val="3"/>
        <charset val="129"/>
      </rPr>
      <t xml:space="preserve">151</t>
    </r>
    <r>
      <rPr>
        <sz val="11"/>
        <color theme="1"/>
        <rFont val="WenQuanYi Zen Hei"/>
        <family val="2"/>
      </rPr>
      <t xml:space="preserve">號</t>
    </r>
  </si>
  <si>
    <t xml:space="preserve">+886-922-966-308</t>
  </si>
  <si>
    <t xml:space="preserve">karinahuang@liontravel.com</t>
  </si>
  <si>
    <t xml:space="preserve">小池</t>
  </si>
  <si>
    <t xml:space="preserve">現地一括</t>
  </si>
  <si>
    <t xml:space="preserve">2026-056</t>
  </si>
  <si>
    <t xml:space="preserve">LION-1107</t>
  </si>
  <si>
    <t xml:space="preserve">2026-057</t>
  </si>
  <si>
    <t xml:space="preserve">ファスティングライフ株式会社</t>
  </si>
  <si>
    <t xml:space="preserve">視察研修</t>
  </si>
  <si>
    <t xml:space="preserve">阿部泰三</t>
  </si>
  <si>
    <r>
      <rPr>
        <sz val="11"/>
        <color theme="1"/>
        <rFont val="WenQuanYi Zen Hei"/>
        <family val="2"/>
      </rPr>
      <t xml:space="preserve">〒</t>
    </r>
    <r>
      <rPr>
        <sz val="11"/>
        <color theme="1"/>
        <rFont val="ＭＳ Ｐゴシック"/>
        <family val="3"/>
        <charset val="128"/>
      </rPr>
      <t xml:space="preserve">130-0022</t>
    </r>
    <r>
      <rPr>
        <sz val="11"/>
        <color theme="1"/>
        <rFont val="WenQuanYi Zen Hei"/>
        <family val="2"/>
      </rPr>
      <t xml:space="preserve">　東京都墨田区江東橋</t>
    </r>
    <r>
      <rPr>
        <sz val="11"/>
        <color theme="1"/>
        <rFont val="ＭＳ Ｐゴシック"/>
        <family val="3"/>
        <charset val="128"/>
      </rPr>
      <t xml:space="preserve">2-3-11</t>
    </r>
    <r>
      <rPr>
        <sz val="11"/>
        <color theme="1"/>
        <rFont val="WenQuanYi Zen Hei"/>
        <family val="2"/>
      </rPr>
      <t xml:space="preserve">　ベルナ錦糸町１階</t>
    </r>
  </si>
  <si>
    <t xml:space="preserve">03-6659-9571</t>
  </si>
  <si>
    <t xml:space="preserve">2026-058</t>
  </si>
  <si>
    <t xml:space="preserve">ピーナッツ会</t>
  </si>
  <si>
    <t xml:space="preserve">トラベル愛ランド</t>
  </si>
  <si>
    <t xml:space="preserve">水口 亜由美</t>
  </si>
  <si>
    <r>
      <rPr>
        <sz val="11"/>
        <color theme="1"/>
        <rFont val="WenQuanYi Zen Hei"/>
        <family val="2"/>
      </rPr>
      <t xml:space="preserve">石川県七尾市御祓町</t>
    </r>
    <r>
      <rPr>
        <sz val="11"/>
        <color theme="1"/>
        <rFont val="ＭＳ Ｐゴシック"/>
        <family val="3"/>
        <charset val="128"/>
      </rPr>
      <t xml:space="preserve">1</t>
    </r>
    <r>
      <rPr>
        <sz val="11"/>
        <color theme="1"/>
        <rFont val="WenQuanYi Zen Hei"/>
        <family val="2"/>
      </rPr>
      <t xml:space="preserve">番地 パトリア</t>
    </r>
    <r>
      <rPr>
        <sz val="11"/>
        <color theme="1"/>
        <rFont val="ＭＳ Ｐゴシック"/>
        <family val="3"/>
        <charset val="128"/>
      </rPr>
      <t xml:space="preserve">1</t>
    </r>
    <r>
      <rPr>
        <sz val="11"/>
        <color theme="1"/>
        <rFont val="WenQuanYi Zen Hei"/>
        <family val="2"/>
      </rPr>
      <t xml:space="preserve">階</t>
    </r>
  </si>
  <si>
    <t xml:space="preserve">0767-53-7744</t>
  </si>
  <si>
    <t xml:space="preserve">ayumi@travelailand.com</t>
  </si>
  <si>
    <t xml:space="preserve">2026-059</t>
  </si>
  <si>
    <t xml:space="preserve">デヴィご夫人　他　ご一行様</t>
  </si>
  <si>
    <t xml:space="preserve">一般</t>
  </si>
  <si>
    <t xml:space="preserve">田中見佳　様</t>
  </si>
  <si>
    <r>
      <rPr>
        <sz val="11"/>
        <color theme="1"/>
        <rFont val="WenQuanYi Zen Hei"/>
        <family val="2"/>
      </rPr>
      <t xml:space="preserve">オフィス　スカルノ事務所　〒東京都渋谷区神山町</t>
    </r>
    <r>
      <rPr>
        <sz val="11"/>
        <color theme="1"/>
        <rFont val="ＭＳ Ｐゴシック"/>
        <family val="3"/>
        <charset val="128"/>
      </rPr>
      <t xml:space="preserve">31-1</t>
    </r>
  </si>
  <si>
    <t xml:space="preserve">03-5465-0050</t>
  </si>
  <si>
    <r>
      <rPr>
        <sz val="9"/>
        <color theme="1"/>
        <rFont val="WenQuanYi Zen Hei"/>
        <family val="2"/>
      </rPr>
      <t xml:space="preserve">クラブ＃</t>
    </r>
    <r>
      <rPr>
        <sz val="9"/>
        <color theme="1"/>
        <rFont val="ＭＳ Ｐゴシック"/>
        <family val="3"/>
        <charset val="128"/>
      </rPr>
      <t xml:space="preserve">2502</t>
    </r>
    <r>
      <rPr>
        <sz val="9"/>
        <color theme="1"/>
        <rFont val="WenQuanYi Zen Hei"/>
        <family val="2"/>
      </rPr>
      <t xml:space="preserve">　デヴィ夫人田中見佳様　＃</t>
    </r>
    <r>
      <rPr>
        <sz val="9"/>
        <color theme="1"/>
        <rFont val="ＭＳ Ｐゴシック"/>
        <family val="3"/>
        <charset val="128"/>
      </rPr>
      <t xml:space="preserve">2504</t>
    </r>
    <r>
      <rPr>
        <sz val="9"/>
        <color theme="1"/>
        <rFont val="WenQuanYi Zen Hei"/>
        <family val="2"/>
      </rPr>
      <t xml:space="preserve">都築多佳恵様　新出</t>
    </r>
  </si>
  <si>
    <t xml:space="preserve">2026-060</t>
  </si>
  <si>
    <r>
      <rPr>
        <sz val="11"/>
        <color theme="1"/>
        <rFont val="ＭＳ Ｐゴシック"/>
        <family val="3"/>
        <charset val="128"/>
      </rPr>
      <t xml:space="preserve">3059M</t>
    </r>
    <r>
      <rPr>
        <sz val="11"/>
        <color theme="1"/>
        <rFont val="WenQuanYi Zen Hei"/>
        <family val="2"/>
      </rPr>
      <t xml:space="preserve">　「高田の桜」と「高遠の桜」信越名城と善光寺・富士 </t>
    </r>
    <r>
      <rPr>
        <sz val="11"/>
        <color theme="1"/>
        <rFont val="ＭＳ Ｐゴシック"/>
        <family val="3"/>
        <charset val="128"/>
      </rPr>
      <t xml:space="preserve">3</t>
    </r>
    <r>
      <rPr>
        <sz val="11"/>
        <color theme="1"/>
        <rFont val="WenQuanYi Zen Hei"/>
        <family val="2"/>
      </rPr>
      <t xml:space="preserve">日間</t>
    </r>
  </si>
  <si>
    <t xml:space="preserve">㈱阪急交通社　宮崎支店　</t>
  </si>
  <si>
    <t xml:space="preserve">松崎　夏美</t>
  </si>
  <si>
    <r>
      <rPr>
        <sz val="11"/>
        <color theme="1"/>
        <rFont val="ＭＳ Ｐゴシック"/>
        <family val="3"/>
        <charset val="128"/>
      </rPr>
      <t xml:space="preserve">880-0806</t>
    </r>
    <r>
      <rPr>
        <sz val="11"/>
        <color theme="1"/>
        <rFont val="WenQuanYi Zen Hei"/>
        <family val="2"/>
      </rPr>
      <t xml:space="preserve">　宮崎市広島</t>
    </r>
    <r>
      <rPr>
        <sz val="11"/>
        <color theme="1"/>
        <rFont val="ＭＳ Ｐゴシック"/>
        <family val="3"/>
        <charset val="128"/>
      </rPr>
      <t xml:space="preserve">1-18-12 </t>
    </r>
    <r>
      <rPr>
        <sz val="11"/>
        <color theme="1"/>
        <rFont val="WenQuanYi Zen Hei"/>
        <family val="2"/>
      </rPr>
      <t xml:space="preserve">宮崎フコク生命ビル</t>
    </r>
    <r>
      <rPr>
        <sz val="11"/>
        <color theme="1"/>
        <rFont val="ＭＳ Ｐゴシック"/>
        <family val="3"/>
        <charset val="128"/>
      </rPr>
      <t xml:space="preserve">3</t>
    </r>
    <r>
      <rPr>
        <sz val="11"/>
        <color theme="1"/>
        <rFont val="WenQuanYi Zen Hei"/>
        <family val="2"/>
      </rPr>
      <t xml:space="preserve">階</t>
    </r>
  </si>
  <si>
    <t xml:space="preserve">0985‐26‐3636</t>
  </si>
  <si>
    <r>
      <rPr>
        <sz val="10"/>
        <color theme="1"/>
        <rFont val="WenQuanYi Zen Hei"/>
        <family val="2"/>
      </rPr>
      <t xml:space="preserve">３０５９</t>
    </r>
    <r>
      <rPr>
        <sz val="10"/>
        <color theme="1"/>
        <rFont val="ＭＳ Ｐゴシック"/>
        <family val="3"/>
        <charset val="128"/>
      </rPr>
      <t xml:space="preserve">M</t>
    </r>
  </si>
  <si>
    <t xml:space="preserve">2026-061</t>
  </si>
  <si>
    <t xml:space="preserve">阿部泰三様</t>
  </si>
  <si>
    <t xml:space="preserve">2026-062</t>
  </si>
  <si>
    <r>
      <rPr>
        <sz val="11"/>
        <color theme="1"/>
        <rFont val="WenQuanYi Zen Hei"/>
        <family val="2"/>
      </rPr>
      <t xml:space="preserve">第</t>
    </r>
    <r>
      <rPr>
        <sz val="11"/>
        <color theme="1"/>
        <rFont val="ＭＳ Ｐゴシック"/>
        <family val="3"/>
        <charset val="128"/>
      </rPr>
      <t xml:space="preserve">53</t>
    </r>
    <r>
      <rPr>
        <sz val="11"/>
        <color theme="1"/>
        <rFont val="WenQuanYi Zen Hei"/>
        <family val="2"/>
      </rPr>
      <t xml:space="preserve">回 全国高等学校選抜卓球大会</t>
    </r>
  </si>
  <si>
    <t xml:space="preserve">2026-063</t>
  </si>
  <si>
    <r>
      <rPr>
        <sz val="11"/>
        <color theme="1"/>
        <rFont val="WenQuanYi Zen Hei"/>
        <family val="2"/>
      </rPr>
      <t xml:space="preserve">日帰り会議</t>
    </r>
    <r>
      <rPr>
        <sz val="11"/>
        <color theme="1"/>
        <rFont val="ＭＳ Ｐゴシック"/>
        <family val="3"/>
        <charset val="128"/>
      </rPr>
      <t xml:space="preserve">/</t>
    </r>
    <r>
      <rPr>
        <sz val="11"/>
        <color theme="1"/>
        <rFont val="WenQuanYi Zen Hei"/>
        <family val="2"/>
      </rPr>
      <t xml:space="preserve">懇親会　</t>
    </r>
    <r>
      <rPr>
        <sz val="11"/>
        <color theme="1"/>
        <rFont val="ＭＳ Ｐゴシック"/>
        <family val="3"/>
        <charset val="128"/>
      </rPr>
      <t xml:space="preserve">JCI</t>
    </r>
    <r>
      <rPr>
        <sz val="11"/>
        <color theme="1"/>
        <rFont val="WenQuanYi Zen Hei"/>
        <family val="2"/>
      </rPr>
      <t xml:space="preserve">妙高青年会議所</t>
    </r>
  </si>
  <si>
    <t xml:space="preserve">小島奨吾様</t>
  </si>
  <si>
    <r>
      <rPr>
        <sz val="11"/>
        <color theme="1"/>
        <rFont val="WenQuanYi Zen Hei"/>
        <family val="2"/>
      </rPr>
      <t xml:space="preserve">勤務地〒</t>
    </r>
    <r>
      <rPr>
        <sz val="11"/>
        <color theme="1"/>
        <rFont val="ＭＳ Ｐゴシック"/>
        <family val="3"/>
        <charset val="128"/>
      </rPr>
      <t xml:space="preserve">950-0087</t>
    </r>
    <r>
      <rPr>
        <sz val="11"/>
        <color theme="1"/>
        <rFont val="WenQuanYi Zen Hei"/>
        <family val="2"/>
      </rPr>
      <t xml:space="preserve">　新潟市中央区東大通</t>
    </r>
    <r>
      <rPr>
        <sz val="11"/>
        <color theme="1"/>
        <rFont val="ＭＳ Ｐゴシック"/>
        <family val="3"/>
        <charset val="128"/>
      </rPr>
      <t xml:space="preserve">2-4-4</t>
    </r>
    <r>
      <rPr>
        <sz val="11"/>
        <color theme="1"/>
        <rFont val="WenQuanYi Zen Hei"/>
        <family val="2"/>
      </rPr>
      <t xml:space="preserve">　日生不動産ビル</t>
    </r>
    <r>
      <rPr>
        <sz val="11"/>
        <color theme="1"/>
        <rFont val="ＭＳ Ｐゴシック"/>
        <family val="3"/>
        <charset val="128"/>
      </rPr>
      <t xml:space="preserve">6F</t>
    </r>
  </si>
  <si>
    <t xml:space="preserve">090-4545-8105</t>
  </si>
  <si>
    <t xml:space="preserve">syhyk0827@yahoo.co.jp</t>
  </si>
  <si>
    <r>
      <rPr>
        <sz val="9"/>
        <color theme="1"/>
        <rFont val="WenQuanYi Zen Hei"/>
        <family val="2"/>
      </rPr>
      <t xml:space="preserve">セミナールーム会議</t>
    </r>
    <r>
      <rPr>
        <sz val="9"/>
        <color theme="1"/>
        <rFont val="ＭＳ Ｐゴシック"/>
        <family val="3"/>
        <charset val="128"/>
      </rPr>
      <t xml:space="preserve">80</t>
    </r>
    <r>
      <rPr>
        <sz val="9"/>
        <color theme="1"/>
        <rFont val="WenQuanYi Zen Hei"/>
        <family val="2"/>
      </rPr>
      <t xml:space="preserve">名　はねうま会場　懇親会　料理￥</t>
    </r>
    <r>
      <rPr>
        <sz val="9"/>
        <color theme="1"/>
        <rFont val="ＭＳ Ｐゴシック"/>
        <family val="3"/>
        <charset val="128"/>
      </rPr>
      <t xml:space="preserve">6.000/</t>
    </r>
    <r>
      <rPr>
        <sz val="9"/>
        <color theme="1"/>
        <rFont val="WenQuanYi Zen Hei"/>
        <family val="2"/>
      </rPr>
      <t xml:space="preserve">税別　飲み放題￥</t>
    </r>
    <r>
      <rPr>
        <sz val="9"/>
        <color theme="1"/>
        <rFont val="ＭＳ Ｐゴシック"/>
        <family val="3"/>
        <charset val="128"/>
      </rPr>
      <t xml:space="preserve">3.500/</t>
    </r>
    <r>
      <rPr>
        <sz val="9"/>
        <color theme="1"/>
        <rFont val="WenQuanYi Zen Hei"/>
        <family val="2"/>
      </rPr>
      <t xml:space="preserve">別　　　※会場費用￥</t>
    </r>
    <r>
      <rPr>
        <sz val="9"/>
        <color theme="1"/>
        <rFont val="ＭＳ Ｐゴシック"/>
        <family val="3"/>
        <charset val="128"/>
      </rPr>
      <t xml:space="preserve">50.000/</t>
    </r>
    <r>
      <rPr>
        <sz val="9"/>
        <color theme="1"/>
        <rFont val="WenQuanYi Zen Hei"/>
        <family val="2"/>
      </rPr>
      <t xml:space="preserve">税別　　他所のホテルと競合　相見積もり中　　　　　　　　　　　　　</t>
    </r>
  </si>
  <si>
    <t xml:space="preserve">2026-064</t>
  </si>
  <si>
    <t xml:space="preserve">旧三和中卒業生同窓会</t>
  </si>
  <si>
    <t xml:space="preserve">同窓会直受け</t>
  </si>
  <si>
    <t xml:space="preserve">金子恵美様</t>
  </si>
  <si>
    <r>
      <rPr>
        <sz val="12"/>
        <color theme="1"/>
        <rFont val="WenQuanYi Zen Hei"/>
        <family val="2"/>
      </rPr>
      <t xml:space="preserve">勤務先　妙高市朝日町１丁目８</t>
    </r>
    <r>
      <rPr>
        <sz val="12"/>
        <color theme="1"/>
        <rFont val="ＭＳ Ｐゴシック"/>
        <family val="3"/>
        <charset val="128"/>
      </rPr>
      <t xml:space="preserve">-1</t>
    </r>
  </si>
  <si>
    <t xml:space="preserve">0120-72-2516</t>
  </si>
  <si>
    <r>
      <rPr>
        <sz val="9"/>
        <color theme="1"/>
        <rFont val="ＭＳ Ｐゴシック"/>
        <family val="3"/>
        <charset val="128"/>
      </rPr>
      <t xml:space="preserve">4/15</t>
    </r>
    <r>
      <rPr>
        <sz val="9"/>
        <color theme="1"/>
        <rFont val="WenQuanYi Zen Hei"/>
        <family val="2"/>
      </rPr>
      <t xml:space="preserve">日までに確認　※返信締切日確認</t>
    </r>
  </si>
  <si>
    <t xml:space="preserve">2026-065</t>
  </si>
  <si>
    <t xml:space="preserve">妙高グリーンエナジー株式会社</t>
  </si>
  <si>
    <t xml:space="preserve">懇親会　宿泊</t>
  </si>
  <si>
    <t xml:space="preserve">渡辺将和　様</t>
  </si>
  <si>
    <r>
      <rPr>
        <sz val="11"/>
        <color theme="1"/>
        <rFont val="WenQuanYi Zen Hei"/>
        <family val="2"/>
      </rPr>
      <t xml:space="preserve">〒</t>
    </r>
    <r>
      <rPr>
        <sz val="11"/>
        <color theme="1"/>
        <rFont val="ＭＳ Ｐゴシック"/>
        <family val="3"/>
        <charset val="128"/>
      </rPr>
      <t xml:space="preserve">944-0005</t>
    </r>
    <r>
      <rPr>
        <sz val="11"/>
        <color theme="1"/>
        <rFont val="WenQuanYi Zen Hei"/>
        <family val="2"/>
      </rPr>
      <t xml:space="preserve">　妙高市中川</t>
    </r>
    <r>
      <rPr>
        <sz val="11"/>
        <color theme="1"/>
        <rFont val="ＭＳ Ｐゴシック"/>
        <family val="3"/>
        <charset val="128"/>
      </rPr>
      <t xml:space="preserve">3</t>
    </r>
    <r>
      <rPr>
        <sz val="11"/>
        <color theme="1"/>
        <rFont val="WenQuanYi Zen Hei"/>
        <family val="2"/>
      </rPr>
      <t xml:space="preserve">番</t>
    </r>
    <r>
      <rPr>
        <sz val="11"/>
        <color theme="1"/>
        <rFont val="ＭＳ Ｐゴシック"/>
        <family val="3"/>
        <charset val="128"/>
      </rPr>
      <t xml:space="preserve">20</t>
    </r>
    <r>
      <rPr>
        <sz val="11"/>
        <color theme="1"/>
        <rFont val="WenQuanYi Zen Hei"/>
        <family val="2"/>
      </rPr>
      <t xml:space="preserve">号</t>
    </r>
  </si>
  <si>
    <t xml:space="preserve">0255-72-3566</t>
  </si>
  <si>
    <r>
      <rPr>
        <sz val="10"/>
        <color theme="1"/>
        <rFont val="WenQuanYi Zen Hei"/>
        <family val="2"/>
      </rPr>
      <t xml:space="preserve">※昨年度に引き続き</t>
    </r>
    <r>
      <rPr>
        <sz val="10"/>
        <color theme="1"/>
        <rFont val="ＭＳ Ｐゴシック"/>
        <family val="3"/>
        <charset val="128"/>
      </rPr>
      <t xml:space="preserve">2</t>
    </r>
    <r>
      <rPr>
        <sz val="10"/>
        <color theme="1"/>
        <rFont val="WenQuanYi Zen Hei"/>
        <family val="2"/>
      </rPr>
      <t xml:space="preserve">回目　　確定済み</t>
    </r>
  </si>
  <si>
    <t xml:space="preserve">2026-066</t>
  </si>
  <si>
    <r>
      <rPr>
        <sz val="10"/>
        <color theme="1"/>
        <rFont val="ＭＳ Ｐゴシック"/>
        <family val="3"/>
        <charset val="128"/>
      </rPr>
      <t xml:space="preserve">3.6</t>
    </r>
    <r>
      <rPr>
        <sz val="10"/>
        <color theme="1"/>
        <rFont val="WenQuanYi Zen Hei"/>
        <family val="2"/>
      </rPr>
      <t xml:space="preserve">現在人数減の連絡に於いて催行がある旨発覚する　人数調整は７日前</t>
    </r>
  </si>
  <si>
    <t xml:space="preserve">2026-067</t>
  </si>
  <si>
    <r>
      <rPr>
        <sz val="10"/>
        <color theme="1"/>
        <rFont val="WenQuanYi Zen Hei"/>
        <family val="2"/>
      </rPr>
      <t xml:space="preserve">北陸ガス社長　敦井様　古俣常務様　２名の宿泊　※グリーンエナジー様</t>
    </r>
    <r>
      <rPr>
        <sz val="10"/>
        <color theme="1"/>
        <rFont val="ＭＳ Ｐゴシック"/>
        <family val="3"/>
        <charset val="128"/>
      </rPr>
      <t xml:space="preserve">9</t>
    </r>
    <r>
      <rPr>
        <sz val="10"/>
        <color theme="1"/>
        <rFont val="WenQuanYi Zen Hei"/>
        <family val="2"/>
      </rPr>
      <t xml:space="preserve">名日帰</t>
    </r>
  </si>
  <si>
    <t xml:space="preserve">2026-068</t>
  </si>
  <si>
    <r>
      <rPr>
        <sz val="11"/>
        <color theme="1"/>
        <rFont val="ＭＳ Ｐゴシック"/>
        <family val="3"/>
        <charset val="128"/>
      </rPr>
      <t xml:space="preserve">JNC </t>
    </r>
    <r>
      <rPr>
        <sz val="11"/>
        <color theme="1"/>
        <rFont val="WenQuanYi Zen Hei"/>
        <family val="2"/>
      </rPr>
      <t xml:space="preserve">韓国インバウンドツアー</t>
    </r>
  </si>
  <si>
    <t xml:space="preserve">インバウンドツアー</t>
  </si>
  <si>
    <t xml:space="preserve">JNC</t>
  </si>
  <si>
    <t xml:space="preserve">Seo Dongmi</t>
  </si>
  <si>
    <r>
      <rPr>
        <sz val="11"/>
        <color theme="1"/>
        <rFont val="WenQuanYi Zen Hei"/>
        <family val="2"/>
      </rPr>
      <t xml:space="preserve">서울특별시 중구 태평로</t>
    </r>
    <r>
      <rPr>
        <sz val="11"/>
        <color theme="1"/>
        <rFont val="ＭＳ Ｐゴシック"/>
        <family val="3"/>
        <charset val="129"/>
      </rPr>
      <t xml:space="preserve">1</t>
    </r>
    <r>
      <rPr>
        <sz val="11"/>
        <color theme="1"/>
        <rFont val="WenQuanYi Zen Hei"/>
        <family val="2"/>
      </rPr>
      <t xml:space="preserve">가</t>
    </r>
    <r>
      <rPr>
        <sz val="11"/>
        <color theme="1"/>
        <rFont val="ＭＳ Ｐゴシック"/>
        <family val="3"/>
        <charset val="129"/>
      </rPr>
      <t xml:space="preserve">31-23</t>
    </r>
    <r>
      <rPr>
        <sz val="11"/>
        <color theme="1"/>
        <rFont val="WenQuanYi Zen Hei"/>
        <family val="2"/>
      </rPr>
      <t xml:space="preserve">건설회관 </t>
    </r>
    <r>
      <rPr>
        <sz val="11"/>
        <color theme="1"/>
        <rFont val="ＭＳ Ｐゴシック"/>
        <family val="3"/>
        <charset val="129"/>
      </rPr>
      <t xml:space="preserve">502</t>
    </r>
    <r>
      <rPr>
        <sz val="11"/>
        <color theme="1"/>
        <rFont val="WenQuanYi Zen Hei"/>
        <family val="2"/>
      </rPr>
      <t xml:space="preserve">호</t>
    </r>
  </si>
  <si>
    <t xml:space="preserve">(82)02-722-7167</t>
  </si>
  <si>
    <t xml:space="preserve">jnc.dongmi@gmail.com</t>
  </si>
  <si>
    <t xml:space="preserve">Korea</t>
  </si>
  <si>
    <t xml:space="preserve">2026-069</t>
  </si>
  <si>
    <t xml:space="preserve">確認中</t>
  </si>
  <si>
    <t xml:space="preserve">会議を含む宿泊イベントを企画</t>
  </si>
  <si>
    <t xml:space="preserve">オフサイドミーティング</t>
  </si>
  <si>
    <t xml:space="preserve">奥垣 安</t>
  </si>
  <si>
    <r>
      <rPr>
        <sz val="11"/>
        <color theme="1"/>
        <rFont val="WenQuanYi Zen Hei"/>
        <family val="2"/>
      </rPr>
      <t xml:space="preserve">〒</t>
    </r>
    <r>
      <rPr>
        <sz val="11"/>
        <color theme="1"/>
        <rFont val="ＭＳ Ｐゴシック"/>
        <family val="3"/>
        <charset val="128"/>
      </rPr>
      <t xml:space="preserve">940-0066 </t>
    </r>
    <r>
      <rPr>
        <sz val="11"/>
        <color theme="1"/>
        <rFont val="WenQuanYi Zen Hei"/>
        <family val="2"/>
      </rPr>
      <t xml:space="preserve">新潟県長岡市東坂之上町</t>
    </r>
    <r>
      <rPr>
        <sz val="11"/>
        <color theme="1"/>
        <rFont val="ＭＳ Ｐゴシック"/>
        <family val="3"/>
        <charset val="128"/>
      </rPr>
      <t xml:space="preserve">3-2-6</t>
    </r>
    <r>
      <rPr>
        <sz val="11"/>
        <color theme="1"/>
        <rFont val="WenQuanYi Zen Hei"/>
        <family val="2"/>
      </rPr>
      <t xml:space="preserve">　日本生命長岡ビル</t>
    </r>
    <r>
      <rPr>
        <sz val="11"/>
        <color theme="1"/>
        <rFont val="ＭＳ Ｐゴシック"/>
        <family val="3"/>
        <charset val="128"/>
      </rPr>
      <t xml:space="preserve">2</t>
    </r>
    <r>
      <rPr>
        <sz val="11"/>
        <color theme="1"/>
        <rFont val="WenQuanYi Zen Hei"/>
        <family val="2"/>
      </rPr>
      <t xml:space="preserve">Ｆ</t>
    </r>
  </si>
  <si>
    <t xml:space="preserve">080-5098-2808</t>
  </si>
  <si>
    <t xml:space="preserve">okugaki59078@nissay.co.jp</t>
  </si>
  <si>
    <t xml:space="preserve">2026-071</t>
  </si>
  <si>
    <t xml:space="preserve">2026-072</t>
  </si>
  <si>
    <t xml:space="preserve">2026-073</t>
  </si>
  <si>
    <t xml:space="preserve">2026-074</t>
  </si>
  <si>
    <t xml:space="preserve">2026-075</t>
  </si>
  <si>
    <t xml:space="preserve">2026-076</t>
  </si>
  <si>
    <t xml:space="preserve">2026-077</t>
  </si>
  <si>
    <t xml:space="preserve">2026-078</t>
  </si>
  <si>
    <t xml:space="preserve">2026-079</t>
  </si>
  <si>
    <t xml:space="preserve">2026-080</t>
  </si>
  <si>
    <t xml:space="preserve">2026-081</t>
  </si>
  <si>
    <t xml:space="preserve">2026-082</t>
  </si>
  <si>
    <t xml:space="preserve">2026-083</t>
  </si>
  <si>
    <t xml:space="preserve">2026-084</t>
  </si>
  <si>
    <t xml:space="preserve">2026-085</t>
  </si>
  <si>
    <t xml:space="preserve">2026-086</t>
  </si>
  <si>
    <t xml:space="preserve">2026-087</t>
  </si>
  <si>
    <t xml:space="preserve">2026-088</t>
  </si>
  <si>
    <t xml:space="preserve">2026-089</t>
  </si>
  <si>
    <t xml:space="preserve">2026-090</t>
  </si>
  <si>
    <t xml:space="preserve">2026-091</t>
  </si>
  <si>
    <t xml:space="preserve">2026-092</t>
  </si>
  <si>
    <t xml:space="preserve">2026-093</t>
  </si>
  <si>
    <t xml:space="preserve">2026-094</t>
  </si>
  <si>
    <t xml:space="preserve">2026-095</t>
  </si>
  <si>
    <t xml:space="preserve">2026-096</t>
  </si>
  <si>
    <t xml:space="preserve">2026-097</t>
  </si>
  <si>
    <t xml:space="preserve">2026-098</t>
  </si>
  <si>
    <t xml:space="preserve">2026-099</t>
  </si>
  <si>
    <t xml:space="preserve">2026-100</t>
  </si>
  <si>
    <t xml:space="preserve">2026-101</t>
  </si>
  <si>
    <t xml:space="preserve">2026-102</t>
  </si>
  <si>
    <t xml:space="preserve">2026-103</t>
  </si>
  <si>
    <t xml:space="preserve">2026-104</t>
  </si>
  <si>
    <t xml:space="preserve">2026-105</t>
  </si>
  <si>
    <t xml:space="preserve">2026-106</t>
  </si>
  <si>
    <t xml:space="preserve">2026-107</t>
  </si>
  <si>
    <t xml:space="preserve">2026-108</t>
  </si>
  <si>
    <t xml:space="preserve">2026-109</t>
  </si>
  <si>
    <t xml:space="preserve">2026-110</t>
  </si>
  <si>
    <t xml:space="preserve">2026-111</t>
  </si>
  <si>
    <t xml:space="preserve">2026-112</t>
  </si>
  <si>
    <t xml:space="preserve">2026-113</t>
  </si>
  <si>
    <t xml:space="preserve">2026-114</t>
  </si>
  <si>
    <t xml:space="preserve">2026-115</t>
  </si>
  <si>
    <t xml:space="preserve">2026-116</t>
  </si>
  <si>
    <t xml:space="preserve">2026-117</t>
  </si>
  <si>
    <t xml:space="preserve">2026-118</t>
  </si>
  <si>
    <t xml:space="preserve">2026-119</t>
  </si>
  <si>
    <t xml:space="preserve">2026-120</t>
  </si>
  <si>
    <t xml:space="preserve">2026-121</t>
  </si>
  <si>
    <t xml:space="preserve">2026-122</t>
  </si>
  <si>
    <t xml:space="preserve">2026-123</t>
  </si>
  <si>
    <t xml:space="preserve">2026-124</t>
  </si>
  <si>
    <t xml:space="preserve">2026-125</t>
  </si>
  <si>
    <t xml:space="preserve">2026-126</t>
  </si>
  <si>
    <t xml:space="preserve">2026-127</t>
  </si>
  <si>
    <t xml:space="preserve">2026-128</t>
  </si>
  <si>
    <t xml:space="preserve">2026-129</t>
  </si>
  <si>
    <t xml:space="preserve">2026-130</t>
  </si>
  <si>
    <t xml:space="preserve">2026-131</t>
  </si>
  <si>
    <t xml:space="preserve">2026-132</t>
  </si>
  <si>
    <t xml:space="preserve">2026-133</t>
  </si>
  <si>
    <t xml:space="preserve">2026-134</t>
  </si>
  <si>
    <t xml:space="preserve">2026-135</t>
  </si>
  <si>
    <t xml:space="preserve">2026-136</t>
  </si>
  <si>
    <t xml:space="preserve">2026-137</t>
  </si>
  <si>
    <t xml:space="preserve">2026-138</t>
  </si>
  <si>
    <t xml:space="preserve">2026-139</t>
  </si>
  <si>
    <t xml:space="preserve">2026-140</t>
  </si>
  <si>
    <t xml:space="preserve">2026-141</t>
  </si>
  <si>
    <t xml:space="preserve">2026-142</t>
  </si>
  <si>
    <t xml:space="preserve">2026-143</t>
  </si>
  <si>
    <t xml:space="preserve">2026-144</t>
  </si>
  <si>
    <t xml:space="preserve">2026-145</t>
  </si>
  <si>
    <t xml:space="preserve">2026-146</t>
  </si>
  <si>
    <t xml:space="preserve">2026-147</t>
  </si>
  <si>
    <t xml:space="preserve">2026-148</t>
  </si>
  <si>
    <t xml:space="preserve">2026-149</t>
  </si>
  <si>
    <t xml:space="preserve">2026-150</t>
  </si>
  <si>
    <t xml:space="preserve">2026-151</t>
  </si>
  <si>
    <t xml:space="preserve">2026-152</t>
  </si>
  <si>
    <t xml:space="preserve">2026-153</t>
  </si>
  <si>
    <t xml:space="preserve">2026-154</t>
  </si>
  <si>
    <t xml:space="preserve">2026-155</t>
  </si>
  <si>
    <t xml:space="preserve">2026-156</t>
  </si>
  <si>
    <t xml:space="preserve">2026-157</t>
  </si>
  <si>
    <t xml:space="preserve">2026-158</t>
  </si>
  <si>
    <t xml:space="preserve">2026-159</t>
  </si>
  <si>
    <t xml:space="preserve">2026-160</t>
  </si>
  <si>
    <t xml:space="preserve">2026-161</t>
  </si>
  <si>
    <t xml:space="preserve">2026-162</t>
  </si>
  <si>
    <t xml:space="preserve">2026-163</t>
  </si>
  <si>
    <t xml:space="preserve">2026-164</t>
  </si>
  <si>
    <t xml:space="preserve">2026-165</t>
  </si>
  <si>
    <t xml:space="preserve">2026-166</t>
  </si>
  <si>
    <t xml:space="preserve">2026-167</t>
  </si>
  <si>
    <t xml:space="preserve">2026-168</t>
  </si>
  <si>
    <t xml:space="preserve">2026-169</t>
  </si>
  <si>
    <t xml:space="preserve">2026-170</t>
  </si>
  <si>
    <t xml:space="preserve">2026-171</t>
  </si>
  <si>
    <t xml:space="preserve">2026-172</t>
  </si>
  <si>
    <t xml:space="preserve">2026-173</t>
  </si>
  <si>
    <t xml:space="preserve">2026-174</t>
  </si>
  <si>
    <t xml:space="preserve">2026-175</t>
  </si>
  <si>
    <t xml:space="preserve">2026-176</t>
  </si>
  <si>
    <t xml:space="preserve">2026-177</t>
  </si>
  <si>
    <t xml:space="preserve">2026-178</t>
  </si>
  <si>
    <t xml:space="preserve">2026-179</t>
  </si>
  <si>
    <t xml:space="preserve">2026-180</t>
  </si>
  <si>
    <t xml:space="preserve">2026-181</t>
  </si>
  <si>
    <t xml:space="preserve">2026-182</t>
  </si>
  <si>
    <t xml:space="preserve">2026-183</t>
  </si>
  <si>
    <t xml:space="preserve">2026-184</t>
  </si>
  <si>
    <t xml:space="preserve">2026-185</t>
  </si>
  <si>
    <t xml:space="preserve">2026-186</t>
  </si>
  <si>
    <t xml:space="preserve">2026-187</t>
  </si>
  <si>
    <t xml:space="preserve">2026-188</t>
  </si>
  <si>
    <t xml:space="preserve">2026-189</t>
  </si>
  <si>
    <t xml:space="preserve">2026-190</t>
  </si>
  <si>
    <t xml:space="preserve">2026-191</t>
  </si>
  <si>
    <t xml:space="preserve">2026-192</t>
  </si>
  <si>
    <t xml:space="preserve">2026-193</t>
  </si>
  <si>
    <t xml:space="preserve">2026-194</t>
  </si>
  <si>
    <t xml:space="preserve">2026-195</t>
  </si>
  <si>
    <t xml:space="preserve">2026-196</t>
  </si>
  <si>
    <t xml:space="preserve">2026-197</t>
  </si>
  <si>
    <t xml:space="preserve">2026-198</t>
  </si>
  <si>
    <t xml:space="preserve">2026-199</t>
  </si>
  <si>
    <t xml:space="preserve">2026-200</t>
  </si>
  <si>
    <t xml:space="preserve">2026-201</t>
  </si>
  <si>
    <t xml:space="preserve">2026-202</t>
  </si>
  <si>
    <t xml:space="preserve">2026-203</t>
  </si>
  <si>
    <t xml:space="preserve">2026-204</t>
  </si>
  <si>
    <t xml:space="preserve">2026-205</t>
  </si>
  <si>
    <t xml:space="preserve">2026-206</t>
  </si>
  <si>
    <t xml:space="preserve">2026-207</t>
  </si>
  <si>
    <t xml:space="preserve">2026-208</t>
  </si>
  <si>
    <t xml:space="preserve">2026-209</t>
  </si>
  <si>
    <t xml:space="preserve">2026-210</t>
  </si>
  <si>
    <t xml:space="preserve">2026-211</t>
  </si>
  <si>
    <t xml:space="preserve">2026-212</t>
  </si>
  <si>
    <t xml:space="preserve">2026-213</t>
  </si>
  <si>
    <t xml:space="preserve">2026-214</t>
  </si>
  <si>
    <t xml:space="preserve">2026-215</t>
  </si>
  <si>
    <t xml:space="preserve">2026-216</t>
  </si>
  <si>
    <t xml:space="preserve">2026-217</t>
  </si>
  <si>
    <t xml:space="preserve">2026-218</t>
  </si>
  <si>
    <t xml:space="preserve">2026-219</t>
  </si>
  <si>
    <t xml:space="preserve">2026-220</t>
  </si>
  <si>
    <t xml:space="preserve">2026-221</t>
  </si>
  <si>
    <t xml:space="preserve">2026-222</t>
  </si>
  <si>
    <t xml:space="preserve">2026-223</t>
  </si>
  <si>
    <t xml:space="preserve">2026-224</t>
  </si>
  <si>
    <t xml:space="preserve">2026-225</t>
  </si>
  <si>
    <t xml:space="preserve">2026-226</t>
  </si>
  <si>
    <t xml:space="preserve">2026-227</t>
  </si>
  <si>
    <t xml:space="preserve">2026-228</t>
  </si>
  <si>
    <t xml:space="preserve">2026-229</t>
  </si>
  <si>
    <t xml:space="preserve">2026-230</t>
  </si>
  <si>
    <t xml:space="preserve">2026-231</t>
  </si>
  <si>
    <t xml:space="preserve">2026-232</t>
  </si>
  <si>
    <t xml:space="preserve">2026-233</t>
  </si>
  <si>
    <t xml:space="preserve">2026-234</t>
  </si>
  <si>
    <t xml:space="preserve">2026-235</t>
  </si>
  <si>
    <t xml:space="preserve">2026-236</t>
  </si>
  <si>
    <t xml:space="preserve">2026-237</t>
  </si>
  <si>
    <t xml:space="preserve">2026-238</t>
  </si>
  <si>
    <t xml:space="preserve">2026-239</t>
  </si>
  <si>
    <t xml:space="preserve">2026-240</t>
  </si>
  <si>
    <t xml:space="preserve">2026-241</t>
  </si>
  <si>
    <t xml:space="preserve">2026-242</t>
  </si>
  <si>
    <t xml:space="preserve">2026-243</t>
  </si>
  <si>
    <t xml:space="preserve">2026-244</t>
  </si>
  <si>
    <t xml:space="preserve">2026-245</t>
  </si>
  <si>
    <t xml:space="preserve">2026-246</t>
  </si>
  <si>
    <t xml:space="preserve">2026-247</t>
  </si>
  <si>
    <t xml:space="preserve">2026-248</t>
  </si>
  <si>
    <t xml:space="preserve">2026-249</t>
  </si>
  <si>
    <t xml:space="preserve">2026-250</t>
  </si>
  <si>
    <t xml:space="preserve">2026-251</t>
  </si>
  <si>
    <t xml:space="preserve">2026-252</t>
  </si>
  <si>
    <t xml:space="preserve">2026-253</t>
  </si>
  <si>
    <t xml:space="preserve">2026-254</t>
  </si>
  <si>
    <t xml:space="preserve">2026-255</t>
  </si>
  <si>
    <t xml:space="preserve">2026-256</t>
  </si>
  <si>
    <t xml:space="preserve">2026-257</t>
  </si>
  <si>
    <t xml:space="preserve">2026-258</t>
  </si>
  <si>
    <t xml:space="preserve">2026-259</t>
  </si>
  <si>
    <t xml:space="preserve">2026-260</t>
  </si>
  <si>
    <t xml:space="preserve">2026-261</t>
  </si>
  <si>
    <t xml:space="preserve">2026-262</t>
  </si>
  <si>
    <t xml:space="preserve">2026-263</t>
  </si>
  <si>
    <t xml:space="preserve">2026-264</t>
  </si>
  <si>
    <t xml:space="preserve">2026-265</t>
  </si>
  <si>
    <t xml:space="preserve">2026-266</t>
  </si>
  <si>
    <t xml:space="preserve">2026-267</t>
  </si>
  <si>
    <t xml:space="preserve">2026-268</t>
  </si>
  <si>
    <t xml:space="preserve">2026-269</t>
  </si>
  <si>
    <t xml:space="preserve">2026-270</t>
  </si>
  <si>
    <t xml:space="preserve">2026-271</t>
  </si>
  <si>
    <t xml:space="preserve">2026-272</t>
  </si>
  <si>
    <t xml:space="preserve">2026-273</t>
  </si>
  <si>
    <t xml:space="preserve">2026-274</t>
  </si>
  <si>
    <t xml:space="preserve">2026-275</t>
  </si>
  <si>
    <t xml:space="preserve">2026-276</t>
  </si>
  <si>
    <t xml:space="preserve">2026-277</t>
  </si>
  <si>
    <t xml:space="preserve">2026-278</t>
  </si>
  <si>
    <t xml:space="preserve">2026-279</t>
  </si>
  <si>
    <t xml:space="preserve">2026-280</t>
  </si>
  <si>
    <t xml:space="preserve">2026-281</t>
  </si>
  <si>
    <t xml:space="preserve">2026-282</t>
  </si>
  <si>
    <t xml:space="preserve">2026-283</t>
  </si>
  <si>
    <t xml:space="preserve">2026-284</t>
  </si>
  <si>
    <t xml:space="preserve">2026-285</t>
  </si>
  <si>
    <t xml:space="preserve">2026-286</t>
  </si>
  <si>
    <t xml:space="preserve">2026-287</t>
  </si>
  <si>
    <t xml:space="preserve">2026-288</t>
  </si>
  <si>
    <t xml:space="preserve">2026-289</t>
  </si>
  <si>
    <t xml:space="preserve">2026-290</t>
  </si>
  <si>
    <t xml:space="preserve">2026-291</t>
  </si>
  <si>
    <t xml:space="preserve">2026-292</t>
  </si>
  <si>
    <t xml:space="preserve">2026-293</t>
  </si>
  <si>
    <t xml:space="preserve">2026-294</t>
  </si>
  <si>
    <t xml:space="preserve">2026-295</t>
  </si>
  <si>
    <t xml:space="preserve">2026-296</t>
  </si>
  <si>
    <t xml:space="preserve">2026-297</t>
  </si>
  <si>
    <t xml:space="preserve">2026-298</t>
  </si>
  <si>
    <t xml:space="preserve">2026-299</t>
  </si>
  <si>
    <t xml:space="preserve">2026-300</t>
  </si>
  <si>
    <t xml:space="preserve">2026-301</t>
  </si>
  <si>
    <t xml:space="preserve">2026-302</t>
  </si>
  <si>
    <t xml:space="preserve">2026-303</t>
  </si>
  <si>
    <t xml:space="preserve">2026-304</t>
  </si>
  <si>
    <t xml:space="preserve">2026-305</t>
  </si>
  <si>
    <t xml:space="preserve">2026-306</t>
  </si>
  <si>
    <t xml:space="preserve">2026-307</t>
  </si>
  <si>
    <t xml:space="preserve">2026-308</t>
  </si>
  <si>
    <t xml:space="preserve">2026-309</t>
  </si>
  <si>
    <t xml:space="preserve">2026-310</t>
  </si>
  <si>
    <t xml:space="preserve">2026-311</t>
  </si>
  <si>
    <t xml:space="preserve">2026-312</t>
  </si>
  <si>
    <t xml:space="preserve">2026-313</t>
  </si>
  <si>
    <t xml:space="preserve">2026-314</t>
  </si>
  <si>
    <t xml:space="preserve">2026-315</t>
  </si>
  <si>
    <t xml:space="preserve">2026-316</t>
  </si>
  <si>
    <t xml:space="preserve">2026-317</t>
  </si>
  <si>
    <t xml:space="preserve">2026-318</t>
  </si>
  <si>
    <t xml:space="preserve">2026-319</t>
  </si>
  <si>
    <t xml:space="preserve">2026-320</t>
  </si>
  <si>
    <t xml:space="preserve">2026-321</t>
  </si>
  <si>
    <t xml:space="preserve">2026-322</t>
  </si>
  <si>
    <t xml:space="preserve">2026-323</t>
  </si>
  <si>
    <t xml:space="preserve">2026-324</t>
  </si>
  <si>
    <t xml:space="preserve">2026-325</t>
  </si>
  <si>
    <t xml:space="preserve">2026-326</t>
  </si>
  <si>
    <t xml:space="preserve">2026-327</t>
  </si>
  <si>
    <t xml:space="preserve">2026-328</t>
  </si>
  <si>
    <t xml:space="preserve">2026-329</t>
  </si>
  <si>
    <t xml:space="preserve">2026-330</t>
  </si>
  <si>
    <t xml:space="preserve">2026-331</t>
  </si>
  <si>
    <t xml:space="preserve">2026-332</t>
  </si>
  <si>
    <t xml:space="preserve">2026-333</t>
  </si>
  <si>
    <t xml:space="preserve">2026-334</t>
  </si>
  <si>
    <t xml:space="preserve">2026-335</t>
  </si>
  <si>
    <t xml:space="preserve">2026-336</t>
  </si>
  <si>
    <t xml:space="preserve">2026-337</t>
  </si>
  <si>
    <t xml:space="preserve">2026-338</t>
  </si>
  <si>
    <t xml:space="preserve">2026-339</t>
  </si>
  <si>
    <t xml:space="preserve">2026-340</t>
  </si>
  <si>
    <t xml:space="preserve">2026-341</t>
  </si>
  <si>
    <t xml:space="preserve">2026-342</t>
  </si>
  <si>
    <t xml:space="preserve">2026-343</t>
  </si>
  <si>
    <t xml:space="preserve">2026-344</t>
  </si>
  <si>
    <t xml:space="preserve">2026-345</t>
  </si>
  <si>
    <t xml:space="preserve">2026-346</t>
  </si>
  <si>
    <t xml:space="preserve">2026-347</t>
  </si>
  <si>
    <t xml:space="preserve">2026-348</t>
  </si>
  <si>
    <t xml:space="preserve">2026-349</t>
  </si>
  <si>
    <t xml:space="preserve">2026-350</t>
  </si>
  <si>
    <t xml:space="preserve">2026-351</t>
  </si>
  <si>
    <t xml:space="preserve">2026-352</t>
  </si>
  <si>
    <t xml:space="preserve">2026-353</t>
  </si>
  <si>
    <t xml:space="preserve">2026-354</t>
  </si>
  <si>
    <t xml:space="preserve">2026-355</t>
  </si>
  <si>
    <t xml:space="preserve">2026-356</t>
  </si>
  <si>
    <t xml:space="preserve">2026-357</t>
  </si>
  <si>
    <t xml:space="preserve">2026-358</t>
  </si>
  <si>
    <t xml:space="preserve">2026-359</t>
  </si>
  <si>
    <t xml:space="preserve">2026-360</t>
  </si>
  <si>
    <t xml:space="preserve">2026-361</t>
  </si>
  <si>
    <t xml:space="preserve">2026-362</t>
  </si>
  <si>
    <t xml:space="preserve">2026-363</t>
  </si>
  <si>
    <t xml:space="preserve">2026-364</t>
  </si>
  <si>
    <t xml:space="preserve">2026-365</t>
  </si>
  <si>
    <t xml:space="preserve">2026-366</t>
  </si>
  <si>
    <t xml:space="preserve">2026-367</t>
  </si>
  <si>
    <t xml:space="preserve">2026-368</t>
  </si>
  <si>
    <t xml:space="preserve">2026-369</t>
  </si>
  <si>
    <t xml:space="preserve">2026-370</t>
  </si>
  <si>
    <t xml:space="preserve">2026-371</t>
  </si>
  <si>
    <t xml:space="preserve">2026-372</t>
  </si>
  <si>
    <t xml:space="preserve">2026-373</t>
  </si>
  <si>
    <t xml:space="preserve">2026-374</t>
  </si>
  <si>
    <t xml:space="preserve">2026-375</t>
  </si>
  <si>
    <t xml:space="preserve">2026-376</t>
  </si>
  <si>
    <t xml:space="preserve">2026-377</t>
  </si>
  <si>
    <t xml:space="preserve">2026-378</t>
  </si>
  <si>
    <t xml:space="preserve">2026-379</t>
  </si>
  <si>
    <t xml:space="preserve">2026-380</t>
  </si>
  <si>
    <t xml:space="preserve">2026-381</t>
  </si>
  <si>
    <t xml:space="preserve">2026-382</t>
  </si>
  <si>
    <t xml:space="preserve">2026-383</t>
  </si>
  <si>
    <t xml:space="preserve">2026-384</t>
  </si>
  <si>
    <t xml:space="preserve">2026-385</t>
  </si>
  <si>
    <t xml:space="preserve">2026-386</t>
  </si>
  <si>
    <t xml:space="preserve">2026-387</t>
  </si>
  <si>
    <t xml:space="preserve">2026-388</t>
  </si>
  <si>
    <t xml:space="preserve">2026-389</t>
  </si>
  <si>
    <t xml:space="preserve">2026-390</t>
  </si>
  <si>
    <t xml:space="preserve">2026-391</t>
  </si>
  <si>
    <t xml:space="preserve">2026-392</t>
  </si>
  <si>
    <t xml:space="preserve">2026-393</t>
  </si>
  <si>
    <t xml:space="preserve">2026-394</t>
  </si>
  <si>
    <t xml:space="preserve">2026-395</t>
  </si>
  <si>
    <t xml:space="preserve">2026-396</t>
  </si>
  <si>
    <t xml:space="preserve">2026-397</t>
  </si>
  <si>
    <t xml:space="preserve">2026-398</t>
  </si>
  <si>
    <t xml:space="preserve">2026-399</t>
  </si>
</sst>
</file>

<file path=xl/styles.xml><?xml version="1.0" encoding="utf-8"?>
<styleSheet xmlns="http://schemas.openxmlformats.org/spreadsheetml/2006/main">
  <numFmts count="25">
    <numFmt numFmtId="164" formatCode="General"/>
    <numFmt numFmtId="165" formatCode="0%"/>
    <numFmt numFmtId="166" formatCode="#,##0_);[RED]\(#,##0\)"/>
    <numFmt numFmtId="167" formatCode="yyyy/m/d"/>
    <numFmt numFmtId="168" formatCode="0"/>
    <numFmt numFmtId="169" formatCode="#,##0"/>
    <numFmt numFmtId="170" formatCode="General"/>
    <numFmt numFmtId="171" formatCode="\¥#,##0"/>
    <numFmt numFmtId="172" formatCode="m/d/yyyy"/>
    <numFmt numFmtId="173" formatCode="[$-409]h:mm\ AM/PM;@"/>
    <numFmt numFmtId="174" formatCode="[$-F400]h:mm:ss\ AM/PM"/>
    <numFmt numFmtId="175" formatCode="yyyy\年m\月d\日;@"/>
    <numFmt numFmtId="176" formatCode="h:mm"/>
    <numFmt numFmtId="177" formatCode="mmm\-yy"/>
    <numFmt numFmtId="178" formatCode="h:mm;@"/>
    <numFmt numFmtId="179" formatCode="General&quot; 名&quot;"/>
    <numFmt numFmtId="180" formatCode="General&quot; 泊&quot;"/>
    <numFmt numFmtId="181" formatCode="m/d;@"/>
    <numFmt numFmtId="182" formatCode="@"/>
    <numFmt numFmtId="183" formatCode="m/d"/>
    <numFmt numFmtId="184" formatCode="#,##0_);[RED]\(#,##0\)"/>
    <numFmt numFmtId="185" formatCode="#,##0&quot; 円&quot;"/>
    <numFmt numFmtId="186" formatCode="#,##0_ "/>
    <numFmt numFmtId="187" formatCode="[h]:mm:ss"/>
    <numFmt numFmtId="188" formatCode="\¥#,##0;[RED]&quot;¥-&quot;#,##0"/>
  </numFmts>
  <fonts count="139">
    <font>
      <sz val="11"/>
      <color theme="1"/>
      <name val="ＭＳ Ｐゴシック"/>
      <family val="2"/>
      <charset val="128"/>
    </font>
    <font>
      <sz val="10"/>
      <name val="Arial"/>
      <family val="0"/>
    </font>
    <font>
      <sz val="10"/>
      <name val="Arial"/>
      <family val="0"/>
    </font>
    <font>
      <sz val="10"/>
      <name val="Arial"/>
      <family val="0"/>
    </font>
    <font>
      <sz val="10"/>
      <color theme="1"/>
      <name val="Meiryo UI"/>
      <family val="2"/>
      <charset val="128"/>
    </font>
    <font>
      <b val="true"/>
      <sz val="12"/>
      <color rgb="FF000000"/>
      <name val="WenQuanYi Zen Hei"/>
      <family val="2"/>
    </font>
    <font>
      <b val="true"/>
      <sz val="9"/>
      <color rgb="FF1F6FB4"/>
      <name val="Yu Gothic"/>
      <family val="0"/>
      <charset val="1"/>
    </font>
    <font>
      <b val="true"/>
      <sz val="9"/>
      <color rgb="FFB4552A"/>
      <name val="WenQuanYi Zen Hei"/>
      <family val="2"/>
    </font>
    <font>
      <sz val="8"/>
      <color rgb="FF666666"/>
      <name val="WenQuanYi Zen Hei"/>
      <family val="2"/>
    </font>
    <font>
      <sz val="8"/>
      <color rgb="FF666666"/>
      <name val="Yu Gothic"/>
      <family val="0"/>
      <charset val="1"/>
    </font>
    <font>
      <b val="true"/>
      <sz val="10"/>
      <color rgb="FF000000"/>
      <name val="Yu Gothic"/>
      <family val="0"/>
      <charset val="1"/>
    </font>
    <font>
      <b val="true"/>
      <sz val="10"/>
      <color rgb="FF000000"/>
      <name val="WenQuanYi Zen Hei"/>
      <family val="2"/>
    </font>
    <font>
      <b val="true"/>
      <sz val="9"/>
      <color rgb="FF000000"/>
      <name val="WenQuanYi Zen Hei"/>
      <family val="2"/>
    </font>
    <font>
      <sz val="9"/>
      <color rgb="FF000000"/>
      <name val="Yu Gothic"/>
      <family val="0"/>
      <charset val="1"/>
    </font>
    <font>
      <i val="true"/>
      <sz val="8"/>
      <color rgb="FF909090"/>
      <name val="WenQuanYi Zen Hei"/>
      <family val="2"/>
    </font>
    <font>
      <i val="true"/>
      <sz val="8"/>
      <color rgb="FF909090"/>
      <name val="Yu Gothic"/>
      <family val="0"/>
      <charset val="1"/>
    </font>
    <font>
      <b val="true"/>
      <sz val="9"/>
      <color rgb="FF000000"/>
      <name val="Yu Gothic"/>
      <family val="0"/>
      <charset val="1"/>
    </font>
    <font>
      <b val="true"/>
      <sz val="8"/>
      <color rgb="FF000000"/>
      <name val="WenQuanYi Zen Hei"/>
      <family val="2"/>
    </font>
    <font>
      <b val="true"/>
      <sz val="8"/>
      <color rgb="FF000000"/>
      <name val="Yu Gothic"/>
      <family val="0"/>
      <charset val="1"/>
    </font>
    <font>
      <sz val="8.5"/>
      <color rgb="FF000000"/>
      <name val="Yu Gothic"/>
      <family val="0"/>
      <charset val="1"/>
    </font>
    <font>
      <b val="true"/>
      <sz val="8.5"/>
      <color rgb="FF000000"/>
      <name val="Yu Gothic"/>
      <family val="0"/>
      <charset val="1"/>
    </font>
    <font>
      <sz val="8"/>
      <color rgb="FF000000"/>
      <name val="Yu Gothic"/>
      <family val="0"/>
      <charset val="1"/>
    </font>
    <font>
      <b val="true"/>
      <sz val="15"/>
      <color rgb="FF000000"/>
      <name val="WenQuanYi Zen Hei"/>
      <family val="2"/>
    </font>
    <font>
      <sz val="8"/>
      <color rgb="FF000000"/>
      <name val="WenQuanYi Zen Hei"/>
      <family val="2"/>
    </font>
    <font>
      <b val="true"/>
      <sz val="11"/>
      <color rgb="FF000000"/>
      <name val="Yu Gothic"/>
      <family val="0"/>
      <charset val="1"/>
    </font>
    <font>
      <sz val="9"/>
      <color rgb="FF000000"/>
      <name val="WenQuanYi Zen Hei"/>
      <family val="2"/>
    </font>
    <font>
      <b val="true"/>
      <sz val="20"/>
      <color rgb="FF000000"/>
      <name val="WenQuanYi Zen Hei"/>
      <family val="2"/>
    </font>
    <font>
      <b val="true"/>
      <sz val="12"/>
      <color rgb="FF000000"/>
      <name val="Yu Gothic"/>
      <family val="0"/>
      <charset val="1"/>
    </font>
    <font>
      <sz val="9"/>
      <color rgb="FFAAAAAA"/>
      <name val="WenQuanYi Zen Hei"/>
      <family val="2"/>
    </font>
    <font>
      <sz val="10"/>
      <color rgb="FF000000"/>
      <name val="Yu Gothic"/>
      <family val="0"/>
      <charset val="1"/>
    </font>
    <font>
      <b val="true"/>
      <sz val="14"/>
      <color rgb="FF000000"/>
      <name val="Yu Gothic"/>
      <family val="0"/>
      <charset val="1"/>
    </font>
    <font>
      <sz val="8"/>
      <color rgb="FF888888"/>
      <name val="Yu Gothic"/>
      <family val="0"/>
      <charset val="1"/>
    </font>
    <font>
      <sz val="8"/>
      <color rgb="FF888888"/>
      <name val="WenQuanYi Zen Hei"/>
      <family val="2"/>
    </font>
    <font>
      <b val="true"/>
      <sz val="22"/>
      <color rgb="FF000000"/>
      <name val="WenQuanYi Zen Hei"/>
      <family val="2"/>
    </font>
    <font>
      <b val="true"/>
      <sz val="24"/>
      <color rgb="FF000000"/>
      <name val="Yu Gothic"/>
      <family val="0"/>
      <charset val="1"/>
    </font>
    <font>
      <b val="true"/>
      <sz val="14"/>
      <color rgb="FF000000"/>
      <name val="WenQuanYi Zen Hei"/>
      <family val="2"/>
    </font>
    <font>
      <sz val="11"/>
      <color theme="1"/>
      <name val="BIZ UDPゴシック"/>
      <family val="3"/>
      <charset val="128"/>
    </font>
    <font>
      <b val="true"/>
      <sz val="14"/>
      <color theme="1"/>
      <name val="BIZ UDPゴシック"/>
      <family val="3"/>
      <charset val="128"/>
    </font>
    <font>
      <sz val="11"/>
      <color theme="1"/>
      <name val="WenQuanYi Zen Hei"/>
      <family val="2"/>
    </font>
    <font>
      <b val="true"/>
      <sz val="11"/>
      <color theme="1"/>
      <name val="WenQuanYi Zen Hei"/>
      <family val="2"/>
    </font>
    <font>
      <b val="true"/>
      <sz val="11"/>
      <color theme="0"/>
      <name val="WenQuanYi Zen Hei"/>
      <family val="2"/>
    </font>
    <font>
      <b val="true"/>
      <sz val="11"/>
      <color theme="1"/>
      <name val="BIZ UDPゴシック"/>
      <family val="3"/>
      <charset val="128"/>
    </font>
    <font>
      <sz val="22"/>
      <color rgb="FFFF0000"/>
      <name val="HGP創英角ﾎﾟｯﾌﾟ体"/>
      <family val="3"/>
      <charset val="128"/>
    </font>
    <font>
      <sz val="20"/>
      <color rgb="FFFF0000"/>
      <name val="HGP創英角ﾎﾟｯﾌﾟ体"/>
      <family val="3"/>
      <charset val="128"/>
    </font>
    <font>
      <sz val="20"/>
      <color rgb="FFFF0000"/>
      <name val="WenQuanYi Zen Hei"/>
      <family val="2"/>
    </font>
    <font>
      <sz val="22"/>
      <color rgb="FFFF0000"/>
      <name val="WenQuanYi Zen Hei"/>
      <family val="2"/>
    </font>
    <font>
      <b val="true"/>
      <sz val="11"/>
      <name val="WenQuanYi Zen Hei"/>
      <family val="2"/>
    </font>
    <font>
      <sz val="11"/>
      <name val="BIZ UDPゴシック"/>
      <family val="3"/>
      <charset val="128"/>
    </font>
    <font>
      <sz val="11"/>
      <name val="WenQuanYi Zen Hei"/>
      <family val="2"/>
    </font>
    <font>
      <b val="true"/>
      <sz val="11"/>
      <name val="BIZ UDPゴシック"/>
      <family val="3"/>
      <charset val="128"/>
    </font>
    <font>
      <b val="true"/>
      <sz val="16"/>
      <color theme="1"/>
      <name val="Meiryo UI"/>
      <family val="3"/>
      <charset val="128"/>
    </font>
    <font>
      <b val="true"/>
      <sz val="16"/>
      <color theme="1"/>
      <name val="WenQuanYi Zen Hei"/>
      <family val="2"/>
    </font>
    <font>
      <sz val="10.5"/>
      <color theme="1"/>
      <name val="Meiryo UI"/>
      <family val="3"/>
      <charset val="128"/>
    </font>
    <font>
      <sz val="8"/>
      <color theme="1"/>
      <name val="WenQuanYi Zen Hei"/>
      <family val="2"/>
    </font>
    <font>
      <sz val="10.5"/>
      <color theme="1"/>
      <name val="WenQuanYi Zen Hei"/>
      <family val="2"/>
    </font>
    <font>
      <b val="true"/>
      <sz val="12"/>
      <color theme="1"/>
      <name val="Meiryo UI"/>
      <family val="3"/>
      <charset val="128"/>
    </font>
    <font>
      <b val="true"/>
      <sz val="12"/>
      <color theme="1"/>
      <name val="WenQuanYi Zen Hei"/>
      <family val="2"/>
    </font>
    <font>
      <b val="true"/>
      <sz val="10"/>
      <name val="WenQuanYi Zen Hei"/>
      <family val="2"/>
    </font>
    <font>
      <b val="true"/>
      <sz val="10"/>
      <color theme="1"/>
      <name val="WenQuanYi Zen Hei"/>
      <family val="2"/>
    </font>
    <font>
      <b val="true"/>
      <sz val="15"/>
      <color theme="0"/>
      <name val="Meiryo UI"/>
      <family val="3"/>
      <charset val="128"/>
    </font>
    <font>
      <b val="true"/>
      <sz val="15"/>
      <color theme="0"/>
      <name val="WenQuanYi Zen Hei"/>
      <family val="2"/>
    </font>
    <font>
      <b val="true"/>
      <u val="single"/>
      <sz val="9"/>
      <color theme="0"/>
      <name val="Meiryo UI"/>
      <family val="3"/>
      <charset val="128"/>
    </font>
    <font>
      <sz val="9"/>
      <color theme="0"/>
      <name val="WenQuanYi Zen Hei"/>
      <family val="2"/>
    </font>
    <font>
      <sz val="9"/>
      <color theme="0"/>
      <name val="Meiryo UI"/>
      <family val="3"/>
      <charset val="128"/>
    </font>
    <font>
      <b val="true"/>
      <sz val="11"/>
      <color theme="1"/>
      <name val="Meiryo UI"/>
      <family val="3"/>
      <charset val="128"/>
    </font>
    <font>
      <sz val="10"/>
      <color theme="1"/>
      <name val="WenQuanYi Zen Hei"/>
      <family val="2"/>
    </font>
    <font>
      <b val="true"/>
      <u val="single"/>
      <sz val="9"/>
      <name val="Meiryo UI"/>
      <family val="3"/>
      <charset val="128"/>
    </font>
    <font>
      <b val="true"/>
      <sz val="9"/>
      <color theme="1"/>
      <name val="Meiryo UI"/>
      <family val="3"/>
      <charset val="128"/>
    </font>
    <font>
      <sz val="9"/>
      <color theme="1"/>
      <name val="Meiryo UI"/>
      <family val="2"/>
      <charset val="128"/>
    </font>
    <font>
      <b val="true"/>
      <sz val="10"/>
      <color theme="1"/>
      <name val="Meiryo UI"/>
      <family val="3"/>
      <charset val="128"/>
    </font>
    <font>
      <sz val="9"/>
      <color theme="1"/>
      <name val="Meiryo UI"/>
      <family val="3"/>
      <charset val="128"/>
    </font>
    <font>
      <sz val="11"/>
      <color theme="1"/>
      <name val="ＭＳ 明朝"/>
      <family val="1"/>
      <charset val="128"/>
    </font>
    <font>
      <sz val="8"/>
      <color theme="1"/>
      <name val="ＭＳ 明朝"/>
      <family val="1"/>
      <charset val="128"/>
    </font>
    <font>
      <b val="true"/>
      <sz val="14"/>
      <color rgb="FFC00000"/>
      <name val="ＭＳ 明朝"/>
      <family val="1"/>
      <charset val="128"/>
    </font>
    <font>
      <b val="true"/>
      <sz val="8"/>
      <color theme="1"/>
      <name val="WenQuanYi Zen Hei"/>
      <family val="2"/>
    </font>
    <font>
      <b val="true"/>
      <sz val="8"/>
      <color theme="1"/>
      <name val="ＭＳ 明朝"/>
      <family val="1"/>
      <charset val="128"/>
    </font>
    <font>
      <b val="true"/>
      <sz val="6"/>
      <color theme="1"/>
      <name val="WenQuanYi Zen Hei"/>
      <family val="2"/>
    </font>
    <font>
      <b val="true"/>
      <sz val="6"/>
      <color theme="1"/>
      <name val="ＭＳ 明朝"/>
      <family val="1"/>
      <charset val="128"/>
    </font>
    <font>
      <u val="single"/>
      <sz val="11"/>
      <color theme="10"/>
      <name val="ＭＳ Ｐゴシック"/>
      <family val="2"/>
      <charset val="128"/>
    </font>
    <font>
      <u val="single"/>
      <sz val="8"/>
      <color theme="10"/>
      <name val="ＭＳ 明朝"/>
      <family val="1"/>
      <charset val="128"/>
    </font>
    <font>
      <b val="true"/>
      <u val="single"/>
      <sz val="8"/>
      <color rgb="FFFF0000"/>
      <name val="WenQuanYi Zen Hei"/>
      <family val="2"/>
    </font>
    <font>
      <b val="true"/>
      <u val="single"/>
      <sz val="8"/>
      <color theme="1"/>
      <name val="ＭＳ 明朝"/>
      <family val="1"/>
      <charset val="128"/>
    </font>
    <font>
      <sz val="7"/>
      <color theme="1"/>
      <name val="ＭＳ 明朝"/>
      <family val="1"/>
      <charset val="128"/>
    </font>
    <font>
      <b val="true"/>
      <sz val="10"/>
      <color theme="1"/>
      <name val="ＭＳ 明朝"/>
      <family val="1"/>
      <charset val="128"/>
    </font>
    <font>
      <sz val="8"/>
      <color rgb="FFFF0000"/>
      <name val="ＭＳ 明朝"/>
      <family val="1"/>
      <charset val="128"/>
    </font>
    <font>
      <sz val="8"/>
      <color rgb="FFFF0000"/>
      <name val="WenQuanYi Zen Hei"/>
      <family val="2"/>
    </font>
    <font>
      <sz val="11"/>
      <name val="Calibri"/>
      <family val="2"/>
      <charset val="1"/>
    </font>
    <font>
      <sz val="14"/>
      <name val="HGPｺﾞｼｯｸE"/>
      <family val="3"/>
      <charset val="128"/>
    </font>
    <font>
      <sz val="10"/>
      <name val="ＭＳ Ｐゴシック"/>
      <family val="2"/>
      <charset val="128"/>
    </font>
    <font>
      <b val="true"/>
      <sz val="11"/>
      <name val="ＭＳ Ｐゴシック"/>
      <family val="3"/>
      <charset val="128"/>
    </font>
    <font>
      <b val="true"/>
      <sz val="10"/>
      <name val="ＭＳ Ｐゴシック"/>
      <family val="3"/>
      <charset val="128"/>
    </font>
    <font>
      <sz val="11"/>
      <name val="ＭＳ Ｐゴシック"/>
      <family val="3"/>
      <charset val="128"/>
    </font>
    <font>
      <sz val="8"/>
      <name val="WenQuanYi Zen Hei"/>
      <family val="2"/>
    </font>
    <font>
      <sz val="11"/>
      <color theme="1"/>
      <name val="Calibri"/>
      <family val="2"/>
      <charset val="1"/>
    </font>
    <font>
      <sz val="10"/>
      <color theme="1"/>
      <name val="ＭＳ Ｐゴシック"/>
      <family val="3"/>
      <charset val="128"/>
    </font>
    <font>
      <sz val="11"/>
      <color theme="1"/>
      <name val="ＭＳ Ｐゴシック"/>
      <family val="3"/>
      <charset val="128"/>
    </font>
    <font>
      <sz val="10"/>
      <color theme="1"/>
      <name val="Calibri"/>
      <family val="2"/>
      <charset val="1"/>
    </font>
    <font>
      <sz val="9"/>
      <color theme="1"/>
      <name val="ＭＳ Ｐゴシック"/>
      <family val="3"/>
      <charset val="128"/>
    </font>
    <font>
      <sz val="9"/>
      <color theme="1"/>
      <name val="Calibri"/>
      <family val="2"/>
      <charset val="1"/>
    </font>
    <font>
      <sz val="9"/>
      <color theme="1"/>
      <name val="WenQuanYi Zen Hei"/>
      <family val="2"/>
    </font>
    <font>
      <sz val="9"/>
      <color theme="1"/>
      <name val="ＭＳ ゴシック"/>
      <family val="2"/>
      <charset val="128"/>
    </font>
    <font>
      <sz val="10"/>
      <color theme="1"/>
      <name val="ＭＳ Ｐゴシック"/>
      <family val="2"/>
      <charset val="128"/>
    </font>
    <font>
      <sz val="11"/>
      <color theme="1"/>
      <name val="Microsoft YaHei"/>
      <family val="2"/>
      <charset val="128"/>
    </font>
    <font>
      <sz val="12"/>
      <color rgb="FF222222"/>
      <name val="WenQuanYi Zen Hei"/>
      <family val="2"/>
    </font>
    <font>
      <sz val="12"/>
      <color rgb="FF222222"/>
      <name val="ＭＳ Ｐゴシック"/>
      <family val="3"/>
      <charset val="128"/>
    </font>
    <font>
      <sz val="11"/>
      <color theme="1"/>
      <name val="ＭＳ ゴシック"/>
      <family val="2"/>
      <charset val="128"/>
    </font>
    <font>
      <sz val="10.5"/>
      <color rgb="FF000000"/>
      <name val="WenQuanYi Zen Hei"/>
      <family val="2"/>
    </font>
    <font>
      <sz val="10"/>
      <color theme="1"/>
      <name val="ＭＳ ゴシック"/>
      <family val="3"/>
      <charset val="128"/>
    </font>
    <font>
      <sz val="10.5"/>
      <color rgb="FF000000"/>
      <name val="ＭＳ Ｐゴシック"/>
      <family val="3"/>
      <charset val="128"/>
    </font>
    <font>
      <sz val="11"/>
      <color theme="1"/>
      <name val="ＭＳ ゴシック"/>
      <family val="3"/>
      <charset val="128"/>
    </font>
    <font>
      <sz val="11"/>
      <color theme="1"/>
      <name val="游ゴシック"/>
      <family val="3"/>
      <charset val="128"/>
    </font>
    <font>
      <sz val="11"/>
      <color rgb="FF202124"/>
      <name val="WenQuanYi Zen Hei"/>
      <family val="2"/>
    </font>
    <font>
      <sz val="11"/>
      <color rgb="FF202124"/>
      <name val="ＭＳ ゴシック"/>
      <family val="3"/>
      <charset val="128"/>
    </font>
    <font>
      <sz val="12"/>
      <color rgb="FF333333"/>
      <name val="WenQuanYi Zen Hei"/>
      <family val="2"/>
    </font>
    <font>
      <sz val="12"/>
      <color rgb="FF333333"/>
      <name val="Inherit"/>
      <family val="3"/>
      <charset val="128"/>
    </font>
    <font>
      <sz val="12"/>
      <color rgb="FF333333"/>
      <name val="Inherit"/>
      <family val="2"/>
      <charset val="1"/>
    </font>
    <font>
      <sz val="9"/>
      <color theme="1"/>
      <name val="ＭＳ Ｐゴシック"/>
      <family val="2"/>
      <charset val="128"/>
    </font>
    <font>
      <sz val="8"/>
      <color theme="1"/>
      <name val="ＭＳ Ｐゴシック"/>
      <family val="3"/>
      <charset val="128"/>
    </font>
    <font>
      <sz val="8"/>
      <color theme="1"/>
      <name val="ＭＳ ゴシック"/>
      <family val="2"/>
      <charset val="128"/>
    </font>
    <font>
      <sz val="11"/>
      <color theme="1"/>
      <name val="Calibri"/>
      <family val="2"/>
      <charset val="128"/>
    </font>
    <font>
      <sz val="10"/>
      <color theme="1"/>
      <name val="メイリオ"/>
      <family val="3"/>
      <charset val="128"/>
    </font>
    <font>
      <sz val="10"/>
      <color rgb="FF000000"/>
      <name val="ＭＳ ゴシック"/>
      <family val="2"/>
      <charset val="128"/>
    </font>
    <font>
      <sz val="10"/>
      <color rgb="FF000000"/>
      <name val="WenQuanYi Zen Hei"/>
      <family val="2"/>
    </font>
    <font>
      <sz val="11"/>
      <color theme="1"/>
      <name val="Malgun Gothic"/>
      <family val="3"/>
      <charset val="129"/>
    </font>
    <font>
      <sz val="11"/>
      <color theme="10"/>
      <name val="ＭＳ Ｐゴシック"/>
      <family val="2"/>
      <charset val="128"/>
    </font>
    <font>
      <u val="single"/>
      <sz val="11"/>
      <color theme="1"/>
      <name val="ＭＳ Ｐゴシック"/>
      <family val="2"/>
      <charset val="128"/>
    </font>
    <font>
      <sz val="12"/>
      <color theme="1"/>
      <name val="WenQuanYi Zen Hei"/>
      <family val="2"/>
    </font>
    <font>
      <sz val="12"/>
      <color theme="1"/>
      <name val="ＭＳ Ｐゴシック"/>
      <family val="3"/>
      <charset val="128"/>
    </font>
    <font>
      <sz val="11"/>
      <color theme="1"/>
      <name val="ＭＳ Ｐゴシック"/>
      <family val="3"/>
      <charset val="129"/>
    </font>
    <font>
      <sz val="10"/>
      <color theme="1"/>
      <name val="Arial"/>
      <family val="2"/>
      <charset val="1"/>
    </font>
    <font>
      <sz val="11"/>
      <color rgb="FFFF0000"/>
      <name val="Calibri"/>
      <family val="2"/>
      <charset val="1"/>
    </font>
    <font>
      <sz val="9"/>
      <color theme="1"/>
      <name val="Microsoft YaHei"/>
      <family val="2"/>
      <charset val="128"/>
    </font>
    <font>
      <sz val="11"/>
      <color theme="1"/>
      <name val="Microsoft YaHei"/>
      <family val="3"/>
      <charset val="134"/>
    </font>
    <font>
      <sz val="10"/>
      <name val="Calibri"/>
      <family val="2"/>
      <charset val="1"/>
    </font>
    <font>
      <sz val="10"/>
      <name val="ＭＳ Ｐゴシック"/>
      <family val="3"/>
      <charset val="128"/>
    </font>
    <font>
      <sz val="9"/>
      <name val="ＭＳ ゴシック"/>
      <family val="2"/>
      <charset val="128"/>
    </font>
    <font>
      <sz val="9"/>
      <name val="Calibri"/>
      <family val="2"/>
      <charset val="1"/>
    </font>
    <font>
      <sz val="11"/>
      <name val="Microsoft YaHei"/>
      <family val="2"/>
      <charset val="128"/>
    </font>
    <font>
      <sz val="11"/>
      <name val="ＭＳ ゴシック"/>
      <family val="2"/>
      <charset val="128"/>
    </font>
  </fonts>
  <fills count="24">
    <fill>
      <patternFill patternType="none"/>
    </fill>
    <fill>
      <patternFill patternType="gray125"/>
    </fill>
    <fill>
      <patternFill patternType="solid">
        <fgColor rgb="FFD9E2EC"/>
        <bgColor rgb="FFDBDBDB"/>
      </patternFill>
    </fill>
    <fill>
      <patternFill patternType="solid">
        <fgColor rgb="FFEFEFEF"/>
        <bgColor rgb="FFF2F2F2"/>
      </patternFill>
    </fill>
    <fill>
      <patternFill patternType="solid">
        <fgColor rgb="FFFFF7CC"/>
        <bgColor rgb="FFFFF2CC"/>
      </patternFill>
    </fill>
    <fill>
      <patternFill patternType="solid">
        <fgColor rgb="FFFDE8E8"/>
        <bgColor rgb="FFF5F0E8"/>
      </patternFill>
    </fill>
    <fill>
      <patternFill patternType="solid">
        <fgColor rgb="FFE8F0E8"/>
        <bgColor rgb="FFEFEFEF"/>
      </patternFill>
    </fill>
    <fill>
      <patternFill patternType="solid">
        <fgColor rgb="FFF5F0E8"/>
        <bgColor rgb="FFF2F2F2"/>
      </patternFill>
    </fill>
    <fill>
      <patternFill patternType="solid">
        <fgColor rgb="FFFFFF00"/>
        <bgColor rgb="FFFFFF99"/>
      </patternFill>
    </fill>
    <fill>
      <patternFill patternType="solid">
        <fgColor rgb="FF666699"/>
        <bgColor rgb="FF666666"/>
      </patternFill>
    </fill>
    <fill>
      <patternFill patternType="solid">
        <fgColor theme="0" tint="-0.15"/>
        <bgColor rgb="FFDBDBDB"/>
      </patternFill>
    </fill>
    <fill>
      <patternFill patternType="solid">
        <fgColor theme="7" tint="0.7999"/>
        <bgColor rgb="FFFFF7CC"/>
      </patternFill>
    </fill>
    <fill>
      <patternFill patternType="solid">
        <fgColor theme="8" tint="-0.5"/>
        <bgColor rgb="FF333333"/>
      </patternFill>
    </fill>
    <fill>
      <patternFill patternType="solid">
        <fgColor theme="9" tint="-0.25"/>
        <bgColor rgb="FF666666"/>
      </patternFill>
    </fill>
    <fill>
      <patternFill patternType="solid">
        <fgColor theme="6" tint="0.5999"/>
        <bgColor rgb="FFD9D9D9"/>
      </patternFill>
    </fill>
    <fill>
      <patternFill patternType="solid">
        <fgColor theme="4" tint="0.7999"/>
        <bgColor rgb="FFD9E2EC"/>
      </patternFill>
    </fill>
    <fill>
      <patternFill patternType="solid">
        <fgColor theme="9" tint="0.7999"/>
        <bgColor rgb="FFE8F0E8"/>
      </patternFill>
    </fill>
    <fill>
      <patternFill patternType="solid">
        <fgColor theme="0"/>
        <bgColor rgb="FFF2F2F2"/>
      </patternFill>
    </fill>
    <fill>
      <patternFill patternType="solid">
        <fgColor theme="0" tint="-0.05"/>
        <bgColor rgb="FFEFEFEF"/>
      </patternFill>
    </fill>
    <fill>
      <patternFill patternType="solid">
        <fgColor theme="0" tint="-0.35"/>
        <bgColor rgb="FFAAAAAA"/>
      </patternFill>
    </fill>
    <fill>
      <patternFill patternType="solid">
        <fgColor rgb="FFFFFFCC"/>
        <bgColor rgb="FFFFF7CC"/>
      </patternFill>
    </fill>
    <fill>
      <patternFill patternType="solid">
        <fgColor theme="5" tint="0.5999"/>
        <bgColor rgb="FFFFD9D9"/>
      </patternFill>
    </fill>
    <fill>
      <patternFill patternType="solid">
        <fgColor rgb="FFFFFF99"/>
        <bgColor rgb="FFFFFFCC"/>
      </patternFill>
    </fill>
    <fill>
      <patternFill patternType="solid">
        <fgColor theme="0" tint="-0.25"/>
        <bgColor rgb="FFAAAAAA"/>
      </patternFill>
    </fill>
  </fills>
  <borders count="91">
    <border diagonalUp="false" diagonalDown="false">
      <left/>
      <right/>
      <top/>
      <bottom/>
      <diagonal/>
    </border>
    <border diagonalUp="false" diagonalDown="false">
      <left style="thin">
        <color rgb="FF999999"/>
      </left>
      <right/>
      <top style="thin">
        <color rgb="FF999999"/>
      </top>
      <bottom style="thin">
        <color rgb="FF999999"/>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thin">
        <color rgb="FF999999"/>
      </left>
      <right/>
      <top style="thin">
        <color rgb="FF999999"/>
      </top>
      <bottom/>
      <diagonal/>
    </border>
    <border diagonalUp="false" diagonalDown="false">
      <left style="thin">
        <color rgb="FF999999"/>
      </left>
      <right style="thin">
        <color rgb="FF999999"/>
      </right>
      <top style="thin">
        <color rgb="FF999999"/>
      </top>
      <bottom/>
      <diagonal/>
    </border>
    <border diagonalUp="false" diagonalDown="false">
      <left/>
      <right/>
      <top/>
      <bottom style="mediu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theme="0" tint="-0.35"/>
      </left>
      <right style="thin">
        <color theme="0" tint="-0.35"/>
      </right>
      <top style="thin">
        <color theme="0" tint="-0.35"/>
      </top>
      <bottom/>
      <diagonal/>
    </border>
    <border diagonalUp="false" diagonalDown="false">
      <left/>
      <right style="thin">
        <color theme="0" tint="-0.35"/>
      </right>
      <top style="thin">
        <color theme="0" tint="-0.35"/>
      </top>
      <bottom/>
      <diagonal/>
    </border>
    <border diagonalUp="false" diagonalDown="false">
      <left style="thin">
        <color theme="0" tint="-0.35"/>
      </left>
      <right/>
      <top/>
      <bottom style="thin">
        <color theme="0" tint="-0.35"/>
      </bottom>
      <diagonal/>
    </border>
    <border diagonalUp="false" diagonalDown="false">
      <left style="thin">
        <color theme="0" tint="-0.35"/>
      </left>
      <right style="thin">
        <color theme="0" tint="-0.35"/>
      </right>
      <top/>
      <bottom style="thin">
        <color theme="0" tint="-0.35"/>
      </bottom>
      <diagonal/>
    </border>
    <border diagonalUp="false" diagonalDown="false">
      <left/>
      <right style="thin">
        <color theme="0" tint="-0.35"/>
      </right>
      <top style="thin">
        <color theme="0" tint="-0.35"/>
      </top>
      <bottom style="thin">
        <color theme="0" tint="-0.35"/>
      </bottom>
      <diagonal/>
    </border>
    <border diagonalUp="false" diagonalDown="false">
      <left style="thin">
        <color theme="0" tint="-0.35"/>
      </left>
      <right/>
      <top/>
      <bottom/>
      <diagonal/>
    </border>
    <border diagonalUp="false" diagonalDown="false">
      <left style="thin">
        <color theme="0" tint="-0.35"/>
      </left>
      <right/>
      <top style="thin">
        <color theme="0" tint="-0.35"/>
      </top>
      <bottom style="thin">
        <color theme="0" tint="-0.35"/>
      </bottom>
      <diagonal/>
    </border>
    <border diagonalUp="false" diagonalDown="false">
      <left/>
      <right/>
      <top style="thin">
        <color theme="0" tint="-0.35"/>
      </top>
      <bottom style="medium"/>
      <diagonal/>
    </border>
    <border diagonalUp="false" diagonalDown="false">
      <left/>
      <right/>
      <top style="thin">
        <color theme="0" tint="-0.35"/>
      </top>
      <bottom style="thin">
        <color theme="0" tint="-0.35"/>
      </bottom>
      <diagonal/>
    </border>
    <border diagonalUp="false" diagonalDown="false">
      <left style="thin">
        <color theme="0" tint="-0.35"/>
      </left>
      <right/>
      <top style="thin">
        <color theme="0" tint="-0.35"/>
      </top>
      <bottom/>
      <diagonal/>
    </border>
    <border diagonalUp="false" diagonalDown="false">
      <left/>
      <right/>
      <top style="thin">
        <color theme="0" tint="-0.35"/>
      </top>
      <bottom/>
      <diagonal/>
    </border>
    <border diagonalUp="false" diagonalDown="false">
      <left/>
      <right/>
      <top/>
      <bottom style="thin">
        <color theme="0" tint="-0.35"/>
      </bottom>
      <diagonal/>
    </border>
    <border diagonalUp="false" diagonalDown="false">
      <left/>
      <right style="thin">
        <color theme="0" tint="-0.35"/>
      </right>
      <top/>
      <bottom style="thin">
        <color theme="0" tint="-0.35"/>
      </bottom>
      <diagonal/>
    </border>
    <border diagonalUp="false" diagonalDown="false">
      <left/>
      <right style="thin">
        <color theme="0" tint="-0.35"/>
      </right>
      <top/>
      <bottom/>
      <diagonal/>
    </border>
    <border diagonalUp="false" diagonalDown="false">
      <left style="medium"/>
      <right style="thin"/>
      <top style="medium"/>
      <bottom/>
      <diagonal/>
    </border>
    <border diagonalUp="false" diagonalDown="false">
      <left style="thin"/>
      <right/>
      <top style="medium"/>
      <bottom/>
      <diagonal/>
    </border>
    <border diagonalUp="false" diagonalDown="false">
      <left style="medium"/>
      <right style="medium"/>
      <top style="medium"/>
      <bottom/>
      <diagonal/>
    </border>
    <border diagonalUp="false" diagonalDown="false">
      <left style="medium"/>
      <right/>
      <top/>
      <bottom/>
      <diagonal/>
    </border>
    <border diagonalUp="false" diagonalDown="false">
      <left style="thin"/>
      <right style="medium"/>
      <top/>
      <bottom/>
      <diagonal/>
    </border>
    <border diagonalUp="false" diagonalDown="false">
      <left style="thin"/>
      <right style="thin"/>
      <top style="medium"/>
      <bottom style="thin"/>
      <diagonal/>
    </border>
    <border diagonalUp="false" diagonalDown="false">
      <left style="medium"/>
      <right/>
      <top style="medium"/>
      <bottom/>
      <diagonal/>
    </border>
    <border diagonalUp="false" diagonalDown="false">
      <left/>
      <right style="thin"/>
      <top style="medium"/>
      <bottom/>
      <diagonal/>
    </border>
    <border diagonalUp="false" diagonalDown="false">
      <left/>
      <right/>
      <top style="medium"/>
      <bottom/>
      <diagonal/>
    </border>
    <border diagonalUp="false" diagonalDown="false">
      <left style="thin"/>
      <right style="medium"/>
      <top style="medium"/>
      <bottom/>
      <diagonal/>
    </border>
    <border diagonalUp="false" diagonalDown="false">
      <left style="medium"/>
      <right style="thin"/>
      <top/>
      <bottom style="medium"/>
      <diagonal/>
    </border>
    <border diagonalUp="false" diagonalDown="false">
      <left style="thin"/>
      <right/>
      <top/>
      <bottom style="thin"/>
      <diagonal/>
    </border>
    <border diagonalUp="false" diagonalDown="false">
      <left style="medium"/>
      <right/>
      <top/>
      <bottom style="thin"/>
      <diagonal/>
    </border>
    <border diagonalUp="false" diagonalDown="false">
      <left/>
      <right style="thin"/>
      <top/>
      <bottom style="thin"/>
      <diagonal/>
    </border>
    <border diagonalUp="false" diagonalDown="false">
      <left/>
      <right/>
      <top/>
      <bottom style="thin"/>
      <diagonal/>
    </border>
    <border diagonalUp="false" diagonalDown="false">
      <left style="thin"/>
      <right style="medium"/>
      <top/>
      <bottom style="thin"/>
      <diagonal/>
    </border>
    <border diagonalUp="false" diagonalDown="false">
      <left style="thin"/>
      <right style="thin"/>
      <top/>
      <bottom style="thin"/>
      <diagonal/>
    </border>
    <border diagonalUp="false" diagonalDown="false">
      <left style="thin"/>
      <right/>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medium"/>
      <diagonal/>
    </border>
    <border diagonalUp="false" diagonalDown="false">
      <left style="medium"/>
      <right/>
      <top/>
      <bottom style="medium"/>
      <diagonal/>
    </border>
    <border diagonalUp="false" diagonalDown="false">
      <left/>
      <right style="thin"/>
      <top/>
      <bottom style="medium"/>
      <diagonal/>
    </border>
    <border diagonalUp="false" diagonalDown="false">
      <left style="thin"/>
      <right style="medium"/>
      <top/>
      <bottom style="medium"/>
      <diagonal/>
    </border>
    <border diagonalUp="false" diagonalDown="false">
      <left style="medium"/>
      <right style="thin"/>
      <top/>
      <bottom/>
      <diagonal/>
    </border>
    <border diagonalUp="false" diagonalDown="false">
      <left style="medium"/>
      <right style="thin"/>
      <top style="medium"/>
      <bottom style="mediu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right style="medium"/>
      <top style="medium"/>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right style="medium"/>
      <top/>
      <bottom/>
      <diagonal/>
    </border>
    <border diagonalUp="false" diagonalDown="false">
      <left style="thin"/>
      <right style="medium"/>
      <top style="medium"/>
      <bottom style="mediu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style="thin"/>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medium"/>
      <right style="medium"/>
      <top/>
      <bottom/>
      <diagonal/>
    </border>
    <border diagonalUp="false" diagonalDown="false">
      <left style="medium"/>
      <right/>
      <top style="medium"/>
      <bottom style="medium"/>
      <diagonal/>
    </border>
    <border diagonalUp="false" diagonalDown="false">
      <left style="thin"/>
      <right style="thin"/>
      <top style="medium"/>
      <bottom style="medium"/>
      <diagonal/>
    </border>
    <border diagonalUp="false" diagonalDown="false">
      <left style="medium"/>
      <right style="medium"/>
      <top style="medium"/>
      <bottom style="medium"/>
      <diagonal/>
    </border>
    <border diagonalUp="false" diagonalDown="false">
      <left/>
      <right style="dotted"/>
      <top/>
      <bottom style="medium"/>
      <diagonal/>
    </border>
    <border diagonalUp="false" diagonalDown="false">
      <left style="dotted"/>
      <right style="dotted"/>
      <top/>
      <bottom style="medium"/>
      <diagonal/>
    </border>
    <border diagonalUp="false" diagonalDown="false">
      <left style="dotted"/>
      <right style="thin"/>
      <top style="medium"/>
      <bottom style="medium"/>
      <diagonal/>
    </border>
    <border diagonalUp="false" diagonalDown="false">
      <left/>
      <right style="thin"/>
      <top style="medium"/>
      <bottom style="medium"/>
      <diagonal/>
    </border>
    <border diagonalUp="false" diagonalDown="false">
      <left/>
      <right style="dotted"/>
      <top/>
      <bottom style="thin"/>
      <diagonal/>
    </border>
    <border diagonalUp="false" diagonalDown="false">
      <left style="dotted"/>
      <right style="dotted"/>
      <top/>
      <bottom style="thin"/>
      <diagonal/>
    </border>
    <border diagonalUp="false" diagonalDown="false">
      <left style="dotted"/>
      <right style="thin"/>
      <top/>
      <bottom style="thin"/>
      <diagonal/>
    </border>
    <border diagonalUp="false" diagonalDown="false">
      <left style="medium"/>
      <right/>
      <top style="thin"/>
      <bottom style="thin"/>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right style="dotted"/>
      <top style="thin"/>
      <bottom style="thin"/>
      <diagonal/>
    </border>
    <border diagonalUp="false" diagonalDown="false">
      <left style="dotted"/>
      <right style="dotted"/>
      <top style="thin"/>
      <bottom style="thin"/>
      <diagonal/>
    </border>
    <border diagonalUp="false" diagonalDown="false">
      <left style="dotted"/>
      <right style="thin"/>
      <top style="thin"/>
      <bottom style="thin"/>
      <diagonal/>
    </border>
    <border diagonalUp="false" diagonalDown="false">
      <left/>
      <right style="dotted"/>
      <top style="thin"/>
      <bottom style="medium"/>
      <diagonal/>
    </border>
    <border diagonalUp="false" diagonalDown="false">
      <left style="dotted"/>
      <right style="dotted"/>
      <top style="thin"/>
      <bottom style="medium"/>
      <diagonal/>
    </border>
    <border diagonalUp="false" diagonalDown="false">
      <left style="dotted"/>
      <right style="thin"/>
      <top style="thin"/>
      <bottom style="medium"/>
      <diagonal/>
    </border>
    <border diagonalUp="false" diagonalDown="false">
      <left/>
      <right/>
      <top style="medium"/>
      <bottom style="medium"/>
      <diagonal/>
    </border>
    <border diagonalUp="false" diagonalDown="false">
      <left style="dotted"/>
      <right/>
      <top style="medium"/>
      <bottom style="medium"/>
      <diagonal/>
    </border>
    <border diagonalUp="false" diagonalDown="false">
      <left style="dotted"/>
      <right style="dotted"/>
      <top style="medium"/>
      <bottom style="medium"/>
      <diagonal/>
    </border>
    <border diagonalUp="false" diagonalDown="false">
      <left style="dotted"/>
      <right style="thin"/>
      <top/>
      <bottom style="medium"/>
      <diagonal/>
    </border>
    <border diagonalUp="false" diagonalDown="false">
      <left style="medium"/>
      <right style="thin"/>
      <top style="thin"/>
      <botto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medium"/>
      <right style="thin"/>
      <top/>
      <bottom style="thin"/>
      <diagonal/>
    </border>
    <border diagonalUp="false" diagonalDown="false">
      <left/>
      <right style="thin"/>
      <top style="medium"/>
      <bottom style="thin"/>
      <diagonal/>
    </border>
    <border diagonalUp="false" diagonalDown="false">
      <left style="thin"/>
      <right style="thin"/>
      <top style="thin"/>
      <bottom/>
      <diagonal/>
    </border>
    <border diagonalUp="false" diagonalDown="false">
      <left/>
      <right style="thin"/>
      <top style="thin"/>
      <bottom style="medium"/>
      <diagonal/>
    </border>
  </borders>
  <cellStyleXfs count="25">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8" fillId="0" borderId="0" applyFont="true" applyBorder="true" applyAlignment="true" applyProtection="true">
      <alignment horizontal="general" vertical="center" textRotation="0" wrapText="false" indent="0" shrinkToFit="false"/>
      <protection locked="true" hidden="false"/>
    </xf>
    <xf numFmtId="165" fontId="4" fillId="0" borderId="0" applyFont="true" applyBorder="true" applyAlignment="true" applyProtection="true">
      <alignment horizontal="general" vertical="center" textRotation="0" wrapText="false" indent="0" shrinkToFit="false"/>
      <protection locked="true" hidden="false"/>
    </xf>
    <xf numFmtId="166" fontId="4"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center" textRotation="0" wrapText="false" indent="0" shrinkToFit="false"/>
      <protection locked="true" hidden="false"/>
    </xf>
  </cellStyleXfs>
  <cellXfs count="568">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64" fontId="10" fillId="2" borderId="1" xfId="0" applyFont="true" applyBorder="true" applyAlignment="true" applyProtection="false">
      <alignment horizontal="left" vertical="center" textRotation="0" wrapText="false" indent="0" shrinkToFit="false"/>
      <protection locked="true" hidden="false"/>
    </xf>
    <xf numFmtId="164" fontId="12" fillId="3" borderId="2" xfId="0" applyFont="true" applyBorder="true" applyAlignment="true" applyProtection="false">
      <alignment horizontal="center" vertical="center" textRotation="0" wrapText="false" indent="0" shrinkToFit="false"/>
      <protection locked="true" hidden="false"/>
    </xf>
    <xf numFmtId="164" fontId="13" fillId="4" borderId="2" xfId="0" applyFont="true" applyBorder="true" applyAlignment="true" applyProtection="true">
      <alignment horizontal="left" vertical="center" textRotation="0" wrapText="false" indent="0" shrinkToFit="false"/>
      <protection locked="false" hidden="false"/>
    </xf>
    <xf numFmtId="164" fontId="14" fillId="0" borderId="0" xfId="0" applyFont="true" applyBorder="true" applyAlignment="true" applyProtection="false">
      <alignment horizontal="left" vertical="center" textRotation="0" wrapText="false" indent="0" shrinkToFit="false"/>
      <protection locked="true" hidden="false"/>
    </xf>
    <xf numFmtId="167" fontId="13" fillId="4" borderId="2" xfId="0" applyFont="true" applyBorder="true" applyAlignment="true" applyProtection="true">
      <alignment horizontal="left" vertical="center" textRotation="0" wrapText="false" indent="0" shrinkToFit="false"/>
      <protection locked="false" hidden="false"/>
    </xf>
    <xf numFmtId="164" fontId="13" fillId="5" borderId="2" xfId="0" applyFont="true" applyBorder="true" applyAlignment="true" applyProtection="true">
      <alignment horizontal="left" vertical="center" textRotation="0" wrapText="false" indent="0" shrinkToFit="false"/>
      <protection locked="false" hidden="false"/>
    </xf>
    <xf numFmtId="168" fontId="13" fillId="4" borderId="2" xfId="0" applyFont="true" applyBorder="true" applyAlignment="true" applyProtection="true">
      <alignment horizontal="left" vertical="center" textRotation="0" wrapText="false" indent="0" shrinkToFit="false"/>
      <protection locked="false" hidden="false"/>
    </xf>
    <xf numFmtId="168" fontId="10" fillId="6" borderId="2" xfId="0" applyFont="true" applyBorder="true" applyAlignment="true" applyProtection="false">
      <alignment horizontal="left" vertical="center" textRotation="0" wrapText="false" indent="0" shrinkToFit="false"/>
      <protection locked="true" hidden="false"/>
    </xf>
    <xf numFmtId="164" fontId="17" fillId="3" borderId="2" xfId="0" applyFont="true" applyBorder="true" applyAlignment="true" applyProtection="false">
      <alignment horizontal="center" vertical="center" textRotation="0" wrapText="false" indent="0" shrinkToFit="false"/>
      <protection locked="true" hidden="false"/>
    </xf>
    <xf numFmtId="164" fontId="14" fillId="0" borderId="2" xfId="0" applyFont="true" applyBorder="true" applyAlignment="true" applyProtection="false">
      <alignment horizontal="center" vertical="center" textRotation="0" wrapText="false" indent="0" shrinkToFit="false"/>
      <protection locked="true" hidden="false"/>
    </xf>
    <xf numFmtId="164" fontId="15" fillId="0" borderId="2" xfId="0" applyFont="true" applyBorder="true" applyAlignment="true" applyProtection="false">
      <alignment horizontal="center" vertical="center" textRotation="0" wrapText="false" indent="0" shrinkToFit="false"/>
      <protection locked="true" hidden="false"/>
    </xf>
    <xf numFmtId="164" fontId="19" fillId="4" borderId="2" xfId="0" applyFont="true" applyBorder="true" applyAlignment="true" applyProtection="true">
      <alignment horizontal="left" vertical="center" textRotation="0" wrapText="false" indent="0" shrinkToFit="false"/>
      <protection locked="false" hidden="false"/>
    </xf>
    <xf numFmtId="169" fontId="19" fillId="4" borderId="2" xfId="0" applyFont="true" applyBorder="true" applyAlignment="true" applyProtection="true">
      <alignment horizontal="center" vertical="center" textRotation="0" wrapText="false" indent="0" shrinkToFit="false"/>
      <protection locked="false" hidden="false"/>
    </xf>
    <xf numFmtId="169" fontId="19" fillId="4" borderId="2" xfId="0" applyFont="true" applyBorder="true" applyAlignment="true" applyProtection="true">
      <alignment horizontal="right" vertical="center" textRotation="0" wrapText="false" indent="0" shrinkToFit="false"/>
      <protection locked="false" hidden="false"/>
    </xf>
    <xf numFmtId="168" fontId="19" fillId="6" borderId="2" xfId="0" applyFont="true" applyBorder="true" applyAlignment="true" applyProtection="false">
      <alignment horizontal="center" vertical="center" textRotation="0" wrapText="false" indent="0" shrinkToFit="false"/>
      <protection locked="true" hidden="false"/>
    </xf>
    <xf numFmtId="169" fontId="19" fillId="6" borderId="2" xfId="0" applyFont="true" applyBorder="true" applyAlignment="true" applyProtection="false">
      <alignment horizontal="right" vertical="center" textRotation="0" wrapText="false" indent="0" shrinkToFit="false"/>
      <protection locked="true" hidden="false"/>
    </xf>
    <xf numFmtId="169" fontId="16" fillId="6" borderId="2" xfId="0" applyFont="true" applyBorder="true" applyAlignment="true" applyProtection="false">
      <alignment horizontal="left" vertical="center" textRotation="0" wrapText="false" indent="0" shrinkToFit="false"/>
      <protection locked="true" hidden="false"/>
    </xf>
    <xf numFmtId="164" fontId="14" fillId="0" borderId="2" xfId="0" applyFont="true" applyBorder="true" applyAlignment="true" applyProtection="false">
      <alignment horizontal="left" vertical="center" textRotation="0" wrapText="false" indent="0" shrinkToFit="false"/>
      <protection locked="true" hidden="false"/>
    </xf>
    <xf numFmtId="164" fontId="20" fillId="3" borderId="2" xfId="0" applyFont="true" applyBorder="true" applyAlignment="true" applyProtection="false">
      <alignment horizontal="center" vertical="center" textRotation="0" wrapText="false" indent="0" shrinkToFit="false"/>
      <protection locked="true" hidden="false"/>
    </xf>
    <xf numFmtId="164" fontId="19" fillId="4" borderId="2" xfId="0" applyFont="true" applyBorder="true" applyAlignment="true" applyProtection="true">
      <alignment horizontal="center" vertical="center" textRotation="0" wrapText="false" indent="0" shrinkToFit="false"/>
      <protection locked="false" hidden="false"/>
    </xf>
    <xf numFmtId="164" fontId="15" fillId="0" borderId="2" xfId="0" applyFont="true" applyBorder="true" applyAlignment="true" applyProtection="false">
      <alignment horizontal="left" vertical="center" textRotation="0" wrapText="false" indent="0" shrinkToFit="false"/>
      <protection locked="true" hidden="false"/>
    </xf>
    <xf numFmtId="169" fontId="13" fillId="4" borderId="2" xfId="0" applyFont="true" applyBorder="true" applyAlignment="true" applyProtection="true">
      <alignment horizontal="left" vertical="center" textRotation="0" wrapText="false" indent="0" shrinkToFit="false"/>
      <protection locked="false" hidden="false"/>
    </xf>
    <xf numFmtId="164" fontId="10" fillId="6" borderId="2" xfId="0" applyFont="true" applyBorder="true" applyAlignment="true" applyProtection="false">
      <alignment horizontal="left" vertical="center" textRotation="0" wrapText="false" indent="0" shrinkToFit="false"/>
      <protection locked="true" hidden="false"/>
    </xf>
    <xf numFmtId="164" fontId="13" fillId="4" borderId="3" xfId="0" applyFont="true" applyBorder="true" applyAlignment="true" applyProtection="true">
      <alignment horizontal="left" vertical="top" textRotation="0" wrapText="true" indent="0" shrinkToFit="false"/>
      <protection locked="fals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true" applyAlignment="true" applyProtection="false">
      <alignment horizontal="left" vertical="center" textRotation="0" wrapText="false" indent="0" shrinkToFit="false"/>
      <protection locked="true" hidden="false"/>
    </xf>
    <xf numFmtId="164" fontId="23" fillId="3" borderId="2" xfId="0" applyFont="true" applyBorder="true" applyAlignment="true" applyProtection="false">
      <alignment horizontal="center" vertical="center" textRotation="0" wrapText="false" indent="0" shrinkToFit="false"/>
      <protection locked="true" hidden="false"/>
    </xf>
    <xf numFmtId="164" fontId="24" fillId="6"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left" vertical="center" textRotation="0" wrapText="false" indent="0" shrinkToFit="false"/>
      <protection locked="true" hidden="false"/>
    </xf>
    <xf numFmtId="164" fontId="11" fillId="2" borderId="1" xfId="0" applyFont="true" applyBorder="true" applyAlignment="true" applyProtection="false">
      <alignment horizontal="left" vertical="center" textRotation="0" wrapText="false" indent="0" shrinkToFit="false"/>
      <protection locked="true" hidden="false"/>
    </xf>
    <xf numFmtId="164" fontId="16" fillId="3" borderId="2" xfId="0" applyFont="true" applyBorder="true" applyAlignment="true" applyProtection="false">
      <alignment horizontal="center" vertical="center" textRotation="0" wrapText="false" indent="0" shrinkToFit="false"/>
      <protection locked="true" hidden="false"/>
    </xf>
    <xf numFmtId="164" fontId="12" fillId="3" borderId="4" xfId="0" applyFont="true" applyBorder="true" applyAlignment="true" applyProtection="false">
      <alignment horizontal="center" vertical="center" textRotation="0" wrapText="false" indent="0" shrinkToFit="false"/>
      <protection locked="true" hidden="false"/>
    </xf>
    <xf numFmtId="164" fontId="13" fillId="6" borderId="3"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4" fontId="13" fillId="4" borderId="1" xfId="0" applyFont="true" applyBorder="true" applyAlignment="true" applyProtection="true">
      <alignment horizontal="left" vertical="center" textRotation="0" wrapText="false" indent="0" shrinkToFit="false"/>
      <protection locked="fals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25" fillId="0" borderId="1" xfId="0" applyFont="true" applyBorder="true" applyAlignment="true" applyProtection="true">
      <alignment horizontal="left" vertical="center" textRotation="0" wrapText="false" indent="0" shrinkToFit="false"/>
      <protection locked="false" hidden="false"/>
    </xf>
    <xf numFmtId="164" fontId="18" fillId="3" borderId="2"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left" vertical="center" textRotation="0" wrapText="false" indent="0" shrinkToFit="false"/>
      <protection locked="true" hidden="false"/>
    </xf>
    <xf numFmtId="164" fontId="23" fillId="0" borderId="2" xfId="0" applyFont="true" applyBorder="true" applyAlignment="true" applyProtection="true">
      <alignment horizontal="left" vertical="center" textRotation="0" wrapText="false" indent="0" shrinkToFit="false"/>
      <protection locked="false" hidden="false"/>
    </xf>
    <xf numFmtId="164" fontId="26" fillId="0" borderId="0"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right" vertical="center" textRotation="0" wrapText="false" indent="0" shrinkToFit="false"/>
      <protection locked="true" hidden="false"/>
    </xf>
    <xf numFmtId="164" fontId="13" fillId="6" borderId="2" xfId="0" applyFont="true" applyBorder="true" applyAlignment="true" applyProtection="false">
      <alignment horizontal="center" vertical="center" textRotation="0" wrapText="false" indent="0" shrinkToFit="false"/>
      <protection locked="true" hidden="false"/>
    </xf>
    <xf numFmtId="167" fontId="13" fillId="6" borderId="2" xfId="0" applyFont="true" applyBorder="true" applyAlignment="true" applyProtection="false">
      <alignment horizontal="center" vertical="center" textRotation="0" wrapText="false" indent="0" shrinkToFit="false"/>
      <protection locked="true" hidden="false"/>
    </xf>
    <xf numFmtId="164" fontId="27" fillId="6" borderId="1" xfId="0" applyFont="true" applyBorder="true" applyAlignment="true" applyProtection="false">
      <alignment horizontal="left" vertical="center" textRotation="0" wrapText="false" indent="0" shrinkToFit="false"/>
      <protection locked="true" hidden="false"/>
    </xf>
    <xf numFmtId="164" fontId="28" fillId="7" borderId="3" xfId="0" applyFont="true" applyBorder="true" applyAlignment="true" applyProtection="false">
      <alignment horizontal="center" vertical="center" textRotation="0" wrapText="false" indent="0" shrinkToFit="false"/>
      <protection locked="true" hidden="false"/>
    </xf>
    <xf numFmtId="164" fontId="29" fillId="6" borderId="1"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25" fillId="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true" applyProtection="false">
      <alignment horizontal="right" vertical="center" textRotation="0" wrapText="false" indent="0" shrinkToFit="false"/>
      <protection locked="true" hidden="false"/>
    </xf>
    <xf numFmtId="170" fontId="13" fillId="0" borderId="0" xfId="0" applyFont="true" applyBorder="false" applyAlignment="true" applyProtection="false">
      <alignment horizontal="left" vertical="center" textRotation="0" wrapText="fals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71" fontId="30" fillId="0" borderId="1" xfId="0" applyFont="true" applyBorder="true" applyAlignment="true" applyProtection="false">
      <alignment horizontal="right" vertical="center" textRotation="0" wrapText="false" indent="0" shrinkToFit="false"/>
      <protection locked="true" hidden="false"/>
    </xf>
    <xf numFmtId="167" fontId="13" fillId="6" borderId="1" xfId="0" applyFont="true" applyBorder="true" applyAlignment="true" applyProtection="false">
      <alignment horizontal="center" vertical="center" textRotation="0" wrapText="false" indent="0" shrinkToFit="false"/>
      <protection locked="true" hidden="false"/>
    </xf>
    <xf numFmtId="164" fontId="13" fillId="0" borderId="2" xfId="0" applyFont="true" applyBorder="true" applyAlignment="true" applyProtection="false">
      <alignment horizontal="center" vertical="center" textRotation="0" wrapText="false" indent="0" shrinkToFit="false"/>
      <protection locked="true" hidden="false"/>
    </xf>
    <xf numFmtId="164" fontId="13" fillId="6" borderId="2" xfId="0" applyFont="true" applyBorder="true" applyAlignment="true" applyProtection="false">
      <alignment horizontal="left" vertical="center" textRotation="0" wrapText="false" indent="0" shrinkToFit="false"/>
      <protection locked="true" hidden="false"/>
    </xf>
    <xf numFmtId="169" fontId="13" fillId="6" borderId="2" xfId="0" applyFont="true" applyBorder="true" applyAlignment="true" applyProtection="false">
      <alignment horizontal="right" vertical="center" textRotation="0" wrapText="false" indent="0" shrinkToFit="false"/>
      <protection locked="true" hidden="false"/>
    </xf>
    <xf numFmtId="169" fontId="13" fillId="6" borderId="2" xfId="0" applyFont="true" applyBorder="true" applyAlignment="true" applyProtection="false">
      <alignment horizontal="center" vertical="center" textRotation="0" wrapText="false" indent="0" shrinkToFit="false"/>
      <protection locked="true" hidden="false"/>
    </xf>
    <xf numFmtId="169" fontId="13" fillId="0" borderId="2" xfId="0" applyFont="true" applyBorder="true" applyAlignment="true" applyProtection="false">
      <alignment horizontal="right" vertical="center" textRotation="0" wrapText="false" indent="0" shrinkToFit="false"/>
      <protection locked="true" hidden="false"/>
    </xf>
    <xf numFmtId="164" fontId="31" fillId="0" borderId="0" xfId="0" applyFont="true" applyBorder="true" applyAlignment="true" applyProtection="false">
      <alignment horizontal="left" vertical="center" textRotation="0" wrapText="false" indent="0" shrinkToFit="false"/>
      <protection locked="true" hidden="false"/>
    </xf>
    <xf numFmtId="164" fontId="25" fillId="3" borderId="1" xfId="0" applyFont="true" applyBorder="true" applyAlignment="true" applyProtection="false">
      <alignment horizontal="center" vertical="center" textRotation="0" wrapText="false" indent="0" shrinkToFit="false"/>
      <protection locked="true" hidden="false"/>
    </xf>
    <xf numFmtId="171" fontId="13" fillId="0" borderId="2" xfId="0" applyFont="true" applyBorder="true" applyAlignment="true" applyProtection="false">
      <alignment horizontal="right" vertical="center" textRotation="0" wrapText="false" indent="0" shrinkToFit="false"/>
      <protection locked="true" hidden="false"/>
    </xf>
    <xf numFmtId="164" fontId="32" fillId="0" borderId="0" xfId="0" applyFont="true" applyBorder="true" applyAlignment="true" applyProtection="false">
      <alignment horizontal="left" vertical="center" textRotation="0" wrapText="false" indent="0" shrinkToFit="false"/>
      <protection locked="true" hidden="false"/>
    </xf>
    <xf numFmtId="171" fontId="24" fillId="0" borderId="2" xfId="0" applyFont="true" applyBorder="true" applyAlignment="true" applyProtection="false">
      <alignment horizontal="right" vertical="center" textRotation="0" wrapText="false" indent="0" shrinkToFit="false"/>
      <protection locked="true" hidden="false"/>
    </xf>
    <xf numFmtId="167" fontId="13" fillId="4" borderId="2" xfId="0" applyFont="true" applyBorder="true" applyAlignment="true" applyProtection="true">
      <alignment horizontal="center" vertical="center" textRotation="0" wrapText="false" indent="0" shrinkToFit="false"/>
      <protection locked="false" hidden="false"/>
    </xf>
    <xf numFmtId="167" fontId="13" fillId="4" borderId="1" xfId="0" applyFont="true" applyBorder="true" applyAlignment="true" applyProtection="true">
      <alignment horizontal="center" vertical="center" textRotation="0" wrapText="false" indent="0" shrinkToFit="false"/>
      <protection locked="false" hidden="false"/>
    </xf>
    <xf numFmtId="164" fontId="33" fillId="0" borderId="0" xfId="0" applyFont="true" applyBorder="true" applyAlignment="true" applyProtection="false">
      <alignment horizontal="center" vertical="center" textRotation="0" wrapText="false" indent="0" shrinkToFit="false"/>
      <protection locked="true" hidden="false"/>
    </xf>
    <xf numFmtId="164" fontId="30" fillId="6" borderId="1" xfId="0" applyFont="true" applyBorder="true" applyAlignment="true" applyProtection="false">
      <alignment horizontal="left" vertical="center" textRotation="0" wrapText="false" indent="0" shrinkToFit="false"/>
      <protection locked="true" hidden="false"/>
    </xf>
    <xf numFmtId="164" fontId="34" fillId="0" borderId="3" xfId="0" applyFont="true" applyBorder="true" applyAlignment="true" applyProtection="false">
      <alignment horizontal="center" vertical="center" textRotation="0" wrapText="false" indent="0" shrinkToFit="false"/>
      <protection locked="true" hidden="false"/>
    </xf>
    <xf numFmtId="164" fontId="29" fillId="4" borderId="1" xfId="0" applyFont="true" applyBorder="true" applyAlignment="true" applyProtection="true">
      <alignment horizontal="left" vertical="center" textRotation="0" wrapText="false" indent="0" shrinkToFit="false"/>
      <protection locked="false" hidden="false"/>
    </xf>
    <xf numFmtId="164" fontId="15" fillId="0" borderId="0" xfId="0" applyFont="true" applyBorder="true" applyAlignment="true" applyProtection="false">
      <alignment horizontal="left" vertical="center" textRotation="0" wrapText="false" indent="0" shrinkToFit="false"/>
      <protection locked="true" hidden="false"/>
    </xf>
    <xf numFmtId="164" fontId="28" fillId="0" borderId="3" xfId="0" applyFont="true" applyBorder="true" applyAlignment="true" applyProtection="false">
      <alignment horizontal="center" vertical="center" textRotation="0" wrapText="false" indent="0" shrinkToFit="false"/>
      <protection locked="true" hidden="false"/>
    </xf>
    <xf numFmtId="164" fontId="35" fillId="0" borderId="0" xfId="0" applyFont="true" applyBorder="true" applyAlignment="true" applyProtection="false">
      <alignment horizontal="left" vertical="center" textRotation="0" wrapText="false" indent="0" shrinkToFit="false"/>
      <protection locked="true" hidden="false"/>
    </xf>
    <xf numFmtId="164" fontId="10" fillId="6" borderId="2" xfId="0" applyFont="true" applyBorder="true" applyAlignment="true" applyProtection="false">
      <alignment horizontal="center" vertical="center" textRotation="0" wrapText="false" indent="0" shrinkToFit="false"/>
      <protection locked="true" hidden="false"/>
    </xf>
    <xf numFmtId="164" fontId="13" fillId="4" borderId="2" xfId="0" applyFont="true" applyBorder="true" applyAlignment="true" applyProtection="true">
      <alignment horizontal="center" vertical="center" textRotation="0" wrapText="false" indent="0" shrinkToFit="false"/>
      <protection locked="fals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center" textRotation="0" wrapText="false" indent="0" shrinkToFit="false"/>
      <protection locked="true" hidden="false"/>
    </xf>
    <xf numFmtId="164" fontId="36" fillId="8" borderId="0" xfId="0" applyFont="true" applyBorder="false" applyAlignment="true" applyProtection="false">
      <alignment horizontal="general" vertical="center" textRotation="0" wrapText="false" indent="0" shrinkToFit="false"/>
      <protection locked="true" hidden="false"/>
    </xf>
    <xf numFmtId="164" fontId="37" fillId="0" borderId="0" xfId="0" applyFont="true" applyBorder="false" applyAlignment="true" applyProtection="false">
      <alignment horizontal="general" vertical="center" textRotation="0" wrapText="false" indent="0" shrinkToFit="false"/>
      <protection locked="true" hidden="false"/>
    </xf>
    <xf numFmtId="164" fontId="38" fillId="0" borderId="5" xfId="0" applyFont="true" applyBorder="true" applyAlignment="true" applyProtection="false">
      <alignment horizontal="center" vertical="center" textRotation="0" wrapText="false" indent="0" shrinkToFit="false"/>
      <protection locked="true" hidden="false"/>
    </xf>
    <xf numFmtId="164" fontId="36" fillId="0" borderId="5" xfId="0" applyFont="true" applyBorder="true" applyAlignment="true" applyProtection="false">
      <alignment horizontal="general" vertical="center" textRotation="0" wrapText="false" indent="0" shrinkToFit="false"/>
      <protection locked="true" hidden="false"/>
    </xf>
    <xf numFmtId="164" fontId="38" fillId="0" borderId="5" xfId="0" applyFont="true" applyBorder="true" applyAlignment="true" applyProtection="false">
      <alignment horizontal="center" vertical="top" textRotation="0" wrapText="false" indent="0"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4" fontId="40" fillId="9" borderId="6" xfId="0" applyFont="true" applyBorder="true" applyAlignment="true" applyProtection="false">
      <alignment horizontal="center" vertical="center" textRotation="0" wrapText="false" indent="0" shrinkToFit="false"/>
      <protection locked="true" hidden="false"/>
    </xf>
    <xf numFmtId="164" fontId="40" fillId="9" borderId="7" xfId="0" applyFont="true" applyBorder="true" applyAlignment="true" applyProtection="false">
      <alignment horizontal="center" vertical="center" textRotation="0" wrapText="false" indent="0" shrinkToFit="false"/>
      <protection locked="true" hidden="false"/>
    </xf>
    <xf numFmtId="164" fontId="40" fillId="9" borderId="8" xfId="0" applyFont="true" applyBorder="true" applyAlignment="true" applyProtection="false">
      <alignment horizontal="center" vertical="center" textRotation="0" wrapText="false" indent="0" shrinkToFit="false"/>
      <protection locked="true" hidden="false"/>
    </xf>
    <xf numFmtId="172" fontId="41" fillId="8" borderId="6" xfId="0" applyFont="true" applyBorder="true" applyAlignment="true" applyProtection="false">
      <alignment horizontal="center" vertical="center" textRotation="0" wrapText="false" indent="0" shrinkToFit="false"/>
      <protection locked="true" hidden="false"/>
    </xf>
    <xf numFmtId="164" fontId="39" fillId="8" borderId="9" xfId="0" applyFont="true" applyBorder="true" applyAlignment="true" applyProtection="false">
      <alignment horizontal="center" vertical="center" textRotation="0" wrapText="false" indent="0" shrinkToFit="false"/>
      <protection locked="true" hidden="false"/>
    </xf>
    <xf numFmtId="164" fontId="39" fillId="8" borderId="10" xfId="0" applyFont="true" applyBorder="true" applyAlignment="true" applyProtection="false">
      <alignment horizontal="center" vertical="center" textRotation="0" wrapText="false" indent="0" shrinkToFit="false"/>
      <protection locked="true" hidden="false"/>
    </xf>
    <xf numFmtId="173" fontId="41" fillId="8" borderId="9" xfId="0" applyFont="true" applyBorder="true" applyAlignment="true" applyProtection="false">
      <alignment horizontal="center" vertical="center" textRotation="0" wrapText="false" indent="0" shrinkToFit="false"/>
      <protection locked="true" hidden="false"/>
    </xf>
    <xf numFmtId="164" fontId="41" fillId="8" borderId="11" xfId="0" applyFont="true" applyBorder="true" applyAlignment="true" applyProtection="false">
      <alignment horizontal="center" vertical="center" textRotation="0" wrapText="false" indent="0" shrinkToFit="false"/>
      <protection locked="true" hidden="false"/>
    </xf>
    <xf numFmtId="164" fontId="42" fillId="0" borderId="0" xfId="0" applyFont="true" applyBorder="false" applyAlignment="true" applyProtection="false">
      <alignment horizontal="general" vertical="center" textRotation="0" wrapText="false" indent="0" shrinkToFit="false"/>
      <protection locked="true" hidden="false"/>
    </xf>
    <xf numFmtId="174" fontId="42" fillId="0" borderId="0" xfId="0" applyFont="true" applyBorder="false" applyAlignment="true" applyProtection="false">
      <alignment horizontal="general" vertical="center" textRotation="0" wrapText="false" indent="0" shrinkToFit="false"/>
      <protection locked="true" hidden="false"/>
    </xf>
    <xf numFmtId="164" fontId="41" fillId="0" borderId="6" xfId="0" applyFont="true" applyBorder="true" applyAlignment="true" applyProtection="false">
      <alignment horizontal="center" vertical="center" textRotation="0" wrapText="false" indent="0" shrinkToFit="false"/>
      <protection locked="true" hidden="false"/>
    </xf>
    <xf numFmtId="174" fontId="41" fillId="0" borderId="6" xfId="0" applyFont="true" applyBorder="true" applyAlignment="true" applyProtection="false">
      <alignment horizontal="center" vertical="center" textRotation="0" wrapText="false" indent="0" shrinkToFit="false"/>
      <protection locked="true" hidden="false"/>
    </xf>
    <xf numFmtId="164" fontId="43" fillId="0" borderId="0" xfId="0" applyFont="true" applyBorder="false" applyAlignment="true" applyProtection="false">
      <alignment horizontal="general" vertical="center" textRotation="0" wrapText="false" indent="0" shrinkToFit="false"/>
      <protection locked="true" hidden="false"/>
    </xf>
    <xf numFmtId="164" fontId="41" fillId="8" borderId="10" xfId="0" applyFont="true" applyBorder="true" applyAlignment="true" applyProtection="false">
      <alignment horizontal="center" vertical="center" textRotation="0" wrapText="false" indent="0" shrinkToFit="false"/>
      <protection locked="true" hidden="false"/>
    </xf>
    <xf numFmtId="164" fontId="42" fillId="0" borderId="12" xfId="0" applyFont="true" applyBorder="true" applyAlignment="true" applyProtection="false">
      <alignment horizontal="left" vertical="center" textRotation="0" wrapText="false" indent="0" shrinkToFit="false"/>
      <protection locked="true" hidden="false"/>
    </xf>
    <xf numFmtId="164" fontId="39" fillId="8" borderId="13" xfId="0" applyFont="true" applyBorder="true" applyAlignment="true" applyProtection="false">
      <alignment horizontal="center" vertical="center" textRotation="0" wrapText="false" indent="0" shrinkToFit="false"/>
      <protection locked="true" hidden="false"/>
    </xf>
    <xf numFmtId="164" fontId="39" fillId="8" borderId="6" xfId="0" applyFont="true" applyBorder="true" applyAlignment="true" applyProtection="false">
      <alignment horizontal="center" vertical="center" textRotation="0" wrapText="false" indent="0" shrinkToFit="false"/>
      <protection locked="true" hidden="false"/>
    </xf>
    <xf numFmtId="164" fontId="36" fillId="0" borderId="14" xfId="0" applyFont="true" applyBorder="true" applyAlignment="true" applyProtection="false">
      <alignment horizontal="general" vertical="center" textRotation="0" wrapText="false" indent="0" shrinkToFit="false"/>
      <protection locked="true" hidden="false"/>
    </xf>
    <xf numFmtId="164" fontId="46" fillId="0" borderId="0" xfId="0" applyFont="true" applyBorder="false" applyAlignment="true" applyProtection="false">
      <alignment horizontal="general" vertical="center" textRotation="0" wrapText="false" indent="0" shrinkToFit="false"/>
      <protection locked="true" hidden="false"/>
    </xf>
    <xf numFmtId="164" fontId="38" fillId="0" borderId="0" xfId="0" applyFont="true" applyBorder="false" applyAlignment="true" applyProtection="false">
      <alignment horizontal="general" vertical="center" textRotation="0" wrapText="false" indent="0" shrinkToFit="false"/>
      <protection locked="true" hidden="false"/>
    </xf>
    <xf numFmtId="164" fontId="47" fillId="0" borderId="0" xfId="0" applyFont="true" applyBorder="false" applyAlignment="true" applyProtection="false">
      <alignment horizontal="general" vertical="center" textRotation="0" wrapText="false" indent="0" shrinkToFit="false"/>
      <protection locked="true" hidden="false"/>
    </xf>
    <xf numFmtId="164" fontId="40" fillId="9" borderId="13" xfId="0" applyFont="true" applyBorder="true" applyAlignment="true" applyProtection="false">
      <alignment horizontal="center" vertical="center" textRotation="0" wrapText="false" indent="0" shrinkToFit="false"/>
      <protection locked="true" hidden="false"/>
    </xf>
    <xf numFmtId="164" fontId="40" fillId="9" borderId="11" xfId="0" applyFont="true" applyBorder="true" applyAlignment="true" applyProtection="false">
      <alignment horizontal="center" vertical="center" textRotation="0" wrapText="false" indent="0" shrinkToFit="false"/>
      <protection locked="true" hidden="false"/>
    </xf>
    <xf numFmtId="164" fontId="46" fillId="0" borderId="13" xfId="0" applyFont="true" applyBorder="true" applyAlignment="true" applyProtection="false">
      <alignment horizontal="center" vertical="center" textRotation="0" wrapText="false" indent="0" shrinkToFit="false"/>
      <protection locked="true" hidden="false"/>
    </xf>
    <xf numFmtId="164" fontId="46" fillId="0" borderId="6" xfId="0" applyFont="true" applyBorder="true" applyAlignment="true" applyProtection="false">
      <alignment horizontal="center" vertical="center" textRotation="0" wrapText="true" indent="0" shrinkToFit="false"/>
      <protection locked="true" hidden="false"/>
    </xf>
    <xf numFmtId="164" fontId="49" fillId="0" borderId="6" xfId="0" applyFont="true" applyBorder="true" applyAlignment="true" applyProtection="false">
      <alignment horizontal="center" vertical="center" textRotation="0" wrapText="true" indent="0" shrinkToFit="false"/>
      <protection locked="true" hidden="false"/>
    </xf>
    <xf numFmtId="164" fontId="46" fillId="0" borderId="10" xfId="0" applyFont="true" applyBorder="true" applyAlignment="true" applyProtection="false">
      <alignment horizontal="center" vertical="center" textRotation="0" wrapText="false" indent="0" shrinkToFit="false"/>
      <protection locked="true" hidden="false"/>
    </xf>
    <xf numFmtId="164" fontId="49" fillId="0" borderId="6" xfId="0" applyFont="true" applyBorder="true" applyAlignment="true" applyProtection="false">
      <alignment horizontal="center" vertical="center" textRotation="0" wrapText="false" indent="0" shrinkToFit="false"/>
      <protection locked="true" hidden="false"/>
    </xf>
    <xf numFmtId="164" fontId="49" fillId="0" borderId="14" xfId="0" applyFont="true" applyBorder="true" applyAlignment="true" applyProtection="false">
      <alignment horizontal="center" vertical="center" textRotation="0" wrapText="false" indent="0" shrinkToFit="false"/>
      <protection locked="true" hidden="false"/>
    </xf>
    <xf numFmtId="164" fontId="49" fillId="0" borderId="0" xfId="0" applyFont="true" applyBorder="false" applyAlignment="true" applyProtection="false">
      <alignment horizontal="center" vertical="center" textRotation="0" wrapText="false" indent="0" shrinkToFit="false"/>
      <protection locked="true" hidden="false"/>
    </xf>
    <xf numFmtId="172" fontId="39" fillId="0" borderId="6" xfId="0" applyFont="true" applyBorder="true" applyAlignment="true" applyProtection="false">
      <alignment horizontal="center" vertical="center" textRotation="0" wrapText="true" indent="0" shrinkToFit="false"/>
      <protection locked="true" hidden="false"/>
    </xf>
    <xf numFmtId="164" fontId="39" fillId="0" borderId="15" xfId="0" applyFont="true" applyBorder="true" applyAlignment="true" applyProtection="false">
      <alignment horizontal="center" vertical="center" textRotation="0" wrapText="true" indent="0" shrinkToFit="false"/>
      <protection locked="true" hidden="false"/>
    </xf>
    <xf numFmtId="164" fontId="41" fillId="8" borderId="6" xfId="0" applyFont="true" applyBorder="true" applyAlignment="true" applyProtection="false">
      <alignment horizontal="center" vertical="center" textRotation="0" wrapText="false" indent="0" shrinkToFit="false"/>
      <protection locked="true" hidden="false"/>
    </xf>
    <xf numFmtId="164" fontId="39" fillId="0" borderId="15" xfId="0" applyFont="true" applyBorder="true" applyAlignment="true" applyProtection="false">
      <alignment horizontal="center" vertical="center" textRotation="0" wrapText="false" indent="0" shrinkToFit="false"/>
      <protection locked="true" hidden="false"/>
    </xf>
    <xf numFmtId="164" fontId="39" fillId="0" borderId="6" xfId="0" applyFont="true" applyBorder="true" applyAlignment="true" applyProtection="false">
      <alignment horizontal="center" vertical="center" textRotation="0" wrapText="false" indent="0" shrinkToFit="false"/>
      <protection locked="true" hidden="false"/>
    </xf>
    <xf numFmtId="164" fontId="46" fillId="0" borderId="16" xfId="0" applyFont="true" applyBorder="true" applyAlignment="true" applyProtection="false">
      <alignment horizontal="general" vertical="center" textRotation="0" wrapText="false" indent="0" shrinkToFit="false"/>
      <protection locked="true" hidden="false"/>
    </xf>
    <xf numFmtId="164" fontId="49" fillId="0" borderId="17" xfId="0" applyFont="true" applyBorder="true" applyAlignment="true" applyProtection="false">
      <alignment horizontal="general" vertical="center" textRotation="0" wrapText="false" indent="0" shrinkToFit="false"/>
      <protection locked="true" hidden="false"/>
    </xf>
    <xf numFmtId="164" fontId="49" fillId="0" borderId="8" xfId="0" applyFont="true" applyBorder="true" applyAlignment="true" applyProtection="false">
      <alignment horizontal="general" vertical="center" textRotation="0" wrapText="false" indent="0" shrinkToFit="false"/>
      <protection locked="true" hidden="false"/>
    </xf>
    <xf numFmtId="164" fontId="46" fillId="0" borderId="9" xfId="0" applyFont="true" applyBorder="true" applyAlignment="true" applyProtection="false">
      <alignment horizontal="general" vertical="center" textRotation="0" wrapText="false" indent="0" shrinkToFit="false"/>
      <protection locked="true" hidden="false"/>
    </xf>
    <xf numFmtId="164" fontId="49" fillId="0" borderId="18" xfId="0" applyFont="true" applyBorder="true" applyAlignment="true" applyProtection="false">
      <alignment horizontal="general" vertical="center" textRotation="0" wrapText="false" indent="0" shrinkToFit="false"/>
      <protection locked="true" hidden="false"/>
    </xf>
    <xf numFmtId="164" fontId="49" fillId="0" borderId="19" xfId="0" applyFont="true" applyBorder="true" applyAlignment="true" applyProtection="false">
      <alignment horizontal="general" vertical="center" textRotation="0" wrapText="false" indent="0" shrinkToFit="false"/>
      <protection locked="true" hidden="false"/>
    </xf>
    <xf numFmtId="164" fontId="46" fillId="0" borderId="6" xfId="0" applyFont="true" applyBorder="true" applyAlignment="true" applyProtection="false">
      <alignment horizontal="left" vertical="center" textRotation="0" wrapText="false" indent="0" shrinkToFit="false"/>
      <protection locked="true" hidden="false"/>
    </xf>
    <xf numFmtId="164" fontId="45" fillId="0" borderId="12" xfId="0" applyFont="true" applyBorder="true" applyAlignment="true" applyProtection="false">
      <alignment horizontal="left" vertical="center" textRotation="0" wrapText="false" indent="0" shrinkToFit="false"/>
      <protection locked="true" hidden="false"/>
    </xf>
    <xf numFmtId="164" fontId="39" fillId="0" borderId="7" xfId="0" applyFont="true" applyBorder="true" applyAlignment="true" applyProtection="false">
      <alignment horizontal="center" vertical="center" textRotation="0" wrapText="true" indent="0" shrinkToFit="false"/>
      <protection locked="true" hidden="false"/>
    </xf>
    <xf numFmtId="164" fontId="47" fillId="0" borderId="17" xfId="0" applyFont="true" applyBorder="true" applyAlignment="true" applyProtection="false">
      <alignment horizontal="general" vertical="center" textRotation="0" wrapText="false" indent="0" shrinkToFit="false"/>
      <protection locked="true" hidden="false"/>
    </xf>
    <xf numFmtId="164" fontId="47" fillId="0" borderId="8" xfId="0" applyFont="true" applyBorder="true" applyAlignment="true" applyProtection="false">
      <alignment horizontal="general" vertical="center" textRotation="0" wrapText="false" indent="0" shrinkToFit="false"/>
      <protection locked="true" hidden="false"/>
    </xf>
    <xf numFmtId="164" fontId="46" fillId="0" borderId="12" xfId="0" applyFont="true" applyBorder="true" applyAlignment="true" applyProtection="false">
      <alignment horizontal="general" vertical="center" textRotation="0" wrapText="false" indent="0" shrinkToFit="false"/>
      <protection locked="true" hidden="false"/>
    </xf>
    <xf numFmtId="164" fontId="47" fillId="0" borderId="20" xfId="0" applyFont="true" applyBorder="true" applyAlignment="true" applyProtection="false">
      <alignment horizontal="general" vertical="center" textRotation="0" wrapText="false" indent="0" shrinkToFit="false"/>
      <protection locked="true" hidden="false"/>
    </xf>
    <xf numFmtId="164" fontId="48" fillId="0" borderId="9" xfId="0" applyFont="true" applyBorder="true" applyAlignment="true" applyProtection="false">
      <alignment horizontal="general" vertical="center" textRotation="0" wrapText="false" indent="0" shrinkToFit="false"/>
      <protection locked="true" hidden="false"/>
    </xf>
    <xf numFmtId="164" fontId="38" fillId="0" borderId="7" xfId="0" applyFont="true" applyBorder="true" applyAlignment="true" applyProtection="false">
      <alignment horizontal="center" vertical="center" textRotation="0" wrapText="true" indent="0" shrinkToFit="false"/>
      <protection locked="true" hidden="false"/>
    </xf>
    <xf numFmtId="164" fontId="38" fillId="0" borderId="16" xfId="0" applyFont="true" applyBorder="true" applyAlignment="true" applyProtection="false">
      <alignment horizontal="general" vertical="center" textRotation="0" wrapText="false" indent="0" shrinkToFit="false"/>
      <protection locked="true" hidden="false"/>
    </xf>
    <xf numFmtId="164" fontId="36" fillId="0" borderId="17" xfId="0" applyFont="true" applyBorder="true" applyAlignment="true" applyProtection="false">
      <alignment horizontal="general" vertical="center" textRotation="0" wrapText="false" indent="0" shrinkToFit="false"/>
      <protection locked="true" hidden="false"/>
    </xf>
    <xf numFmtId="164" fontId="36" fillId="0" borderId="8" xfId="0" applyFont="true" applyBorder="true" applyAlignment="true" applyProtection="false">
      <alignment horizontal="general" vertical="center" textRotation="0" wrapText="false" indent="0" shrinkToFit="false"/>
      <protection locked="true" hidden="false"/>
    </xf>
    <xf numFmtId="164" fontId="38" fillId="0" borderId="6" xfId="0" applyFont="true" applyBorder="true" applyAlignment="true" applyProtection="false">
      <alignment horizontal="center" vertical="center" textRotation="0" wrapText="true" indent="0" shrinkToFit="false"/>
      <protection locked="true" hidden="false"/>
    </xf>
    <xf numFmtId="164" fontId="38" fillId="0" borderId="17" xfId="0" applyFont="true" applyBorder="true" applyAlignment="true" applyProtection="false">
      <alignment horizontal="general" vertical="center" textRotation="0" wrapText="false" indent="0" shrinkToFit="false"/>
      <protection locked="true" hidden="false"/>
    </xf>
    <xf numFmtId="164" fontId="38" fillId="0" borderId="12" xfId="0" applyFont="true" applyBorder="true" applyAlignment="true" applyProtection="false">
      <alignment horizontal="general" vertical="center" textRotation="0" wrapText="false" indent="0" shrinkToFit="false"/>
      <protection locked="true" hidden="false"/>
    </xf>
    <xf numFmtId="164" fontId="36" fillId="0" borderId="20" xfId="0" applyFont="true" applyBorder="true" applyAlignment="true" applyProtection="false">
      <alignment horizontal="general" vertical="center" textRotation="0" wrapText="false" indent="0" shrinkToFit="false"/>
      <protection locked="true" hidden="false"/>
    </xf>
    <xf numFmtId="164" fontId="38" fillId="0" borderId="9" xfId="0" applyFont="true" applyBorder="true" applyAlignment="true" applyProtection="false">
      <alignment horizontal="general" vertical="center" textRotation="0" wrapText="false" indent="0" shrinkToFit="false"/>
      <protection locked="true" hidden="false"/>
    </xf>
    <xf numFmtId="164" fontId="36" fillId="0" borderId="18" xfId="0" applyFont="true" applyBorder="true" applyAlignment="true" applyProtection="false">
      <alignment horizontal="general" vertical="center" textRotation="0" wrapText="false" indent="0" shrinkToFit="false"/>
      <protection locked="true" hidden="false"/>
    </xf>
    <xf numFmtId="164" fontId="38" fillId="0" borderId="18" xfId="0" applyFont="true" applyBorder="true" applyAlignment="true" applyProtection="false">
      <alignment horizontal="general" vertical="center" textRotation="0" wrapText="false" indent="0" shrinkToFit="false"/>
      <protection locked="true" hidden="false"/>
    </xf>
    <xf numFmtId="164" fontId="36" fillId="0" borderId="19" xfId="0" applyFont="true" applyBorder="true" applyAlignment="true" applyProtection="false">
      <alignment horizontal="general" vertical="center" textRotation="0" wrapText="false" indent="0" shrinkToFit="false"/>
      <protection locked="true" hidden="false"/>
    </xf>
    <xf numFmtId="164" fontId="36" fillId="0" borderId="16" xfId="0" applyFont="true" applyBorder="true" applyAlignment="true" applyProtection="false">
      <alignment horizontal="general" vertical="center" textRotation="0" wrapText="false" indent="0" shrinkToFit="false"/>
      <protection locked="true" hidden="false"/>
    </xf>
    <xf numFmtId="164" fontId="36" fillId="0" borderId="9" xfId="0" applyFont="true" applyBorder="true" applyAlignment="true" applyProtection="false">
      <alignment horizontal="general" vertical="center" textRotation="0" wrapText="false" indent="0" shrinkToFit="false"/>
      <protection locked="true" hidden="false"/>
    </xf>
    <xf numFmtId="164" fontId="41" fillId="0" borderId="0" xfId="0" applyFont="true" applyBorder="false" applyAlignment="true" applyProtection="false">
      <alignment horizontal="general" vertical="center" textRotation="0" wrapText="false" indent="0" shrinkToFit="false"/>
      <protection locked="true" hidden="false"/>
    </xf>
    <xf numFmtId="164" fontId="50" fillId="0" borderId="0" xfId="0" applyFont="true" applyBorder="fals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53" fillId="0" borderId="0" xfId="0" applyFont="true" applyBorder="false" applyAlignment="true" applyProtection="false">
      <alignment horizontal="right" vertical="center" textRotation="0" wrapText="false" indent="0" shrinkToFit="false"/>
      <protection locked="true" hidden="false"/>
    </xf>
    <xf numFmtId="175" fontId="0" fillId="0" borderId="0" xfId="0" applyFont="true" applyBorder="false" applyAlignment="true" applyProtection="false">
      <alignment horizontal="left" vertical="center" textRotation="0" wrapText="false" indent="0" shrinkToFit="false"/>
      <protection locked="true" hidden="false"/>
    </xf>
    <xf numFmtId="164" fontId="38" fillId="0" borderId="0" xfId="0" applyFont="true" applyBorder="false" applyAlignment="true" applyProtection="false">
      <alignment horizontal="left"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right"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25" fillId="4" borderId="2" xfId="0" applyFont="true" applyBorder="true" applyAlignment="true" applyProtection="false">
      <alignment horizontal="center" vertical="center" textRotation="0" wrapText="false" indent="0" shrinkToFit="false"/>
      <protection locked="true" hidden="false"/>
    </xf>
    <xf numFmtId="164" fontId="13" fillId="4" borderId="2" xfId="0" applyFont="true" applyBorder="true" applyAlignment="true" applyProtection="false">
      <alignment horizontal="center" vertical="center" textRotation="0" wrapText="false" indent="0" shrinkToFit="false"/>
      <protection locked="true" hidden="false"/>
    </xf>
    <xf numFmtId="164" fontId="13" fillId="4" borderId="2"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55" fillId="0" borderId="0" xfId="23" applyFont="true" applyBorder="false" applyAlignment="true" applyProtection="false">
      <alignment horizontal="general" vertical="center" textRotation="0" wrapText="false" indent="0" shrinkToFit="false"/>
      <protection locked="true" hidden="false"/>
    </xf>
    <xf numFmtId="164" fontId="4" fillId="0" borderId="0" xfId="23" applyFont="true" applyBorder="false" applyAlignment="true" applyProtection="false">
      <alignment horizontal="general" vertical="center" textRotation="0" wrapText="false" indent="0" shrinkToFit="false"/>
      <protection locked="true" hidden="false"/>
    </xf>
    <xf numFmtId="164" fontId="57" fillId="10" borderId="21" xfId="23" applyFont="true" applyBorder="true" applyAlignment="true" applyProtection="false">
      <alignment horizontal="center" vertical="center" textRotation="0" wrapText="false" indent="0" shrinkToFit="false"/>
      <protection locked="true" hidden="false"/>
    </xf>
    <xf numFmtId="164" fontId="58" fillId="11" borderId="22" xfId="23" applyFont="true" applyBorder="true" applyAlignment="true" applyProtection="false">
      <alignment horizontal="center" vertical="center" textRotation="0" wrapText="false" indent="0" shrinkToFit="false"/>
      <protection locked="true" hidden="false"/>
    </xf>
    <xf numFmtId="164" fontId="59" fillId="12" borderId="23" xfId="23" applyFont="true" applyBorder="true" applyAlignment="true" applyProtection="false">
      <alignment horizontal="center" vertical="center" textRotation="0" wrapText="true" indent="0" shrinkToFit="false"/>
      <protection locked="true" hidden="false"/>
    </xf>
    <xf numFmtId="164" fontId="59" fillId="13" borderId="23" xfId="23" applyFont="true" applyBorder="true" applyAlignment="true" applyProtection="false">
      <alignment horizontal="center" vertical="center" textRotation="0" wrapText="true" indent="0" shrinkToFit="false"/>
      <protection locked="true" hidden="false"/>
    </xf>
    <xf numFmtId="164" fontId="61" fillId="12" borderId="24" xfId="23" applyFont="true" applyBorder="true" applyAlignment="true" applyProtection="false">
      <alignment horizontal="center" vertical="center" textRotation="0" wrapText="false" indent="0" shrinkToFit="false"/>
      <protection locked="true" hidden="false"/>
    </xf>
    <xf numFmtId="164" fontId="62" fillId="12" borderId="0" xfId="23" applyFont="true" applyBorder="false" applyAlignment="true" applyProtection="false">
      <alignment horizontal="center" vertical="center" textRotation="0" wrapText="false" indent="0" shrinkToFit="false"/>
      <protection locked="true" hidden="false"/>
    </xf>
    <xf numFmtId="165" fontId="62" fillId="12" borderId="0" xfId="21" applyFont="true" applyBorder="false" applyAlignment="true" applyProtection="false">
      <alignment horizontal="center" vertical="center" textRotation="0" wrapText="false" indent="0" shrinkToFit="false"/>
      <protection locked="true" hidden="false"/>
    </xf>
    <xf numFmtId="164" fontId="63" fillId="12" borderId="25" xfId="23" applyFont="true" applyBorder="true" applyAlignment="true" applyProtection="false">
      <alignment horizontal="center" vertical="center" textRotation="0" wrapText="false" indent="0" shrinkToFit="false"/>
      <protection locked="true" hidden="false"/>
    </xf>
    <xf numFmtId="164" fontId="61" fillId="13" borderId="24" xfId="23" applyFont="true" applyBorder="true" applyAlignment="true" applyProtection="false">
      <alignment horizontal="center" vertical="center" textRotation="0" wrapText="false" indent="0" shrinkToFit="false"/>
      <protection locked="true" hidden="false"/>
    </xf>
    <xf numFmtId="164" fontId="62" fillId="13" borderId="0" xfId="23" applyFont="true" applyBorder="false" applyAlignment="true" applyProtection="false">
      <alignment horizontal="center" vertical="center" textRotation="0" wrapText="false" indent="0" shrinkToFit="false"/>
      <protection locked="true" hidden="false"/>
    </xf>
    <xf numFmtId="165" fontId="62" fillId="13" borderId="0" xfId="21" applyFont="true" applyBorder="false" applyAlignment="true" applyProtection="false">
      <alignment horizontal="center" vertical="center" textRotation="0" wrapText="false" indent="0" shrinkToFit="false"/>
      <protection locked="true" hidden="false"/>
    </xf>
    <xf numFmtId="164" fontId="63" fillId="13" borderId="25" xfId="23" applyFont="true" applyBorder="true" applyAlignment="true" applyProtection="false">
      <alignment horizontal="center" vertical="center" textRotation="0" wrapText="false" indent="0" shrinkToFit="false"/>
      <protection locked="true" hidden="false"/>
    </xf>
    <xf numFmtId="164" fontId="64" fillId="14" borderId="21" xfId="23" applyFont="true" applyBorder="true" applyAlignment="true" applyProtection="false">
      <alignment horizontal="center" vertical="center" textRotation="0" wrapText="true" indent="0" shrinkToFit="false"/>
      <protection locked="true" hidden="false"/>
    </xf>
    <xf numFmtId="164" fontId="58" fillId="11" borderId="26" xfId="23" applyFont="true" applyBorder="true" applyAlignment="true" applyProtection="false">
      <alignment horizontal="center" vertical="center" textRotation="0" wrapText="false" indent="0" shrinkToFit="false"/>
      <protection locked="true" hidden="false"/>
    </xf>
    <xf numFmtId="164" fontId="65" fillId="0" borderId="22" xfId="23" applyFont="true" applyBorder="true" applyAlignment="true" applyProtection="false">
      <alignment horizontal="center" vertical="center" textRotation="0" wrapText="false" indent="0" shrinkToFit="false"/>
      <protection locked="true" hidden="false"/>
    </xf>
    <xf numFmtId="166" fontId="66" fillId="10" borderId="27" xfId="22" applyFont="true" applyBorder="true" applyAlignment="true" applyProtection="false">
      <alignment horizontal="center" vertical="center" textRotation="0" wrapText="false" indent="0" shrinkToFit="false"/>
      <protection locked="true" hidden="false"/>
    </xf>
    <xf numFmtId="166" fontId="67" fillId="15" borderId="22" xfId="22" applyFont="true" applyBorder="true" applyAlignment="true" applyProtection="false">
      <alignment horizontal="center" vertical="center" textRotation="0" wrapText="false" indent="0" shrinkToFit="false"/>
      <protection locked="true" hidden="false"/>
    </xf>
    <xf numFmtId="166" fontId="68" fillId="10" borderId="28" xfId="22" applyFont="true" applyBorder="true" applyAlignment="true" applyProtection="false">
      <alignment horizontal="center" vertical="center" textRotation="0" wrapText="false" indent="0" shrinkToFit="false"/>
      <protection locked="true" hidden="false"/>
    </xf>
    <xf numFmtId="165" fontId="68" fillId="10" borderId="22" xfId="21" applyFont="true" applyBorder="true" applyAlignment="true" applyProtection="false">
      <alignment horizontal="center" vertical="center" textRotation="0" wrapText="false" indent="0" shrinkToFit="false"/>
      <protection locked="true" hidden="false"/>
    </xf>
    <xf numFmtId="165" fontId="68" fillId="10" borderId="29" xfId="21" applyFont="true" applyBorder="true" applyAlignment="true" applyProtection="false">
      <alignment horizontal="center" vertical="center" textRotation="0" wrapText="false" indent="0" shrinkToFit="false"/>
      <protection locked="true" hidden="false"/>
    </xf>
    <xf numFmtId="165" fontId="68" fillId="10" borderId="30" xfId="21" applyFont="true" applyBorder="true" applyAlignment="true" applyProtection="false">
      <alignment horizontal="center" vertical="center" textRotation="0" wrapText="false" indent="0" shrinkToFit="false"/>
      <protection locked="true" hidden="false"/>
    </xf>
    <xf numFmtId="165" fontId="66" fillId="10" borderId="27" xfId="21" applyFont="true" applyBorder="true" applyAlignment="true" applyProtection="false">
      <alignment horizontal="center" vertical="center" textRotation="0" wrapText="false" indent="0" shrinkToFit="false"/>
      <protection locked="true" hidden="false"/>
    </xf>
    <xf numFmtId="166" fontId="67" fillId="16" borderId="22" xfId="22" applyFont="true" applyBorder="true" applyAlignment="true" applyProtection="false">
      <alignment horizontal="center" vertical="center" textRotation="0" wrapText="false" indent="0" shrinkToFit="false"/>
      <protection locked="true" hidden="false"/>
    </xf>
    <xf numFmtId="164" fontId="39" fillId="14" borderId="31" xfId="23" applyFont="true" applyBorder="true" applyAlignment="true" applyProtection="false">
      <alignment horizontal="center" vertical="center" textRotation="0" wrapText="true" indent="0" shrinkToFit="false"/>
      <protection locked="true" hidden="false"/>
    </xf>
    <xf numFmtId="164" fontId="65" fillId="0" borderId="32" xfId="23" applyFont="true" applyBorder="true" applyAlignment="true" applyProtection="false">
      <alignment horizontal="center" vertical="center" textRotation="0" wrapText="false" indent="0" shrinkToFit="false"/>
      <protection locked="true" hidden="false"/>
    </xf>
    <xf numFmtId="166" fontId="66" fillId="0" borderId="33" xfId="22" applyFont="true" applyBorder="true" applyAlignment="true" applyProtection="false">
      <alignment horizontal="center" vertical="center" textRotation="0" wrapText="false" indent="0" shrinkToFit="false"/>
      <protection locked="true" hidden="false"/>
    </xf>
    <xf numFmtId="166" fontId="67" fillId="15" borderId="32" xfId="22" applyFont="true" applyBorder="true" applyAlignment="true" applyProtection="false">
      <alignment horizontal="center" vertical="center" textRotation="0" wrapText="false" indent="0" shrinkToFit="false"/>
      <protection locked="true" hidden="false"/>
    </xf>
    <xf numFmtId="166" fontId="68" fillId="0" borderId="34" xfId="22" applyFont="true" applyBorder="true" applyAlignment="true" applyProtection="false">
      <alignment horizontal="center" vertical="center" textRotation="0" wrapText="false" indent="0" shrinkToFit="false"/>
      <protection locked="true" hidden="false"/>
    </xf>
    <xf numFmtId="165" fontId="68" fillId="0" borderId="32" xfId="21" applyFont="true" applyBorder="true" applyAlignment="true" applyProtection="false">
      <alignment horizontal="center" vertical="center" textRotation="0" wrapText="false" indent="0" shrinkToFit="false"/>
      <protection locked="true" hidden="false"/>
    </xf>
    <xf numFmtId="165" fontId="68" fillId="0" borderId="35" xfId="21" applyFont="true" applyBorder="true" applyAlignment="true" applyProtection="false">
      <alignment horizontal="center" vertical="center" textRotation="0" wrapText="false" indent="0" shrinkToFit="false"/>
      <protection locked="true" hidden="false"/>
    </xf>
    <xf numFmtId="165" fontId="68" fillId="0" borderId="36" xfId="21" applyFont="true" applyBorder="true" applyAlignment="true" applyProtection="false">
      <alignment horizontal="center" vertical="center" textRotation="0" wrapText="false" indent="0" shrinkToFit="false"/>
      <protection locked="true" hidden="false"/>
    </xf>
    <xf numFmtId="165" fontId="66" fillId="0" borderId="33" xfId="21" applyFont="true" applyBorder="true" applyAlignment="true" applyProtection="false">
      <alignment horizontal="center" vertical="center" textRotation="0" wrapText="false" indent="0" shrinkToFit="false"/>
      <protection locked="true" hidden="false"/>
    </xf>
    <xf numFmtId="166" fontId="67" fillId="16" borderId="32" xfId="22" applyFont="true" applyBorder="true" applyAlignment="true" applyProtection="false">
      <alignment horizontal="center" vertical="center" textRotation="0" wrapText="false" indent="0" shrinkToFit="false"/>
      <protection locked="true" hidden="false"/>
    </xf>
    <xf numFmtId="164" fontId="58" fillId="11" borderId="37" xfId="23" applyFont="true" applyBorder="true" applyAlignment="true" applyProtection="false">
      <alignment horizontal="center" vertical="center" textRotation="0" wrapText="true" indent="0" shrinkToFit="false"/>
      <protection locked="true" hidden="false"/>
    </xf>
    <xf numFmtId="164" fontId="65" fillId="0" borderId="38" xfId="23" applyFont="true" applyBorder="true" applyAlignment="true" applyProtection="false">
      <alignment horizontal="center" vertical="center" textRotation="0" wrapText="false" indent="0" shrinkToFit="false"/>
      <protection locked="true" hidden="false"/>
    </xf>
    <xf numFmtId="166" fontId="66" fillId="10" borderId="24" xfId="22" applyFont="true" applyBorder="true" applyAlignment="true" applyProtection="false">
      <alignment horizontal="center" vertical="center" textRotation="0" wrapText="false" indent="0" shrinkToFit="false"/>
      <protection locked="true" hidden="false"/>
    </xf>
    <xf numFmtId="166" fontId="67" fillId="15" borderId="39" xfId="22" applyFont="true" applyBorder="true" applyAlignment="true" applyProtection="false">
      <alignment horizontal="center" vertical="center" textRotation="0" wrapText="false" indent="0" shrinkToFit="false"/>
      <protection locked="true" hidden="false"/>
    </xf>
    <xf numFmtId="166" fontId="68" fillId="10" borderId="40" xfId="22" applyFont="true" applyBorder="true" applyAlignment="true" applyProtection="false">
      <alignment horizontal="center" vertical="center" textRotation="0" wrapText="false" indent="0" shrinkToFit="false"/>
      <protection locked="true" hidden="false"/>
    </xf>
    <xf numFmtId="165" fontId="68" fillId="10" borderId="39" xfId="21" applyFont="true" applyBorder="true" applyAlignment="true" applyProtection="false">
      <alignment horizontal="center" vertical="center" textRotation="0" wrapText="false" indent="0" shrinkToFit="false"/>
      <protection locked="true" hidden="false"/>
    </xf>
    <xf numFmtId="165" fontId="68" fillId="10" borderId="0" xfId="21" applyFont="true" applyBorder="false" applyAlignment="true" applyProtection="false">
      <alignment horizontal="center" vertical="center" textRotation="0" wrapText="false" indent="0" shrinkToFit="false"/>
      <protection locked="true" hidden="false"/>
    </xf>
    <xf numFmtId="165" fontId="68" fillId="10" borderId="25" xfId="21" applyFont="true" applyBorder="true" applyAlignment="true" applyProtection="false">
      <alignment horizontal="center" vertical="center" textRotation="0" wrapText="false" indent="0" shrinkToFit="false"/>
      <protection locked="true" hidden="false"/>
    </xf>
    <xf numFmtId="165" fontId="66" fillId="10" borderId="24" xfId="21" applyFont="true" applyBorder="true" applyAlignment="true" applyProtection="false">
      <alignment horizontal="center" vertical="center" textRotation="0" wrapText="false" indent="0" shrinkToFit="false"/>
      <protection locked="true" hidden="false"/>
    </xf>
    <xf numFmtId="166" fontId="67" fillId="16" borderId="39" xfId="22" applyFont="true" applyBorder="true" applyAlignment="true" applyProtection="false">
      <alignment horizontal="center" vertical="center" textRotation="0" wrapText="false" indent="0" shrinkToFit="false"/>
      <protection locked="true" hidden="false"/>
    </xf>
    <xf numFmtId="164" fontId="65" fillId="0" borderId="41" xfId="23" applyFont="true" applyBorder="true" applyAlignment="true" applyProtection="false">
      <alignment horizontal="center" vertical="center" textRotation="0" wrapText="false" indent="0" shrinkToFit="false"/>
      <protection locked="true" hidden="false"/>
    </xf>
    <xf numFmtId="166" fontId="66" fillId="0" borderId="42" xfId="22" applyFont="true" applyBorder="true" applyAlignment="true" applyProtection="false">
      <alignment horizontal="center" vertical="center" textRotation="0" wrapText="false" indent="0" shrinkToFit="false"/>
      <protection locked="true" hidden="false"/>
    </xf>
    <xf numFmtId="166" fontId="67" fillId="15" borderId="41" xfId="22" applyFont="true" applyBorder="true" applyAlignment="true" applyProtection="false">
      <alignment horizontal="center" vertical="center" textRotation="0" wrapText="false" indent="0" shrinkToFit="false"/>
      <protection locked="true" hidden="false"/>
    </xf>
    <xf numFmtId="166" fontId="68" fillId="0" borderId="43" xfId="22" applyFont="true" applyBorder="true" applyAlignment="true" applyProtection="false">
      <alignment horizontal="center" vertical="center" textRotation="0" wrapText="false" indent="0" shrinkToFit="false"/>
      <protection locked="true" hidden="false"/>
    </xf>
    <xf numFmtId="165" fontId="68" fillId="0" borderId="41" xfId="21" applyFont="true" applyBorder="true" applyAlignment="true" applyProtection="false">
      <alignment horizontal="center" vertical="center" textRotation="0" wrapText="false" indent="0" shrinkToFit="false"/>
      <protection locked="true" hidden="false"/>
    </xf>
    <xf numFmtId="165" fontId="68" fillId="0" borderId="5" xfId="21" applyFont="true" applyBorder="true" applyAlignment="true" applyProtection="false">
      <alignment horizontal="center" vertical="center" textRotation="0" wrapText="false" indent="0" shrinkToFit="false"/>
      <protection locked="true" hidden="false"/>
    </xf>
    <xf numFmtId="165" fontId="68" fillId="0" borderId="44" xfId="21" applyFont="true" applyBorder="true" applyAlignment="true" applyProtection="false">
      <alignment horizontal="center" vertical="center" textRotation="0" wrapText="false" indent="0" shrinkToFit="false"/>
      <protection locked="true" hidden="false"/>
    </xf>
    <xf numFmtId="165" fontId="66" fillId="0" borderId="42" xfId="21" applyFont="true" applyBorder="true" applyAlignment="true" applyProtection="false">
      <alignment horizontal="center" vertical="center" textRotation="0" wrapText="false" indent="0" shrinkToFit="false"/>
      <protection locked="true" hidden="false"/>
    </xf>
    <xf numFmtId="166" fontId="67" fillId="16" borderId="41" xfId="22" applyFont="true" applyBorder="true" applyAlignment="true" applyProtection="false">
      <alignment horizontal="center" vertical="center" textRotation="0" wrapText="false" indent="0" shrinkToFit="false"/>
      <protection locked="true" hidden="false"/>
    </xf>
    <xf numFmtId="164" fontId="64" fillId="14" borderId="45" xfId="23" applyFont="true" applyBorder="true" applyAlignment="true" applyProtection="false">
      <alignment horizontal="center" vertical="center" textRotation="0" wrapText="true" indent="0" shrinkToFit="false"/>
      <protection locked="true" hidden="false"/>
    </xf>
    <xf numFmtId="164" fontId="58" fillId="11" borderId="37" xfId="23" applyFont="true" applyBorder="true" applyAlignment="true" applyProtection="false">
      <alignment horizontal="center" vertical="center" textRotation="0" wrapText="false" indent="0" shrinkToFit="false"/>
      <protection locked="true" hidden="false"/>
    </xf>
    <xf numFmtId="164" fontId="65" fillId="0" borderId="39" xfId="23" applyFont="true" applyBorder="true" applyAlignment="true" applyProtection="false">
      <alignment horizontal="center" vertical="center" textRotation="0" wrapText="false" indent="0" shrinkToFit="false"/>
      <protection locked="true" hidden="false"/>
    </xf>
    <xf numFmtId="166" fontId="70" fillId="10" borderId="40" xfId="22" applyFont="true" applyBorder="true" applyAlignment="true" applyProtection="false">
      <alignment horizontal="center" vertical="center" textRotation="0" wrapText="false" indent="0" shrinkToFit="false"/>
      <protection locked="true" hidden="false"/>
    </xf>
    <xf numFmtId="165" fontId="70" fillId="10" borderId="39" xfId="21" applyFont="true" applyBorder="true" applyAlignment="true" applyProtection="false">
      <alignment horizontal="center" vertical="center" textRotation="0" wrapText="false" indent="0" shrinkToFit="false"/>
      <protection locked="true" hidden="false"/>
    </xf>
    <xf numFmtId="165" fontId="70" fillId="10" borderId="0" xfId="21" applyFont="true" applyBorder="false" applyAlignment="true" applyProtection="false">
      <alignment horizontal="center" vertical="center" textRotation="0" wrapText="false" indent="0" shrinkToFit="false"/>
      <protection locked="true" hidden="false"/>
    </xf>
    <xf numFmtId="165" fontId="70" fillId="10" borderId="25" xfId="21" applyFont="true" applyBorder="true" applyAlignment="true" applyProtection="false">
      <alignment horizontal="center" vertical="center" textRotation="0" wrapText="false" indent="0" shrinkToFit="false"/>
      <protection locked="true" hidden="false"/>
    </xf>
    <xf numFmtId="164" fontId="39" fillId="14" borderId="45" xfId="23" applyFont="true" applyBorder="true" applyAlignment="true" applyProtection="false">
      <alignment horizontal="center" vertical="center" textRotation="0" wrapText="true" indent="0" shrinkToFit="false"/>
      <protection locked="true" hidden="false"/>
    </xf>
    <xf numFmtId="166" fontId="70" fillId="0" borderId="34" xfId="22" applyFont="true" applyBorder="true" applyAlignment="true" applyProtection="false">
      <alignment horizontal="center" vertical="center" textRotation="0" wrapText="false" indent="0" shrinkToFit="false"/>
      <protection locked="true" hidden="false"/>
    </xf>
    <xf numFmtId="165" fontId="70" fillId="0" borderId="32" xfId="21" applyFont="true" applyBorder="true" applyAlignment="true" applyProtection="false">
      <alignment horizontal="center" vertical="center" textRotation="0" wrapText="false" indent="0" shrinkToFit="false"/>
      <protection locked="true" hidden="false"/>
    </xf>
    <xf numFmtId="165" fontId="70" fillId="0" borderId="35" xfId="21" applyFont="true" applyBorder="true" applyAlignment="true" applyProtection="false">
      <alignment horizontal="center" vertical="center" textRotation="0" wrapText="false" indent="0" shrinkToFit="false"/>
      <protection locked="true" hidden="false"/>
    </xf>
    <xf numFmtId="165" fontId="70" fillId="0" borderId="36" xfId="21" applyFont="true" applyBorder="true" applyAlignment="true" applyProtection="false">
      <alignment horizontal="center" vertical="center" textRotation="0" wrapText="false" indent="0" shrinkToFit="false"/>
      <protection locked="true" hidden="false"/>
    </xf>
    <xf numFmtId="166" fontId="66" fillId="0" borderId="24" xfId="22" applyFont="true" applyBorder="true" applyAlignment="true" applyProtection="false">
      <alignment horizontal="center" vertical="center" textRotation="0" wrapText="false" indent="0" shrinkToFit="false"/>
      <protection locked="true" hidden="false"/>
    </xf>
    <xf numFmtId="166" fontId="70" fillId="0" borderId="40" xfId="22" applyFont="true" applyBorder="true" applyAlignment="true" applyProtection="false">
      <alignment horizontal="center" vertical="center" textRotation="0" wrapText="false" indent="0" shrinkToFit="false"/>
      <protection locked="true" hidden="false"/>
    </xf>
    <xf numFmtId="165" fontId="70" fillId="0" borderId="39" xfId="21" applyFont="true" applyBorder="true" applyAlignment="true" applyProtection="false">
      <alignment horizontal="center" vertical="center" textRotation="0" wrapText="false" indent="0" shrinkToFit="false"/>
      <protection locked="true" hidden="false"/>
    </xf>
    <xf numFmtId="165" fontId="70" fillId="0" borderId="0" xfId="21" applyFont="true" applyBorder="false" applyAlignment="true" applyProtection="false">
      <alignment horizontal="center" vertical="center" textRotation="0" wrapText="false" indent="0" shrinkToFit="false"/>
      <protection locked="true" hidden="false"/>
    </xf>
    <xf numFmtId="165" fontId="70" fillId="0" borderId="25" xfId="21" applyFont="true" applyBorder="true" applyAlignment="true" applyProtection="false">
      <alignment horizontal="center" vertical="center" textRotation="0" wrapText="false" indent="0" shrinkToFit="false"/>
      <protection locked="true" hidden="false"/>
    </xf>
    <xf numFmtId="165" fontId="66" fillId="0" borderId="24" xfId="21" applyFont="true" applyBorder="true" applyAlignment="true" applyProtection="false">
      <alignment horizontal="center" vertical="center" textRotation="0" wrapText="false" indent="0" shrinkToFit="false"/>
      <protection locked="true" hidden="false"/>
    </xf>
    <xf numFmtId="166" fontId="68" fillId="0" borderId="40" xfId="22" applyFont="true" applyBorder="true" applyAlignment="true" applyProtection="false">
      <alignment horizontal="center" vertical="center" textRotation="0" wrapText="false" indent="0" shrinkToFit="false"/>
      <protection locked="true" hidden="false"/>
    </xf>
    <xf numFmtId="165" fontId="68" fillId="0" borderId="39" xfId="21" applyFont="true" applyBorder="true" applyAlignment="true" applyProtection="false">
      <alignment horizontal="center" vertical="center" textRotation="0" wrapText="false" indent="0" shrinkToFit="false"/>
      <protection locked="true" hidden="false"/>
    </xf>
    <xf numFmtId="165" fontId="68" fillId="0" borderId="0" xfId="21" applyFont="true" applyBorder="false" applyAlignment="true" applyProtection="false">
      <alignment horizontal="center" vertical="center" textRotation="0" wrapText="false" indent="0" shrinkToFit="false"/>
      <protection locked="true" hidden="false"/>
    </xf>
    <xf numFmtId="165" fontId="68" fillId="0" borderId="25" xfId="21" applyFont="true" applyBorder="true" applyAlignment="true" applyProtection="false">
      <alignment horizontal="center" vertical="center" textRotation="0" wrapText="false" indent="0" shrinkToFit="false"/>
      <protection locked="true" hidden="false"/>
    </xf>
    <xf numFmtId="166" fontId="70" fillId="10" borderId="28" xfId="22" applyFont="true" applyBorder="true" applyAlignment="true" applyProtection="false">
      <alignment horizontal="center" vertical="center" textRotation="0" wrapText="false" indent="0" shrinkToFit="false"/>
      <protection locked="true" hidden="false"/>
    </xf>
    <xf numFmtId="165" fontId="70" fillId="10" borderId="22" xfId="21" applyFont="true" applyBorder="true" applyAlignment="true" applyProtection="false">
      <alignment horizontal="center" vertical="center" textRotation="0" wrapText="false" indent="0" shrinkToFit="false"/>
      <protection locked="true" hidden="false"/>
    </xf>
    <xf numFmtId="165" fontId="70" fillId="10" borderId="29" xfId="21" applyFont="true" applyBorder="true" applyAlignment="true" applyProtection="false">
      <alignment horizontal="center" vertical="center" textRotation="0" wrapText="false" indent="0" shrinkToFit="false"/>
      <protection locked="true" hidden="false"/>
    </xf>
    <xf numFmtId="165" fontId="70" fillId="10" borderId="30" xfId="21" applyFont="true" applyBorder="true" applyAlignment="true" applyProtection="false">
      <alignment horizontal="center" vertical="center" textRotation="0" wrapText="false" indent="0" shrinkToFit="false"/>
      <protection locked="true" hidden="false"/>
    </xf>
    <xf numFmtId="164" fontId="39" fillId="14" borderId="31" xfId="23" applyFont="true" applyBorder="true" applyAlignment="true" applyProtection="false">
      <alignment horizontal="center" vertical="center" textRotation="0" wrapText="false" indent="0" shrinkToFit="false"/>
      <protection locked="true" hidden="false"/>
    </xf>
    <xf numFmtId="166" fontId="70" fillId="0" borderId="43" xfId="22" applyFont="true" applyBorder="true" applyAlignment="true" applyProtection="false">
      <alignment horizontal="center" vertical="center" textRotation="0" wrapText="false" indent="0" shrinkToFit="false"/>
      <protection locked="true" hidden="false"/>
    </xf>
    <xf numFmtId="165" fontId="70" fillId="0" borderId="41" xfId="21" applyFont="true" applyBorder="true" applyAlignment="true" applyProtection="false">
      <alignment horizontal="center" vertical="center" textRotation="0" wrapText="false" indent="0" shrinkToFit="false"/>
      <protection locked="true" hidden="false"/>
    </xf>
    <xf numFmtId="165" fontId="70" fillId="0" borderId="5" xfId="21" applyFont="true" applyBorder="true" applyAlignment="true" applyProtection="false">
      <alignment horizontal="center" vertical="center" textRotation="0" wrapText="false" indent="0" shrinkToFit="false"/>
      <protection locked="true" hidden="false"/>
    </xf>
    <xf numFmtId="165" fontId="70" fillId="0" borderId="44" xfId="21" applyFont="true" applyBorder="true" applyAlignment="true" applyProtection="false">
      <alignment horizontal="center" vertical="center" textRotation="0" wrapText="false" indent="0" shrinkToFit="false"/>
      <protection locked="true" hidden="false"/>
    </xf>
    <xf numFmtId="164" fontId="39" fillId="14" borderId="46" xfId="23"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38" fillId="0" borderId="47" xfId="0" applyFont="true" applyBorder="true" applyAlignment="true" applyProtection="false">
      <alignment horizontal="general" vertical="center" textRotation="0" wrapText="false" indent="0" shrinkToFit="false"/>
      <protection locked="true" hidden="false"/>
    </xf>
    <xf numFmtId="164" fontId="0" fillId="0" borderId="47" xfId="0" applyFont="true" applyBorder="true" applyAlignment="true" applyProtection="false">
      <alignment horizontal="general" vertical="center" textRotation="0" wrapText="false" indent="0" shrinkToFit="false"/>
      <protection locked="true" hidden="false"/>
    </xf>
    <xf numFmtId="164" fontId="0" fillId="0" borderId="48" xfId="0" applyFont="true" applyBorder="true" applyAlignment="true" applyProtection="false">
      <alignment horizontal="right" vertical="center" textRotation="0" wrapText="false" indent="0" shrinkToFit="false"/>
      <protection locked="true" hidden="false"/>
    </xf>
    <xf numFmtId="176" fontId="0" fillId="0" borderId="47" xfId="0" applyFont="true" applyBorder="tru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center" textRotation="0" wrapText="false" indent="0" shrinkToFit="false"/>
      <protection locked="true" hidden="false"/>
    </xf>
    <xf numFmtId="164" fontId="71" fillId="0" borderId="0" xfId="0" applyFont="true" applyBorder="false" applyAlignment="true" applyProtection="true">
      <alignment horizontal="general" vertical="center" textRotation="0" wrapText="false" indent="0" shrinkToFit="false"/>
      <protection locked="false" hidden="false"/>
    </xf>
    <xf numFmtId="177" fontId="72" fillId="8" borderId="0" xfId="0" applyFont="true" applyBorder="true" applyAlignment="true" applyProtection="true">
      <alignment horizontal="center" vertical="center" textRotation="0" wrapText="false" indent="0" shrinkToFit="false"/>
      <protection locked="false" hidden="false"/>
    </xf>
    <xf numFmtId="164" fontId="72" fillId="0" borderId="0" xfId="0" applyFont="true" applyBorder="false" applyAlignment="true" applyProtection="true">
      <alignment horizontal="general" vertical="center" textRotation="0" wrapText="false" indent="0" shrinkToFit="false"/>
      <protection locked="false" hidden="false"/>
    </xf>
    <xf numFmtId="164" fontId="73" fillId="0" borderId="0" xfId="0" applyFont="true" applyBorder="true" applyAlignment="true" applyProtection="true">
      <alignment horizontal="center" vertical="center" textRotation="0" wrapText="false" indent="0" shrinkToFit="false"/>
      <protection locked="false" hidden="false"/>
    </xf>
    <xf numFmtId="164" fontId="74" fillId="0" borderId="0" xfId="0" applyFont="true" applyBorder="true" applyAlignment="true" applyProtection="true">
      <alignment horizontal="left" vertical="center" textRotation="0" wrapText="false" indent="0" shrinkToFit="false"/>
      <protection locked="false" hidden="false"/>
    </xf>
    <xf numFmtId="172" fontId="75" fillId="0" borderId="0" xfId="0" applyFont="true" applyBorder="true" applyAlignment="true" applyProtection="true">
      <alignment horizontal="left" vertical="center" textRotation="0" wrapText="false" indent="0" shrinkToFit="false"/>
      <protection locked="false" hidden="false"/>
    </xf>
    <xf numFmtId="164" fontId="71" fillId="0" borderId="0" xfId="0" applyFont="true" applyBorder="false" applyAlignment="true" applyProtection="true">
      <alignment horizontal="left" vertical="center" textRotation="0" wrapText="false" indent="0" shrinkToFit="false"/>
      <protection locked="false" hidden="false"/>
    </xf>
    <xf numFmtId="164" fontId="71" fillId="0" borderId="5" xfId="0" applyFont="true" applyBorder="true" applyAlignment="true" applyProtection="true">
      <alignment horizontal="general" vertical="center" textRotation="0" wrapText="false" indent="0" shrinkToFit="false"/>
      <protection locked="false" hidden="false"/>
    </xf>
    <xf numFmtId="164" fontId="74" fillId="0" borderId="0" xfId="0" applyFont="true" applyBorder="false" applyAlignment="true" applyProtection="true">
      <alignment horizontal="left" vertical="center" textRotation="0" wrapText="false" indent="0" shrinkToFit="false"/>
      <protection locked="false" hidden="false"/>
    </xf>
    <xf numFmtId="172" fontId="75" fillId="0" borderId="0" xfId="0" applyFont="true" applyBorder="false" applyAlignment="true" applyProtection="true">
      <alignment horizontal="left" vertical="center" textRotation="0" wrapText="false" indent="0" shrinkToFit="false"/>
      <protection locked="false" hidden="false"/>
    </xf>
    <xf numFmtId="164" fontId="75" fillId="0" borderId="0" xfId="0" applyFont="true" applyBorder="false" applyAlignment="true" applyProtection="true">
      <alignment horizontal="left" vertical="center" textRotation="0" wrapText="false" indent="0" shrinkToFit="false"/>
      <protection locked="false" hidden="false"/>
    </xf>
    <xf numFmtId="164" fontId="53" fillId="0" borderId="27" xfId="0" applyFont="true" applyBorder="true" applyAlignment="true" applyProtection="true">
      <alignment horizontal="center" vertical="center" textRotation="0" wrapText="false" indent="0" shrinkToFit="false"/>
      <protection locked="false" hidden="false"/>
    </xf>
    <xf numFmtId="164" fontId="53" fillId="0" borderId="29" xfId="0" applyFont="true" applyBorder="true" applyAlignment="true" applyProtection="true">
      <alignment horizontal="center" vertical="center" textRotation="0" wrapText="false" indent="0" shrinkToFit="false"/>
      <protection locked="false" hidden="false"/>
    </xf>
    <xf numFmtId="164" fontId="53" fillId="0" borderId="29" xfId="0" applyFont="true" applyBorder="true" applyAlignment="true" applyProtection="true">
      <alignment horizontal="left" vertical="center" textRotation="0" wrapText="false" indent="0" shrinkToFit="false"/>
      <protection locked="false" hidden="false"/>
    </xf>
    <xf numFmtId="164" fontId="71" fillId="0" borderId="49" xfId="0" applyFont="true" applyBorder="true" applyAlignment="true" applyProtection="true">
      <alignment horizontal="center" vertical="center" textRotation="0" wrapText="false" indent="0" shrinkToFit="false"/>
      <protection locked="false" hidden="false"/>
    </xf>
    <xf numFmtId="164" fontId="74" fillId="0" borderId="50" xfId="0" applyFont="true" applyBorder="true" applyAlignment="true" applyProtection="true">
      <alignment horizontal="center" vertical="center" textRotation="0" wrapText="false" indent="0" shrinkToFit="false"/>
      <protection locked="false" hidden="false"/>
    </xf>
    <xf numFmtId="164" fontId="74" fillId="0" borderId="26" xfId="0" applyFont="true" applyBorder="true" applyAlignment="true" applyProtection="true">
      <alignment horizontal="center" vertical="center" textRotation="0" wrapText="false" indent="0" shrinkToFit="false"/>
      <protection locked="false" hidden="false"/>
    </xf>
    <xf numFmtId="164" fontId="74" fillId="0" borderId="51" xfId="0" applyFont="true" applyBorder="true" applyAlignment="true" applyProtection="true">
      <alignment horizontal="center" vertical="center" textRotation="0" wrapText="false" indent="0" shrinkToFit="false"/>
      <protection locked="false" hidden="false"/>
    </xf>
    <xf numFmtId="164" fontId="72" fillId="0" borderId="24" xfId="0" applyFont="true" applyBorder="true" applyAlignment="true" applyProtection="true">
      <alignment horizontal="general" vertical="center" textRotation="0" wrapText="false" indent="0" shrinkToFit="false"/>
      <protection locked="false" hidden="false"/>
    </xf>
    <xf numFmtId="164" fontId="72" fillId="0" borderId="0" xfId="0" applyFont="true" applyBorder="true" applyAlignment="true" applyProtection="true">
      <alignment horizontal="left" vertical="center" textRotation="0" wrapText="false" indent="0" shrinkToFit="false"/>
      <protection locked="false" hidden="false"/>
    </xf>
    <xf numFmtId="164" fontId="72" fillId="0" borderId="0" xfId="0" applyFont="true" applyBorder="false" applyAlignment="true" applyProtection="true">
      <alignment horizontal="left" vertical="center" textRotation="0" wrapText="false" indent="0" shrinkToFit="false"/>
      <protection locked="false" hidden="false"/>
    </xf>
    <xf numFmtId="164" fontId="72" fillId="0" borderId="52" xfId="0" applyFont="true" applyBorder="true" applyAlignment="true" applyProtection="true">
      <alignment horizontal="left" vertical="center" textRotation="0" wrapText="false" indent="0" shrinkToFit="false"/>
      <protection locked="false" hidden="false"/>
    </xf>
    <xf numFmtId="164" fontId="74" fillId="0" borderId="46" xfId="0" applyFont="true" applyBorder="true" applyAlignment="true" applyProtection="true">
      <alignment horizontal="left" vertical="center" textRotation="0" wrapText="false" indent="0" shrinkToFit="false"/>
      <protection locked="false" hidden="false"/>
    </xf>
    <xf numFmtId="164" fontId="71" fillId="0" borderId="53" xfId="0" applyFont="true" applyBorder="true" applyAlignment="true" applyProtection="true">
      <alignment horizontal="center" vertical="center" textRotation="0" wrapText="false" indent="0" shrinkToFit="true"/>
      <protection locked="false" hidden="false"/>
    </xf>
    <xf numFmtId="164" fontId="72" fillId="0" borderId="54" xfId="0" applyFont="true" applyBorder="true" applyAlignment="true" applyProtection="true">
      <alignment horizontal="center" vertical="center" textRotation="0" wrapText="false" indent="0" shrinkToFit="false"/>
      <protection locked="false" hidden="false"/>
    </xf>
    <xf numFmtId="164" fontId="72" fillId="0" borderId="55" xfId="0" applyFont="true" applyBorder="true" applyAlignment="true" applyProtection="true">
      <alignment horizontal="center" vertical="center" textRotation="0" wrapText="false" indent="0" shrinkToFit="false"/>
      <protection locked="false" hidden="false"/>
    </xf>
    <xf numFmtId="164" fontId="53" fillId="0" borderId="0" xfId="0" applyFont="true" applyBorder="true" applyAlignment="true" applyProtection="true">
      <alignment horizontal="center" vertical="center" textRotation="0" wrapText="false" indent="0" shrinkToFit="false"/>
      <protection locked="false" hidden="false"/>
    </xf>
    <xf numFmtId="164" fontId="71" fillId="0" borderId="52" xfId="0" applyFont="true" applyBorder="true" applyAlignment="true" applyProtection="true">
      <alignment horizontal="center" vertical="center" textRotation="0" wrapText="false" indent="0" shrinkToFit="false"/>
      <protection locked="false" hidden="false"/>
    </xf>
    <xf numFmtId="164" fontId="74" fillId="0" borderId="37" xfId="0" applyFont="true" applyBorder="true" applyAlignment="true" applyProtection="true">
      <alignment horizontal="left" vertical="center" textRotation="0" wrapText="false" indent="0" shrinkToFit="false"/>
      <protection locked="false" hidden="false"/>
    </xf>
    <xf numFmtId="178" fontId="71" fillId="0" borderId="26" xfId="0" applyFont="true" applyBorder="true" applyAlignment="true" applyProtection="true">
      <alignment horizontal="left" vertical="center" textRotation="0" wrapText="false" indent="0" shrinkToFit="false"/>
      <protection locked="false" hidden="false"/>
    </xf>
    <xf numFmtId="164" fontId="75" fillId="0" borderId="34" xfId="0" applyFont="true" applyBorder="true" applyAlignment="true" applyProtection="true">
      <alignment horizontal="left" vertical="center" textRotation="0" wrapText="false" indent="0" shrinkToFit="false"/>
      <protection locked="false" hidden="false"/>
    </xf>
    <xf numFmtId="164" fontId="75" fillId="0" borderId="37" xfId="0" applyFont="true" applyBorder="true" applyAlignment="true" applyProtection="true">
      <alignment horizontal="left" vertical="center" textRotation="0" wrapText="false" indent="0" shrinkToFit="false"/>
      <protection locked="false" hidden="false"/>
    </xf>
    <xf numFmtId="170" fontId="72" fillId="0" borderId="37" xfId="0" applyFont="true" applyBorder="true" applyAlignment="true" applyProtection="true">
      <alignment horizontal="left" vertical="center" textRotation="0" wrapText="false" indent="0" shrinkToFit="false"/>
      <protection locked="false" hidden="false"/>
    </xf>
    <xf numFmtId="164" fontId="53" fillId="0" borderId="50" xfId="0" applyFont="true" applyBorder="true" applyAlignment="true" applyProtection="true">
      <alignment horizontal="left" vertical="center" textRotation="0" wrapText="false" indent="0" shrinkToFit="false"/>
      <protection locked="false" hidden="false"/>
    </xf>
    <xf numFmtId="164" fontId="53" fillId="0" borderId="26" xfId="0" applyFont="true" applyBorder="true" applyAlignment="true" applyProtection="true">
      <alignment horizontal="center" vertical="center" textRotation="0" wrapText="false" indent="0" shrinkToFit="false"/>
      <protection locked="false" hidden="false"/>
    </xf>
    <xf numFmtId="164" fontId="53" fillId="0" borderId="0" xfId="0" applyFont="true" applyBorder="false" applyAlignment="true" applyProtection="true">
      <alignment horizontal="general" vertical="center" textRotation="0" wrapText="false" indent="0" shrinkToFit="false"/>
      <protection locked="false" hidden="false"/>
    </xf>
    <xf numFmtId="164" fontId="74" fillId="0" borderId="56" xfId="0" applyFont="true" applyBorder="true" applyAlignment="true" applyProtection="true">
      <alignment horizontal="left" vertical="center" textRotation="0" wrapText="false" indent="0" shrinkToFit="false"/>
      <protection locked="false" hidden="false"/>
    </xf>
    <xf numFmtId="164" fontId="53" fillId="0" borderId="47" xfId="0" applyFont="true" applyBorder="true" applyAlignment="true" applyProtection="true">
      <alignment horizontal="left" vertical="center" textRotation="0" wrapText="false" indent="0" shrinkToFit="false"/>
      <protection locked="false" hidden="false"/>
    </xf>
    <xf numFmtId="164" fontId="74" fillId="0" borderId="47" xfId="0" applyFont="true" applyBorder="true" applyAlignment="true" applyProtection="true">
      <alignment horizontal="general" vertical="center" textRotation="0" wrapText="false" indent="0" shrinkToFit="false"/>
      <protection locked="false" hidden="false"/>
    </xf>
    <xf numFmtId="179" fontId="72" fillId="0" borderId="47" xfId="0" applyFont="true" applyBorder="true" applyAlignment="true" applyProtection="true">
      <alignment horizontal="left" vertical="center" textRotation="0" wrapText="false" indent="0" shrinkToFit="false"/>
      <protection locked="false" hidden="false"/>
    </xf>
    <xf numFmtId="164" fontId="76" fillId="0" borderId="47" xfId="0" applyFont="true" applyBorder="true" applyAlignment="true" applyProtection="true">
      <alignment horizontal="general" vertical="center" textRotation="0" wrapText="true" indent="0" shrinkToFit="false"/>
      <protection locked="false" hidden="false"/>
    </xf>
    <xf numFmtId="164" fontId="72" fillId="0" borderId="57" xfId="0" applyFont="true" applyBorder="true" applyAlignment="true" applyProtection="true">
      <alignment horizontal="general" vertical="center" textRotation="0" wrapText="false" indent="0" shrinkToFit="false"/>
      <protection locked="false" hidden="false"/>
    </xf>
    <xf numFmtId="164" fontId="53" fillId="0" borderId="58" xfId="0" applyFont="true" applyBorder="true" applyAlignment="true" applyProtection="true">
      <alignment horizontal="left" vertical="center" textRotation="0" wrapText="false" indent="0" shrinkToFit="false"/>
      <protection locked="false" hidden="false"/>
    </xf>
    <xf numFmtId="164" fontId="53" fillId="0" borderId="56" xfId="0" applyFont="true" applyBorder="true" applyAlignment="true" applyProtection="true">
      <alignment horizontal="left" vertical="center" textRotation="0" wrapText="false" indent="0" shrinkToFit="true"/>
      <protection locked="false" hidden="false"/>
    </xf>
    <xf numFmtId="166" fontId="72" fillId="0" borderId="47" xfId="24" applyFont="true" applyBorder="true" applyAlignment="true" applyProtection="true">
      <alignment horizontal="center" vertical="center" textRotation="0" wrapText="false" indent="0" shrinkToFit="false"/>
      <protection locked="false" hidden="false"/>
    </xf>
    <xf numFmtId="164" fontId="53" fillId="0" borderId="59" xfId="0" applyFont="true" applyBorder="true" applyAlignment="true" applyProtection="true">
      <alignment horizontal="left" vertical="center" textRotation="0" wrapText="false" indent="0" shrinkToFit="false"/>
      <protection locked="false" hidden="false"/>
    </xf>
    <xf numFmtId="164" fontId="75" fillId="0" borderId="56" xfId="0" applyFont="true" applyBorder="true" applyAlignment="true" applyProtection="true">
      <alignment horizontal="left" vertical="center" textRotation="0" wrapText="false" indent="0" shrinkToFit="false"/>
      <protection locked="false" hidden="false"/>
    </xf>
    <xf numFmtId="172" fontId="72" fillId="0" borderId="47" xfId="0" applyFont="true" applyBorder="true" applyAlignment="true" applyProtection="true">
      <alignment horizontal="center" vertical="center" textRotation="0" wrapText="false" indent="0" shrinkToFit="false"/>
      <protection locked="false" hidden="false"/>
    </xf>
    <xf numFmtId="172" fontId="53" fillId="0" borderId="47" xfId="0" applyFont="true" applyBorder="true" applyAlignment="true" applyProtection="true">
      <alignment horizontal="center" vertical="center" textRotation="0" wrapText="false" indent="0" shrinkToFit="false"/>
      <protection locked="false" hidden="false"/>
    </xf>
    <xf numFmtId="172" fontId="75" fillId="0" borderId="47" xfId="0" applyFont="true" applyBorder="true" applyAlignment="true" applyProtection="true">
      <alignment horizontal="center" vertical="center" textRotation="0" wrapText="false" indent="0" shrinkToFit="false"/>
      <protection locked="false" hidden="false"/>
    </xf>
    <xf numFmtId="164" fontId="53" fillId="0" borderId="47" xfId="0" applyFont="true" applyBorder="true" applyAlignment="true" applyProtection="true">
      <alignment horizontal="center" vertical="center" textRotation="0" wrapText="false" indent="0" shrinkToFit="false"/>
      <protection locked="false" hidden="false"/>
    </xf>
    <xf numFmtId="164" fontId="74" fillId="0" borderId="47" xfId="0" applyFont="true" applyBorder="true" applyAlignment="true" applyProtection="true">
      <alignment horizontal="center" vertical="center" textRotation="0" wrapText="false" indent="0" shrinkToFit="false"/>
      <protection locked="false" hidden="false"/>
    </xf>
    <xf numFmtId="180" fontId="72" fillId="0" borderId="47" xfId="0" applyFont="true" applyBorder="true" applyAlignment="true" applyProtection="true">
      <alignment horizontal="center" vertical="center" textRotation="0" wrapText="false" indent="0" shrinkToFit="false"/>
      <protection locked="false" hidden="false"/>
    </xf>
    <xf numFmtId="181" fontId="72" fillId="0" borderId="58" xfId="0" applyFont="true" applyBorder="true" applyAlignment="true" applyProtection="true">
      <alignment horizontal="left" vertical="center" textRotation="0" wrapText="false" indent="0" shrinkToFit="false"/>
      <protection locked="false" hidden="false"/>
    </xf>
    <xf numFmtId="164" fontId="72" fillId="0" borderId="47" xfId="0" applyFont="true" applyBorder="true" applyAlignment="true" applyProtection="true">
      <alignment horizontal="left" vertical="center" textRotation="0" wrapText="false" indent="0" shrinkToFit="false"/>
      <protection locked="false" hidden="false"/>
    </xf>
    <xf numFmtId="164" fontId="74" fillId="0" borderId="47" xfId="0" applyFont="true" applyBorder="true" applyAlignment="true" applyProtection="true">
      <alignment horizontal="left" vertical="center" textRotation="0" wrapText="false" indent="0" shrinkToFit="false"/>
      <protection locked="false" hidden="false"/>
    </xf>
    <xf numFmtId="164" fontId="75" fillId="0" borderId="47" xfId="0" applyFont="true" applyBorder="true" applyAlignment="true" applyProtection="true">
      <alignment horizontal="left" vertical="center" textRotation="0" wrapText="false" indent="0" shrinkToFit="false"/>
      <protection locked="false" hidden="false"/>
    </xf>
    <xf numFmtId="164" fontId="79" fillId="0" borderId="47" xfId="20" applyFont="true" applyBorder="true" applyAlignment="true" applyProtection="true">
      <alignment horizontal="left" vertical="center" textRotation="0" wrapText="false" indent="0" shrinkToFit="false"/>
      <protection locked="false" hidden="false"/>
    </xf>
    <xf numFmtId="164" fontId="74" fillId="0" borderId="54" xfId="0" applyFont="true" applyBorder="true" applyAlignment="true" applyProtection="true">
      <alignment horizontal="left" vertical="center" textRotation="0" wrapText="false" indent="0" shrinkToFit="false"/>
      <protection locked="false" hidden="false"/>
    </xf>
    <xf numFmtId="164" fontId="53" fillId="0" borderId="55" xfId="0" applyFont="true" applyBorder="true" applyAlignment="true" applyProtection="true">
      <alignment horizontal="left" vertical="center" textRotation="0" wrapText="false" indent="0" shrinkToFit="false"/>
      <protection locked="false" hidden="false"/>
    </xf>
    <xf numFmtId="164" fontId="74" fillId="0" borderId="55" xfId="0" applyFont="true" applyBorder="true" applyAlignment="true" applyProtection="true">
      <alignment horizontal="left" vertical="center" textRotation="0" wrapText="false" indent="0" shrinkToFit="false"/>
      <protection locked="false" hidden="false"/>
    </xf>
    <xf numFmtId="182" fontId="72" fillId="17" borderId="55" xfId="0" applyFont="true" applyBorder="true" applyAlignment="true" applyProtection="true">
      <alignment horizontal="left" vertical="center" textRotation="0" wrapText="false" indent="0" shrinkToFit="false"/>
      <protection locked="false" hidden="false"/>
    </xf>
    <xf numFmtId="164" fontId="75" fillId="0" borderId="55" xfId="0" applyFont="true" applyBorder="true" applyAlignment="true" applyProtection="true">
      <alignment horizontal="left" vertical="center" textRotation="0" wrapText="false" indent="0" shrinkToFit="false"/>
      <protection locked="false" hidden="false"/>
    </xf>
    <xf numFmtId="182" fontId="72" fillId="0" borderId="55" xfId="0" applyFont="true" applyBorder="true" applyAlignment="true" applyProtection="true">
      <alignment horizontal="left" vertical="center" textRotation="0" wrapText="false" indent="0" shrinkToFit="false"/>
      <protection locked="false" hidden="false"/>
    </xf>
    <xf numFmtId="164" fontId="80" fillId="0" borderId="60" xfId="0" applyFont="true" applyBorder="true" applyAlignment="true" applyProtection="true">
      <alignment horizontal="center" vertical="center" textRotation="0" wrapText="false" indent="0" shrinkToFit="false"/>
      <protection locked="false" hidden="false"/>
    </xf>
    <xf numFmtId="182" fontId="72" fillId="0" borderId="61" xfId="0" applyFont="true" applyBorder="true" applyAlignment="true" applyProtection="true">
      <alignment horizontal="center" vertical="center" textRotation="0" wrapText="false" indent="0" shrinkToFit="false"/>
      <protection locked="false" hidden="false"/>
    </xf>
    <xf numFmtId="164" fontId="72" fillId="0" borderId="61" xfId="0" applyFont="true" applyBorder="true" applyAlignment="true" applyProtection="true">
      <alignment horizontal="center" vertical="center" textRotation="0" wrapText="false" indent="0" shrinkToFit="false"/>
      <protection locked="false" hidden="false"/>
    </xf>
    <xf numFmtId="164" fontId="72" fillId="0" borderId="61" xfId="0" applyFont="true" applyBorder="true" applyAlignment="true" applyProtection="true">
      <alignment horizontal="center" vertical="center" textRotation="0" wrapText="true" indent="0" shrinkToFit="false"/>
      <protection locked="false" hidden="false"/>
    </xf>
    <xf numFmtId="182" fontId="72" fillId="17" borderId="53" xfId="0" applyFont="true" applyBorder="true" applyAlignment="true" applyProtection="true">
      <alignment horizontal="center" vertical="center" textRotation="0" wrapText="false" indent="0" shrinkToFit="false"/>
      <protection locked="false" hidden="false"/>
    </xf>
    <xf numFmtId="164" fontId="72" fillId="0" borderId="24" xfId="0" applyFont="true" applyBorder="true" applyAlignment="true" applyProtection="true">
      <alignment horizontal="left" vertical="center" textRotation="0" wrapText="false" indent="0" shrinkToFit="false"/>
      <protection locked="false" hidden="false"/>
    </xf>
    <xf numFmtId="164" fontId="81" fillId="0" borderId="62" xfId="0" applyFont="true" applyBorder="true" applyAlignment="true" applyProtection="true">
      <alignment horizontal="center" vertical="center" textRotation="0" wrapText="false" indent="0" shrinkToFit="false"/>
      <protection locked="false" hidden="false"/>
    </xf>
    <xf numFmtId="164" fontId="75" fillId="0" borderId="46" xfId="0" applyFont="true" applyBorder="true" applyAlignment="true" applyProtection="true">
      <alignment horizontal="center" vertical="center" textRotation="0" wrapText="false" indent="0" shrinkToFit="false"/>
      <protection locked="false" hidden="false"/>
    </xf>
    <xf numFmtId="164" fontId="75" fillId="0" borderId="61" xfId="0" applyFont="true" applyBorder="true" applyAlignment="true" applyProtection="true">
      <alignment horizontal="center" vertical="center" textRotation="0" wrapText="false" indent="0" shrinkToFit="false"/>
      <protection locked="false" hidden="false"/>
    </xf>
    <xf numFmtId="183" fontId="82" fillId="0" borderId="63" xfId="0" applyFont="true" applyBorder="true" applyAlignment="true" applyProtection="true">
      <alignment horizontal="center" vertical="center" textRotation="0" wrapText="false" indent="0" shrinkToFit="false"/>
      <protection locked="false" hidden="false"/>
    </xf>
    <xf numFmtId="183" fontId="82" fillId="0" borderId="64" xfId="0" applyFont="true" applyBorder="true" applyAlignment="true" applyProtection="true">
      <alignment horizontal="center" vertical="center" textRotation="0" wrapText="false" indent="0" shrinkToFit="false"/>
      <protection locked="false" hidden="false"/>
    </xf>
    <xf numFmtId="183" fontId="82" fillId="0" borderId="65" xfId="0" applyFont="true" applyBorder="true" applyAlignment="true" applyProtection="true">
      <alignment horizontal="center" vertical="center" textRotation="0" wrapText="false" indent="0" shrinkToFit="false"/>
      <protection locked="false" hidden="false"/>
    </xf>
    <xf numFmtId="164" fontId="75" fillId="0" borderId="66" xfId="0" applyFont="true" applyBorder="true" applyAlignment="true" applyProtection="true">
      <alignment horizontal="center" vertical="center" textRotation="0" wrapText="false" indent="0" shrinkToFit="false"/>
      <protection locked="false" hidden="false"/>
    </xf>
    <xf numFmtId="164" fontId="83" fillId="0" borderId="37" xfId="0" applyFont="true" applyBorder="true" applyAlignment="true" applyProtection="true">
      <alignment horizontal="center" vertical="center" textRotation="0" wrapText="false" indent="0" shrinkToFit="false"/>
      <protection locked="false" hidden="false"/>
    </xf>
    <xf numFmtId="164" fontId="72" fillId="0" borderId="37" xfId="0" applyFont="true" applyBorder="true" applyAlignment="true" applyProtection="true">
      <alignment horizontal="center" vertical="center" textRotation="0" wrapText="false" indent="0" shrinkToFit="false"/>
      <protection locked="false" hidden="false"/>
    </xf>
    <xf numFmtId="166" fontId="72" fillId="0" borderId="37" xfId="24" applyFont="true" applyBorder="true" applyAlignment="true" applyProtection="true">
      <alignment horizontal="center" vertical="center" textRotation="0" wrapText="false" indent="0" shrinkToFit="false"/>
      <protection locked="false" hidden="false"/>
    </xf>
    <xf numFmtId="164" fontId="72" fillId="0" borderId="67" xfId="0" applyFont="true" applyBorder="true" applyAlignment="true" applyProtection="true">
      <alignment horizontal="center" vertical="center" textRotation="0" wrapText="false" indent="0" shrinkToFit="false"/>
      <protection locked="false" hidden="false"/>
    </xf>
    <xf numFmtId="164" fontId="72" fillId="0" borderId="68" xfId="0" applyFont="true" applyBorder="true" applyAlignment="true" applyProtection="true">
      <alignment horizontal="center" vertical="center" textRotation="0" wrapText="false" indent="0" shrinkToFit="false"/>
      <protection locked="false" hidden="false"/>
    </xf>
    <xf numFmtId="164" fontId="72" fillId="0" borderId="69" xfId="0" applyFont="true" applyBorder="true" applyAlignment="true" applyProtection="true">
      <alignment horizontal="center" vertical="center" textRotation="0" wrapText="false" indent="0" shrinkToFit="false"/>
      <protection locked="false" hidden="false"/>
    </xf>
    <xf numFmtId="170" fontId="72" fillId="0" borderId="34" xfId="0" applyFont="true" applyBorder="true" applyAlignment="true" applyProtection="true">
      <alignment horizontal="center" vertical="center" textRotation="0" wrapText="false" indent="0" shrinkToFit="false"/>
      <protection locked="false" hidden="false"/>
    </xf>
    <xf numFmtId="184" fontId="72" fillId="0" borderId="37" xfId="24" applyFont="true" applyBorder="true" applyAlignment="true" applyProtection="true">
      <alignment horizontal="right" vertical="center" textRotation="0" wrapText="false" indent="0" shrinkToFit="false"/>
      <protection locked="false" hidden="false"/>
    </xf>
    <xf numFmtId="164" fontId="53" fillId="0" borderId="56" xfId="0" applyFont="true" applyBorder="true" applyAlignment="true" applyProtection="true">
      <alignment horizontal="left" vertical="center" textRotation="0" wrapText="false" indent="0" shrinkToFit="false"/>
      <protection locked="false" hidden="false"/>
    </xf>
    <xf numFmtId="164" fontId="83" fillId="0" borderId="47" xfId="0" applyFont="true" applyBorder="true" applyAlignment="true" applyProtection="true">
      <alignment horizontal="center" vertical="center" textRotation="0" wrapText="false" indent="0" shrinkToFit="false"/>
      <protection locked="false" hidden="false"/>
    </xf>
    <xf numFmtId="184" fontId="72" fillId="0" borderId="47" xfId="24" applyFont="true" applyBorder="true" applyAlignment="true" applyProtection="true">
      <alignment horizontal="right" vertical="center" textRotation="0" wrapText="false" indent="0" shrinkToFit="false"/>
      <protection locked="false" hidden="false"/>
    </xf>
    <xf numFmtId="164" fontId="53" fillId="18" borderId="56" xfId="0" applyFont="true" applyBorder="true" applyAlignment="true" applyProtection="true">
      <alignment horizontal="center" vertical="center" textRotation="0" wrapText="false" indent="0" shrinkToFit="false"/>
      <protection locked="false" hidden="false"/>
    </xf>
    <xf numFmtId="166" fontId="72" fillId="18" borderId="47" xfId="0" applyFont="true" applyBorder="true" applyAlignment="true" applyProtection="true">
      <alignment horizontal="right" vertical="center" textRotation="0" wrapText="false" indent="0" shrinkToFit="false"/>
      <protection locked="false" hidden="false"/>
    </xf>
    <xf numFmtId="164" fontId="72" fillId="0" borderId="52" xfId="0" applyFont="true" applyBorder="true" applyAlignment="true" applyProtection="true">
      <alignment horizontal="general" vertical="center" textRotation="0" wrapText="false" indent="0" shrinkToFit="false"/>
      <protection locked="false" hidden="false"/>
    </xf>
    <xf numFmtId="164" fontId="72" fillId="18" borderId="70" xfId="0" applyFont="true" applyBorder="true" applyAlignment="true" applyProtection="true">
      <alignment horizontal="center" vertical="center" textRotation="0" wrapText="false" indent="0" shrinkToFit="false"/>
      <protection locked="false" hidden="false"/>
    </xf>
    <xf numFmtId="164" fontId="72" fillId="18" borderId="71" xfId="0" applyFont="true" applyBorder="true" applyAlignment="true" applyProtection="true">
      <alignment horizontal="center" vertical="center" textRotation="0" wrapText="false" indent="0" shrinkToFit="false"/>
      <protection locked="false" hidden="false"/>
    </xf>
    <xf numFmtId="164" fontId="72" fillId="18" borderId="57" xfId="0" applyFont="true" applyBorder="true" applyAlignment="true" applyProtection="true">
      <alignment horizontal="center" vertical="center" textRotation="0" wrapText="false" indent="0" shrinkToFit="false"/>
      <protection locked="false" hidden="false"/>
    </xf>
    <xf numFmtId="166" fontId="72" fillId="18" borderId="72" xfId="0" applyFont="true" applyBorder="true" applyAlignment="true" applyProtection="true">
      <alignment horizontal="right" vertical="center" textRotation="0" wrapText="false" indent="0" shrinkToFit="false"/>
      <protection locked="false" hidden="false"/>
    </xf>
    <xf numFmtId="164" fontId="72" fillId="18" borderId="71" xfId="0" applyFont="true" applyBorder="true" applyAlignment="true" applyProtection="true">
      <alignment horizontal="right" vertical="center" textRotation="0" wrapText="false" indent="0" shrinkToFit="false"/>
      <protection locked="false" hidden="false"/>
    </xf>
    <xf numFmtId="164" fontId="72" fillId="18" borderId="58" xfId="0" applyFont="true" applyBorder="true" applyAlignment="true" applyProtection="true">
      <alignment horizontal="right" vertical="center" textRotation="0" wrapText="false" indent="0" shrinkToFit="false"/>
      <protection locked="false" hidden="false"/>
    </xf>
    <xf numFmtId="164" fontId="71" fillId="0" borderId="47" xfId="0" applyFont="true" applyBorder="true" applyAlignment="true" applyProtection="true">
      <alignment horizontal="general" vertical="center" textRotation="0" wrapText="false" indent="0" shrinkToFit="false"/>
      <protection locked="false" hidden="false"/>
    </xf>
    <xf numFmtId="164" fontId="71" fillId="0" borderId="47" xfId="0" applyFont="true" applyBorder="true" applyAlignment="true" applyProtection="true">
      <alignment horizontal="center" vertical="center" textRotation="0" wrapText="false" indent="0" shrinkToFit="false"/>
      <protection locked="false" hidden="false"/>
    </xf>
    <xf numFmtId="166" fontId="72" fillId="18" borderId="73" xfId="24" applyFont="true" applyBorder="true" applyAlignment="true" applyProtection="true">
      <alignment horizontal="right" vertical="center" textRotation="0" wrapText="false" indent="0" shrinkToFit="false"/>
      <protection locked="false" hidden="false"/>
    </xf>
    <xf numFmtId="164" fontId="72" fillId="17" borderId="74" xfId="0" applyFont="true" applyBorder="true" applyAlignment="true" applyProtection="true">
      <alignment horizontal="center" vertical="center" textRotation="0" wrapText="false" indent="0" shrinkToFit="false"/>
      <protection locked="false" hidden="false"/>
    </xf>
    <xf numFmtId="164" fontId="72" fillId="0" borderId="75" xfId="0" applyFont="true" applyBorder="true" applyAlignment="true" applyProtection="true">
      <alignment horizontal="center" vertical="center" textRotation="0" wrapText="false" indent="0" shrinkToFit="false"/>
      <protection locked="false" hidden="false"/>
    </xf>
    <xf numFmtId="164" fontId="72" fillId="0" borderId="76" xfId="0" applyFont="true" applyBorder="true" applyAlignment="true" applyProtection="true">
      <alignment horizontal="center" vertical="center" textRotation="0" wrapText="false" indent="0" shrinkToFit="false"/>
      <protection locked="false" hidden="false"/>
    </xf>
    <xf numFmtId="170" fontId="72" fillId="0" borderId="57" xfId="0" applyFont="true" applyBorder="true" applyAlignment="true" applyProtection="true">
      <alignment horizontal="center" vertical="center" textRotation="0" wrapText="false" indent="0" shrinkToFit="false"/>
      <protection locked="false" hidden="false"/>
    </xf>
    <xf numFmtId="164" fontId="72" fillId="17" borderId="37" xfId="0" applyFont="true" applyBorder="true" applyAlignment="true" applyProtection="true">
      <alignment horizontal="center" vertical="center" textRotation="0" wrapText="false" indent="0" shrinkToFit="false"/>
      <protection locked="false" hidden="false"/>
    </xf>
    <xf numFmtId="164" fontId="72" fillId="0" borderId="77" xfId="0" applyFont="true" applyBorder="true" applyAlignment="true" applyProtection="true">
      <alignment horizontal="center" vertical="center" textRotation="0" wrapText="false" indent="0" shrinkToFit="false"/>
      <protection locked="false" hidden="false"/>
    </xf>
    <xf numFmtId="164" fontId="72" fillId="0" borderId="78" xfId="0" applyFont="true" applyBorder="true" applyAlignment="true" applyProtection="true">
      <alignment horizontal="center" vertical="center" textRotation="0" wrapText="false" indent="0" shrinkToFit="false"/>
      <protection locked="false" hidden="false"/>
    </xf>
    <xf numFmtId="164" fontId="72" fillId="0" borderId="64" xfId="0" applyFont="true" applyBorder="true" applyAlignment="true" applyProtection="true">
      <alignment horizontal="center" vertical="center" textRotation="0" wrapText="false" indent="0" shrinkToFit="false"/>
      <protection locked="false" hidden="false"/>
    </xf>
    <xf numFmtId="164" fontId="72" fillId="0" borderId="79" xfId="0" applyFont="true" applyBorder="true" applyAlignment="true" applyProtection="true">
      <alignment horizontal="center" vertical="center" textRotation="0" wrapText="false" indent="0" shrinkToFit="false"/>
      <protection locked="false" hidden="false"/>
    </xf>
    <xf numFmtId="164" fontId="72" fillId="19" borderId="61" xfId="0" applyFont="true" applyBorder="true" applyAlignment="true" applyProtection="true">
      <alignment horizontal="center" vertical="center" textRotation="0" wrapText="false" indent="0" shrinkToFit="false"/>
      <protection locked="false" hidden="false"/>
    </xf>
    <xf numFmtId="170" fontId="72" fillId="0" borderId="80" xfId="0" applyFont="true" applyBorder="true" applyAlignment="true" applyProtection="true">
      <alignment horizontal="center" vertical="center" textRotation="0" wrapText="false" indent="0" shrinkToFit="false"/>
      <protection locked="false" hidden="false"/>
    </xf>
    <xf numFmtId="170" fontId="72" fillId="0" borderId="81" xfId="0" applyFont="true" applyBorder="true" applyAlignment="true" applyProtection="true">
      <alignment horizontal="center" vertical="center" textRotation="0" wrapText="false" indent="0" shrinkToFit="false"/>
      <protection locked="false" hidden="false"/>
    </xf>
    <xf numFmtId="170" fontId="72" fillId="0" borderId="82" xfId="0" applyFont="true" applyBorder="true" applyAlignment="true" applyProtection="true">
      <alignment horizontal="center" vertical="center" textRotation="0" wrapText="false" indent="0" shrinkToFit="false"/>
      <protection locked="false" hidden="false"/>
    </xf>
    <xf numFmtId="170" fontId="72" fillId="0" borderId="83" xfId="0" applyFont="true" applyBorder="true" applyAlignment="true" applyProtection="true">
      <alignment horizontal="center" vertical="center" textRotation="0" wrapText="false" indent="0" shrinkToFit="false"/>
      <protection locked="false" hidden="false"/>
    </xf>
    <xf numFmtId="184" fontId="72" fillId="0" borderId="66" xfId="0" applyFont="true" applyBorder="true" applyAlignment="true" applyProtection="true">
      <alignment horizontal="center" vertical="center" textRotation="0" wrapText="false" indent="0" shrinkToFit="false"/>
      <protection locked="false" hidden="false"/>
    </xf>
    <xf numFmtId="184" fontId="72" fillId="0" borderId="61" xfId="24" applyFont="true" applyBorder="true" applyAlignment="true" applyProtection="true">
      <alignment horizontal="right" vertical="center" textRotation="0" wrapText="false" indent="0" shrinkToFit="false"/>
      <protection locked="false" hidden="false"/>
    </xf>
    <xf numFmtId="164" fontId="72" fillId="0" borderId="84" xfId="0" applyFont="true" applyBorder="true" applyAlignment="true" applyProtection="true">
      <alignment horizontal="center" vertical="center" textRotation="0" wrapText="false" indent="0" shrinkToFit="false"/>
      <protection locked="false" hidden="false"/>
    </xf>
    <xf numFmtId="164" fontId="72" fillId="0" borderId="47" xfId="0" applyFont="true" applyBorder="true" applyAlignment="true" applyProtection="true">
      <alignment horizontal="general" vertical="center" textRotation="0" wrapText="false" indent="0" shrinkToFit="false"/>
      <protection locked="false" hidden="false"/>
    </xf>
    <xf numFmtId="164" fontId="72" fillId="0" borderId="47" xfId="0" applyFont="true" applyBorder="true" applyAlignment="true" applyProtection="true">
      <alignment horizontal="center" vertical="center" textRotation="0" wrapText="false" indent="0" shrinkToFit="false"/>
      <protection locked="false" hidden="false"/>
    </xf>
    <xf numFmtId="166" fontId="72" fillId="0" borderId="47" xfId="24" applyFont="true" applyBorder="true" applyAlignment="true" applyProtection="true">
      <alignment horizontal="right" vertical="center" textRotation="0" wrapText="false" indent="0" shrinkToFit="false"/>
      <protection locked="false" hidden="false"/>
    </xf>
    <xf numFmtId="164" fontId="72" fillId="0" borderId="59" xfId="0" applyFont="true" applyBorder="true" applyAlignment="true" applyProtection="true">
      <alignment horizontal="general" vertical="center" textRotation="0" wrapText="false" indent="0" shrinkToFit="false"/>
      <protection locked="false" hidden="false"/>
    </xf>
    <xf numFmtId="164" fontId="74" fillId="0" borderId="46" xfId="0" applyFont="true" applyBorder="true" applyAlignment="true" applyProtection="true">
      <alignment horizontal="center" vertical="center" textRotation="0" wrapText="false" indent="0" shrinkToFit="false"/>
      <protection locked="false" hidden="false"/>
    </xf>
    <xf numFmtId="164" fontId="72" fillId="0" borderId="42" xfId="0" applyFont="true" applyBorder="true" applyAlignment="true" applyProtection="true">
      <alignment horizontal="general" vertical="center" textRotation="0" wrapText="false" indent="0" shrinkToFit="false"/>
      <protection locked="false" hidden="false"/>
    </xf>
    <xf numFmtId="164" fontId="53" fillId="0" borderId="54" xfId="0" applyFont="true" applyBorder="true" applyAlignment="true" applyProtection="true">
      <alignment horizontal="center" vertical="center" textRotation="0" wrapText="false" indent="0" shrinkToFit="false"/>
      <protection locked="false" hidden="false"/>
    </xf>
    <xf numFmtId="185" fontId="72" fillId="0" borderId="55" xfId="0" applyFont="true" applyBorder="true" applyAlignment="true" applyProtection="true">
      <alignment horizontal="right" vertical="center" textRotation="0" wrapText="false" indent="0" shrinkToFit="false"/>
      <protection locked="false" hidden="false"/>
    </xf>
    <xf numFmtId="164" fontId="72" fillId="0" borderId="5" xfId="0" applyFont="true" applyBorder="true" applyAlignment="true" applyProtection="true">
      <alignment horizontal="general" vertical="center" textRotation="0" wrapText="false" indent="0" shrinkToFit="false"/>
      <protection locked="false" hidden="false"/>
    </xf>
    <xf numFmtId="164" fontId="84" fillId="0" borderId="5" xfId="0" applyFont="true" applyBorder="true" applyAlignment="true" applyProtection="true">
      <alignment horizontal="general" vertical="center" textRotation="0" wrapText="false" indent="0" shrinkToFit="false"/>
      <protection locked="false" hidden="false"/>
    </xf>
    <xf numFmtId="185" fontId="72" fillId="0" borderId="5" xfId="0" applyFont="true" applyBorder="true" applyAlignment="true" applyProtection="true">
      <alignment horizontal="center" vertical="center" textRotation="0" wrapText="false" indent="0" shrinkToFit="false"/>
      <protection locked="false" hidden="false"/>
    </xf>
    <xf numFmtId="164" fontId="72" fillId="0" borderId="85" xfId="0" applyFont="true" applyBorder="true" applyAlignment="true" applyProtection="true">
      <alignment horizontal="general" vertical="center" textRotation="0" wrapText="false" indent="0" shrinkToFit="false"/>
      <protection locked="false" hidden="false"/>
    </xf>
    <xf numFmtId="164" fontId="72" fillId="0" borderId="46" xfId="0" applyFont="true" applyBorder="true" applyAlignment="true" applyProtection="true">
      <alignment horizontal="center" vertical="center" textRotation="0" wrapText="false" indent="0" shrinkToFit="false"/>
      <protection locked="false" hidden="false"/>
    </xf>
    <xf numFmtId="182" fontId="74" fillId="0" borderId="46" xfId="0" applyFont="true" applyBorder="true" applyAlignment="true" applyProtection="true">
      <alignment horizontal="center" vertical="center" textRotation="0" wrapText="false" indent="0" shrinkToFit="false"/>
      <protection locked="false" hidden="false"/>
    </xf>
    <xf numFmtId="182" fontId="53" fillId="0" borderId="61" xfId="0" applyFont="true" applyBorder="true" applyAlignment="true" applyProtection="true">
      <alignment horizontal="center" vertical="center" textRotation="0" wrapText="false" indent="0" shrinkToFit="false"/>
      <protection locked="false" hidden="false"/>
    </xf>
    <xf numFmtId="182" fontId="53" fillId="0" borderId="86" xfId="0" applyFont="true" applyBorder="true" applyAlignment="true" applyProtection="true">
      <alignment horizontal="center" vertical="center" textRotation="0" wrapText="false" indent="0" shrinkToFit="false"/>
      <protection locked="false" hidden="false"/>
    </xf>
    <xf numFmtId="182" fontId="53" fillId="0" borderId="46" xfId="0" applyFont="true" applyBorder="true" applyAlignment="true" applyProtection="true">
      <alignment horizontal="center" vertical="center" textRotation="0" wrapText="false" indent="0" shrinkToFit="false"/>
      <protection locked="false" hidden="false"/>
    </xf>
    <xf numFmtId="182" fontId="53" fillId="0" borderId="48" xfId="0" applyFont="true" applyBorder="true" applyAlignment="true" applyProtection="true">
      <alignment horizontal="center" vertical="center" textRotation="0" wrapText="false" indent="0" shrinkToFit="false"/>
      <protection locked="false" hidden="false"/>
    </xf>
    <xf numFmtId="182" fontId="53" fillId="0" borderId="40" xfId="0" applyFont="true" applyBorder="true" applyAlignment="true" applyProtection="true">
      <alignment horizontal="center" vertical="center" textRotation="0" wrapText="false" indent="0" shrinkToFit="false"/>
      <protection locked="false" hidden="false"/>
    </xf>
    <xf numFmtId="185" fontId="72" fillId="0" borderId="28" xfId="0" applyFont="true" applyBorder="true" applyAlignment="true" applyProtection="true">
      <alignment horizontal="right" vertical="center" textRotation="0" wrapText="false" indent="0" shrinkToFit="false"/>
      <protection locked="false" hidden="false"/>
    </xf>
    <xf numFmtId="164" fontId="71" fillId="0" borderId="29" xfId="0" applyFont="true" applyBorder="true" applyAlignment="true" applyProtection="true">
      <alignment horizontal="general" vertical="center" textRotation="0" wrapText="false" indent="0" shrinkToFit="false"/>
      <protection locked="false" hidden="false"/>
    </xf>
    <xf numFmtId="164" fontId="53" fillId="0" borderId="87" xfId="0" applyFont="true" applyBorder="true" applyAlignment="true" applyProtection="true">
      <alignment horizontal="center" vertical="center" textRotation="0" wrapText="false" indent="0" shrinkToFit="false"/>
      <protection locked="false" hidden="false"/>
    </xf>
    <xf numFmtId="182" fontId="53" fillId="0" borderId="50" xfId="0" applyFont="true" applyBorder="true" applyAlignment="true" applyProtection="true">
      <alignment horizontal="center" vertical="center" textRotation="0" wrapText="false" indent="0" shrinkToFit="false"/>
      <protection locked="false" hidden="false"/>
    </xf>
    <xf numFmtId="182" fontId="53" fillId="0" borderId="26" xfId="0" applyFont="true" applyBorder="true" applyAlignment="true" applyProtection="true">
      <alignment horizontal="center" vertical="center" textRotation="0" wrapText="false" indent="0" shrinkToFit="false"/>
      <protection locked="false" hidden="false"/>
    </xf>
    <xf numFmtId="178" fontId="72" fillId="0" borderId="86" xfId="0" applyFont="true" applyBorder="true" applyAlignment="true" applyProtection="true">
      <alignment horizontal="center" vertical="center" textRotation="0" wrapText="false" indent="0" shrinkToFit="false"/>
      <protection locked="false" hidden="false"/>
    </xf>
    <xf numFmtId="182" fontId="72" fillId="0" borderId="26" xfId="0" applyFont="true" applyBorder="true" applyAlignment="true" applyProtection="true">
      <alignment horizontal="center" vertical="center" textRotation="0" wrapText="false" indent="0" shrinkToFit="false"/>
      <protection locked="false" hidden="false"/>
    </xf>
    <xf numFmtId="182" fontId="53" fillId="0" borderId="88" xfId="0" applyFont="true" applyBorder="true" applyAlignment="true" applyProtection="true">
      <alignment horizontal="center" vertical="center" textRotation="0" wrapText="false" indent="0" shrinkToFit="false"/>
      <protection locked="false" hidden="false"/>
    </xf>
    <xf numFmtId="164" fontId="53" fillId="0" borderId="56" xfId="0" applyFont="true" applyBorder="true" applyAlignment="true" applyProtection="true">
      <alignment horizontal="center" vertical="center" textRotation="0" wrapText="false" indent="0" shrinkToFit="false"/>
      <protection locked="false" hidden="false"/>
    </xf>
    <xf numFmtId="182" fontId="53" fillId="0" borderId="56" xfId="0" applyFont="true" applyBorder="true" applyAlignment="true" applyProtection="true">
      <alignment horizontal="center" vertical="center" textRotation="0" wrapText="false" indent="0" shrinkToFit="false"/>
      <protection locked="false" hidden="false"/>
    </xf>
    <xf numFmtId="182" fontId="72" fillId="0" borderId="47" xfId="0" applyFont="true" applyBorder="true" applyAlignment="true" applyProtection="true">
      <alignment horizontal="center" vertical="center" textRotation="0" wrapText="false" indent="0" shrinkToFit="false"/>
      <protection locked="false" hidden="false"/>
    </xf>
    <xf numFmtId="178" fontId="72" fillId="0" borderId="89" xfId="0" applyFont="true" applyBorder="true" applyAlignment="true" applyProtection="true">
      <alignment horizontal="center" vertical="center" textRotation="0" wrapText="false" indent="0" shrinkToFit="false"/>
      <protection locked="false" hidden="false"/>
    </xf>
    <xf numFmtId="182" fontId="53" fillId="0" borderId="57" xfId="0" applyFont="true" applyBorder="true" applyAlignment="true" applyProtection="true">
      <alignment horizontal="center" vertical="center" textRotation="0" wrapText="false" indent="0" shrinkToFit="false"/>
      <protection locked="false" hidden="false"/>
    </xf>
    <xf numFmtId="182" fontId="53" fillId="0" borderId="54" xfId="0" applyFont="true" applyBorder="true" applyAlignment="true" applyProtection="true">
      <alignment horizontal="center" vertical="center" textRotation="0" wrapText="false" indent="0" shrinkToFit="false"/>
      <protection locked="false" hidden="false"/>
    </xf>
    <xf numFmtId="182" fontId="53" fillId="0" borderId="55" xfId="0" applyFont="true" applyBorder="true" applyAlignment="true" applyProtection="true">
      <alignment horizontal="center" vertical="center" textRotation="0" wrapText="false" indent="0" shrinkToFit="false"/>
      <protection locked="false" hidden="false"/>
    </xf>
    <xf numFmtId="178" fontId="72" fillId="0" borderId="55" xfId="0" applyFont="true" applyBorder="true" applyAlignment="true" applyProtection="true">
      <alignment horizontal="center" vertical="center" textRotation="0" wrapText="false" indent="0" shrinkToFit="false"/>
      <protection locked="false" hidden="false"/>
    </xf>
    <xf numFmtId="182" fontId="53" fillId="0" borderId="90" xfId="0" applyFont="true" applyBorder="true" applyAlignment="true" applyProtection="true">
      <alignment horizontal="center" vertical="center" textRotation="0" wrapText="false" indent="0" shrinkToFit="false"/>
      <protection locked="false" hidden="false"/>
    </xf>
    <xf numFmtId="164" fontId="74" fillId="0" borderId="23" xfId="0" applyFont="true" applyBorder="true" applyAlignment="true" applyProtection="true">
      <alignment horizontal="center" vertical="center" textRotation="0" wrapText="false" indent="0" shrinkToFit="false"/>
      <protection locked="false" hidden="false"/>
    </xf>
    <xf numFmtId="182" fontId="72" fillId="0" borderId="23" xfId="0" applyFont="true" applyBorder="true" applyAlignment="true" applyProtection="true">
      <alignment horizontal="center" vertical="center" textRotation="0" wrapText="false" indent="0" shrinkToFit="false"/>
      <protection locked="false" hidden="false"/>
    </xf>
    <xf numFmtId="182" fontId="72" fillId="0" borderId="29" xfId="0" applyFont="true" applyBorder="true" applyAlignment="true" applyProtection="true">
      <alignment horizontal="center" vertical="center" textRotation="0" wrapText="false" indent="0" shrinkToFit="false"/>
      <protection locked="false" hidden="false"/>
    </xf>
    <xf numFmtId="164" fontId="53" fillId="0" borderId="46" xfId="0" applyFont="true" applyBorder="true" applyAlignment="true" applyProtection="true">
      <alignment horizontal="left" vertical="center" textRotation="0" wrapText="true" indent="0" shrinkToFit="false"/>
      <protection locked="false" hidden="false"/>
    </xf>
    <xf numFmtId="164" fontId="72" fillId="0" borderId="22" xfId="0" applyFont="true" applyBorder="true" applyAlignment="true" applyProtection="true">
      <alignment horizontal="left" vertical="center" textRotation="0" wrapText="true" indent="0" shrinkToFit="false"/>
      <protection locked="false" hidden="false"/>
    </xf>
    <xf numFmtId="164" fontId="53" fillId="0" borderId="29" xfId="0" applyFont="true" applyBorder="true" applyAlignment="true" applyProtection="true">
      <alignment horizontal="right" vertical="center" textRotation="0" wrapText="false" indent="0" shrinkToFit="false"/>
      <protection locked="false" hidden="false"/>
    </xf>
    <xf numFmtId="164" fontId="72" fillId="0" borderId="49" xfId="0" applyFont="true" applyBorder="true" applyAlignment="true" applyProtection="true">
      <alignment horizontal="center" vertical="center" textRotation="0" wrapText="false" indent="0" shrinkToFit="false"/>
      <protection locked="false" hidden="false"/>
    </xf>
    <xf numFmtId="164" fontId="84" fillId="0" borderId="39" xfId="0" applyFont="true" applyBorder="true" applyAlignment="true" applyProtection="true">
      <alignment horizontal="left" vertical="center" textRotation="0" wrapText="true" indent="0" shrinkToFit="false"/>
      <protection locked="false" hidden="false"/>
    </xf>
    <xf numFmtId="164" fontId="72" fillId="0" borderId="39" xfId="0" applyFont="true" applyBorder="true" applyAlignment="true" applyProtection="true">
      <alignment horizontal="left" vertical="center" textRotation="0" wrapText="false" indent="0" shrinkToFit="false"/>
      <protection locked="false" hidden="false"/>
    </xf>
    <xf numFmtId="164" fontId="53" fillId="0" borderId="0" xfId="0" applyFont="true" applyBorder="true" applyAlignment="true" applyProtection="true">
      <alignment horizontal="right" vertical="center" textRotation="0" wrapText="false" indent="0" shrinkToFit="false"/>
      <protection locked="false" hidden="false"/>
    </xf>
    <xf numFmtId="164" fontId="72" fillId="0" borderId="52" xfId="0" applyFont="true" applyBorder="true" applyAlignment="true" applyProtection="true">
      <alignment horizontal="center" vertical="center" textRotation="0" wrapText="false" indent="0" shrinkToFit="false"/>
      <protection locked="false" hidden="false"/>
    </xf>
    <xf numFmtId="164" fontId="72" fillId="0" borderId="41" xfId="0" applyFont="true" applyBorder="true" applyAlignment="true" applyProtection="true">
      <alignment horizontal="left" vertical="center" textRotation="0" wrapText="false" indent="0" shrinkToFit="false"/>
      <protection locked="false" hidden="false"/>
    </xf>
    <xf numFmtId="164" fontId="53" fillId="0" borderId="5" xfId="0" applyFont="true" applyBorder="true" applyAlignment="true" applyProtection="true">
      <alignment horizontal="right" vertical="center" textRotation="0" wrapText="false" indent="0" shrinkToFit="false"/>
      <protection locked="false" hidden="false"/>
    </xf>
    <xf numFmtId="164" fontId="72" fillId="0" borderId="85" xfId="0" applyFont="true" applyBorder="true" applyAlignment="true" applyProtection="true">
      <alignment horizontal="center" vertical="center" textRotation="0" wrapText="false" indent="0" shrinkToFit="false"/>
      <protection locked="false" hidden="false"/>
    </xf>
    <xf numFmtId="164" fontId="71" fillId="0" borderId="27" xfId="0" applyFont="true" applyBorder="true" applyAlignment="true" applyProtection="true">
      <alignment horizontal="general" vertical="center" textRotation="0" wrapText="false" indent="0" shrinkToFit="false"/>
      <protection locked="false" hidden="false"/>
    </xf>
    <xf numFmtId="164" fontId="58" fillId="0" borderId="29" xfId="0" applyFont="true" applyBorder="true" applyAlignment="true" applyProtection="true">
      <alignment horizontal="left" vertical="bottom" textRotation="0" wrapText="false" indent="0" shrinkToFit="false"/>
      <protection locked="false" hidden="false"/>
    </xf>
    <xf numFmtId="164" fontId="71" fillId="0" borderId="29" xfId="0" applyFont="true" applyBorder="true" applyAlignment="true" applyProtection="true">
      <alignment horizontal="center" vertical="center" textRotation="0" wrapText="false" indent="0" shrinkToFit="false"/>
      <protection locked="false" hidden="false"/>
    </xf>
    <xf numFmtId="164" fontId="71" fillId="0" borderId="49" xfId="0" applyFont="true" applyBorder="true" applyAlignment="true" applyProtection="true">
      <alignment horizontal="general" vertical="center" textRotation="0" wrapText="false" indent="0" shrinkToFit="false"/>
      <protection locked="false" hidden="false"/>
    </xf>
    <xf numFmtId="164" fontId="71" fillId="0" borderId="24" xfId="0" applyFont="true" applyBorder="true" applyAlignment="true" applyProtection="true">
      <alignment horizontal="general" vertical="center" textRotation="0" wrapText="false" indent="0" shrinkToFit="false"/>
      <protection locked="false" hidden="false"/>
    </xf>
    <xf numFmtId="164" fontId="71" fillId="0" borderId="52" xfId="0" applyFont="true" applyBorder="true" applyAlignment="true" applyProtection="true">
      <alignment horizontal="general" vertical="center" textRotation="0" wrapText="false" indent="0" shrinkToFit="false"/>
      <protection locked="false" hidden="false"/>
    </xf>
    <xf numFmtId="164" fontId="71" fillId="0" borderId="42" xfId="0" applyFont="true" applyBorder="true" applyAlignment="true" applyProtection="true">
      <alignment horizontal="general" vertical="center" textRotation="0" wrapText="false" indent="0" shrinkToFit="false"/>
      <protection locked="false" hidden="false"/>
    </xf>
    <xf numFmtId="164" fontId="71" fillId="0" borderId="85" xfId="0" applyFont="true" applyBorder="true" applyAlignment="true" applyProtection="true">
      <alignment horizontal="general" vertical="center" textRotation="0" wrapText="false" indent="0" shrinkToFit="false"/>
      <protection locked="false" hidden="false"/>
    </xf>
    <xf numFmtId="164" fontId="86" fillId="0" borderId="0" xfId="0" applyFont="true" applyBorder="false" applyAlignment="true" applyProtection="false">
      <alignment horizontal="general" vertical="center" textRotation="0" wrapText="false" indent="0" shrinkToFit="false"/>
      <protection locked="true" hidden="false"/>
    </xf>
    <xf numFmtId="164" fontId="86" fillId="0" borderId="0" xfId="0" applyFont="true" applyBorder="false" applyAlignment="true" applyProtection="false">
      <alignment horizontal="center" vertical="center" textRotation="0" wrapText="false" indent="0" shrinkToFit="false"/>
      <protection locked="true" hidden="false"/>
    </xf>
    <xf numFmtId="164" fontId="86" fillId="0" borderId="0" xfId="0" applyFont="true" applyBorder="false" applyAlignment="true" applyProtection="false">
      <alignment horizontal="left" vertical="center" textRotation="0" wrapText="false" indent="0" shrinkToFit="false"/>
      <protection locked="true" hidden="false"/>
    </xf>
    <xf numFmtId="182" fontId="86" fillId="0" borderId="0" xfId="0" applyFont="true" applyBorder="false" applyAlignment="true" applyProtection="false">
      <alignment horizontal="center" vertical="center" textRotation="0" wrapText="false" indent="0" shrinkToFit="false"/>
      <protection locked="true" hidden="false"/>
    </xf>
    <xf numFmtId="164" fontId="86" fillId="0" borderId="0" xfId="0" applyFont="true" applyBorder="false" applyAlignment="true" applyProtection="false">
      <alignment horizontal="general" vertical="center" textRotation="0" wrapText="true" indent="0" shrinkToFit="false"/>
      <protection locked="true" hidden="false"/>
    </xf>
    <xf numFmtId="164" fontId="87" fillId="0" borderId="0" xfId="0" applyFont="true" applyBorder="false" applyAlignment="true" applyProtection="false">
      <alignment horizontal="left" vertical="center" textRotation="0" wrapText="false" indent="0" shrinkToFit="false"/>
      <protection locked="true" hidden="false"/>
    </xf>
    <xf numFmtId="170" fontId="88" fillId="0" borderId="0" xfId="0" applyFont="true" applyBorder="false" applyAlignment="true" applyProtection="false">
      <alignment horizontal="general" vertical="center" textRotation="0" wrapText="false" indent="0" shrinkToFit="false"/>
      <protection locked="true" hidden="false"/>
    </xf>
    <xf numFmtId="166" fontId="89" fillId="0" borderId="0" xfId="24" applyFont="true" applyBorder="false" applyAlignment="true" applyProtection="false">
      <alignment horizontal="general" vertical="center" textRotation="0" wrapText="false" indent="0" shrinkToFit="false"/>
      <protection locked="true" hidden="false"/>
    </xf>
    <xf numFmtId="166" fontId="90" fillId="0" borderId="0" xfId="24" applyFont="true" applyBorder="false" applyAlignment="true" applyProtection="false">
      <alignment horizontal="general" vertical="center" textRotation="0" wrapText="false" indent="0" shrinkToFit="false"/>
      <protection locked="true" hidden="false"/>
    </xf>
    <xf numFmtId="164" fontId="91" fillId="0" borderId="0" xfId="0" applyFont="true" applyBorder="true" applyAlignment="true" applyProtection="false">
      <alignment horizontal="left" vertical="center" textRotation="0" wrapText="false" indent="0" shrinkToFit="false"/>
      <protection locked="true" hidden="false"/>
    </xf>
    <xf numFmtId="164" fontId="86" fillId="0" borderId="47" xfId="0" applyFont="true" applyBorder="true" applyAlignment="true" applyProtection="false">
      <alignment horizontal="general" vertical="center" textRotation="0" wrapText="false" indent="0" shrinkToFit="false"/>
      <protection locked="true" hidden="false"/>
    </xf>
    <xf numFmtId="164" fontId="91" fillId="0" borderId="47" xfId="0" applyFont="true" applyBorder="true" applyAlignment="true" applyProtection="false">
      <alignment horizontal="general" vertical="center" textRotation="0" wrapText="false" indent="0" shrinkToFit="false"/>
      <protection locked="true" hidden="false"/>
    </xf>
    <xf numFmtId="164" fontId="48" fillId="0" borderId="47" xfId="0" applyFont="true" applyBorder="true" applyAlignment="true" applyProtection="false">
      <alignment horizontal="center" vertical="center" textRotation="0" wrapText="false" indent="0" shrinkToFit="false"/>
      <protection locked="true" hidden="false"/>
    </xf>
    <xf numFmtId="164" fontId="86" fillId="0" borderId="47" xfId="0" applyFont="true" applyBorder="true" applyAlignment="true" applyProtection="false">
      <alignment horizontal="center" vertical="center" textRotation="0" wrapText="false" indent="0" shrinkToFit="false"/>
      <protection locked="true" hidden="false"/>
    </xf>
    <xf numFmtId="182" fontId="48" fillId="0" borderId="47" xfId="0" applyFont="true" applyBorder="true" applyAlignment="true" applyProtection="false">
      <alignment horizontal="center" vertical="center" textRotation="0" wrapText="false" indent="0" shrinkToFit="false"/>
      <protection locked="true" hidden="false"/>
    </xf>
    <xf numFmtId="164" fontId="91" fillId="0" borderId="47" xfId="0" applyFont="true" applyBorder="true" applyAlignment="true" applyProtection="false">
      <alignment horizontal="center" vertical="center" textRotation="0" wrapText="false" indent="0" shrinkToFit="false"/>
      <protection locked="true" hidden="false"/>
    </xf>
    <xf numFmtId="164" fontId="92" fillId="20" borderId="47" xfId="0" applyFont="true" applyBorder="true" applyAlignment="true" applyProtection="false">
      <alignment horizontal="center" vertical="center" textRotation="0" wrapText="false" indent="0" shrinkToFit="false"/>
      <protection locked="true" hidden="false"/>
    </xf>
    <xf numFmtId="164" fontId="86" fillId="0" borderId="47" xfId="0" applyFont="true" applyBorder="true" applyAlignment="true" applyProtection="false">
      <alignment horizontal="general" vertical="center" textRotation="0" wrapText="true" indent="0" shrinkToFit="false"/>
      <protection locked="true" hidden="false"/>
    </xf>
    <xf numFmtId="164" fontId="48" fillId="21" borderId="47" xfId="0" applyFont="true" applyBorder="true" applyAlignment="true" applyProtection="false">
      <alignment horizontal="center" vertical="center" textRotation="0" wrapText="false" indent="0" shrinkToFit="false"/>
      <protection locked="true" hidden="false"/>
    </xf>
    <xf numFmtId="164" fontId="48" fillId="22" borderId="47" xfId="0" applyFont="true" applyBorder="true" applyAlignment="true" applyProtection="false">
      <alignment horizontal="center" vertical="center" textRotation="0" wrapText="false" indent="0" shrinkToFit="false"/>
      <protection locked="true" hidden="false"/>
    </xf>
    <xf numFmtId="164" fontId="48" fillId="0" borderId="47" xfId="0" applyFont="true" applyBorder="true" applyAlignment="true" applyProtection="false">
      <alignment horizontal="general" vertical="center" textRotation="0" wrapText="false" indent="0" shrinkToFit="false"/>
      <protection locked="true" hidden="false"/>
    </xf>
    <xf numFmtId="172" fontId="93" fillId="0" borderId="47" xfId="0" applyFont="true" applyBorder="true" applyAlignment="true" applyProtection="false">
      <alignment horizontal="general" vertical="center" textRotation="0" wrapText="false" indent="0" shrinkToFit="false"/>
      <protection locked="true" hidden="false"/>
    </xf>
    <xf numFmtId="164" fontId="93" fillId="0" borderId="47" xfId="0" applyFont="true" applyBorder="true" applyAlignment="true" applyProtection="false">
      <alignment horizontal="center" vertical="center" textRotation="0" wrapText="false" indent="0" shrinkToFit="false"/>
      <protection locked="true" hidden="false"/>
    </xf>
    <xf numFmtId="164" fontId="65" fillId="0" borderId="47" xfId="0" applyFont="true" applyBorder="true" applyAlignment="true" applyProtection="false">
      <alignment horizontal="left" vertical="center" textRotation="0" wrapText="true" indent="0" shrinkToFit="false"/>
      <protection locked="true" hidden="false"/>
    </xf>
    <xf numFmtId="164" fontId="65" fillId="0" borderId="47" xfId="0" applyFont="true" applyBorder="true" applyAlignment="true" applyProtection="false">
      <alignment horizontal="general" vertical="center" textRotation="0" wrapText="true" indent="0" shrinkToFit="false"/>
      <protection locked="true" hidden="false"/>
    </xf>
    <xf numFmtId="182" fontId="95" fillId="0" borderId="47" xfId="0" applyFont="true" applyBorder="true" applyAlignment="true" applyProtection="false">
      <alignment horizontal="general" vertical="center" textRotation="0" wrapText="false" indent="0" shrinkToFit="false"/>
      <protection locked="true" hidden="false"/>
    </xf>
    <xf numFmtId="164" fontId="78" fillId="0" borderId="47" xfId="20" applyFont="true" applyBorder="true" applyAlignment="true" applyProtection="false">
      <alignment horizontal="general" vertical="center" textRotation="0" wrapText="false" indent="0" shrinkToFit="false"/>
      <protection locked="true" hidden="false"/>
    </xf>
    <xf numFmtId="164" fontId="93" fillId="0" borderId="47" xfId="0" applyFont="true" applyBorder="true" applyAlignment="true" applyProtection="false">
      <alignment horizontal="general" vertical="center" textRotation="0" wrapText="false" indent="0" shrinkToFit="false"/>
      <protection locked="true" hidden="false"/>
    </xf>
    <xf numFmtId="164" fontId="93" fillId="0" borderId="47" xfId="0" applyFont="true" applyBorder="true" applyAlignment="true" applyProtection="false">
      <alignment horizontal="right" vertical="center" textRotation="0" wrapText="false" indent="0" shrinkToFit="false"/>
      <protection locked="true" hidden="false"/>
    </xf>
    <xf numFmtId="186" fontId="96" fillId="0" borderId="47" xfId="0" applyFont="true" applyBorder="true" applyAlignment="true" applyProtection="false">
      <alignment horizontal="right" vertical="center" textRotation="0" wrapText="false" indent="0" shrinkToFit="false"/>
      <protection locked="true" hidden="false"/>
    </xf>
    <xf numFmtId="164" fontId="94" fillId="0" borderId="47" xfId="0" applyFont="true" applyBorder="true" applyAlignment="true" applyProtection="false">
      <alignment horizontal="general" vertical="center" textRotation="0" wrapText="true" indent="0" shrinkToFit="false"/>
      <protection locked="true" hidden="false"/>
    </xf>
    <xf numFmtId="164" fontId="97" fillId="0" borderId="47" xfId="0" applyFont="true" applyBorder="true" applyAlignment="true" applyProtection="false">
      <alignment horizontal="center" vertical="center" textRotation="0" wrapText="false" indent="0" shrinkToFit="false"/>
      <protection locked="true" hidden="false"/>
    </xf>
    <xf numFmtId="164" fontId="98" fillId="0" borderId="47" xfId="0" applyFont="true" applyBorder="true" applyAlignment="true" applyProtection="false">
      <alignment horizontal="center" vertical="center" textRotation="0" wrapText="false" indent="0" shrinkToFit="false"/>
      <protection locked="true" hidden="false"/>
    </xf>
    <xf numFmtId="164" fontId="99" fillId="0" borderId="47" xfId="0" applyFont="true" applyBorder="true" applyAlignment="true" applyProtection="false">
      <alignment horizontal="center" vertical="center" textRotation="0" wrapText="false" indent="0" shrinkToFit="false"/>
      <protection locked="true" hidden="false"/>
    </xf>
    <xf numFmtId="176" fontId="93" fillId="0" borderId="47" xfId="0" applyFont="true" applyBorder="true" applyAlignment="true" applyProtection="false">
      <alignment horizontal="general" vertical="center" textRotation="0" wrapText="false" indent="0" shrinkToFit="false"/>
      <protection locked="true" hidden="false"/>
    </xf>
    <xf numFmtId="164" fontId="94" fillId="0" borderId="47" xfId="0" applyFont="true" applyBorder="true" applyAlignment="true" applyProtection="false">
      <alignment horizontal="general" vertical="center" textRotation="0" wrapText="false" indent="0" shrinkToFit="false"/>
      <protection locked="true" hidden="false"/>
    </xf>
    <xf numFmtId="164" fontId="93" fillId="0" borderId="0" xfId="0" applyFont="true" applyBorder="false" applyAlignment="true" applyProtection="false">
      <alignment horizontal="general" vertical="center" textRotation="0" wrapText="false" indent="0" shrinkToFit="false"/>
      <protection locked="true" hidden="false"/>
    </xf>
    <xf numFmtId="172" fontId="93" fillId="0" borderId="47" xfId="0" applyFont="true" applyBorder="true" applyAlignment="true" applyProtection="false">
      <alignment horizontal="center" vertical="center" textRotation="0" wrapText="false" indent="0" shrinkToFit="false"/>
      <protection locked="true" hidden="false"/>
    </xf>
    <xf numFmtId="164" fontId="38" fillId="0" borderId="47" xfId="0" applyFont="true" applyBorder="true" applyAlignment="true" applyProtection="false">
      <alignment horizontal="left" vertical="center" textRotation="0" wrapText="false" indent="0" shrinkToFit="false"/>
      <protection locked="true" hidden="false"/>
    </xf>
    <xf numFmtId="164" fontId="65" fillId="0" borderId="47" xfId="0" applyFont="true" applyBorder="true" applyAlignment="true" applyProtection="false">
      <alignment horizontal="general" vertical="center" textRotation="0" wrapText="false" indent="0" shrinkToFit="false"/>
      <protection locked="true" hidden="false"/>
    </xf>
    <xf numFmtId="164" fontId="100" fillId="0" borderId="47" xfId="0" applyFont="true" applyBorder="true" applyAlignment="true" applyProtection="false">
      <alignment horizontal="center" vertical="center" textRotation="0" wrapText="false" indent="0" shrinkToFit="false"/>
      <protection locked="true" hidden="false"/>
    </xf>
    <xf numFmtId="187" fontId="93" fillId="0" borderId="47" xfId="0" applyFont="true" applyBorder="true" applyAlignment="true" applyProtection="false">
      <alignment horizontal="general" vertical="center" textRotation="0" wrapText="false" indent="0" shrinkToFit="false"/>
      <protection locked="true" hidden="false"/>
    </xf>
    <xf numFmtId="164" fontId="97" fillId="0" borderId="47" xfId="0" applyFont="true" applyBorder="true" applyAlignment="true" applyProtection="false">
      <alignment horizontal="general" vertical="center" textRotation="0" wrapText="false" indent="0" shrinkToFit="false"/>
      <protection locked="true" hidden="false"/>
    </xf>
    <xf numFmtId="164" fontId="65" fillId="0" borderId="47" xfId="0" applyFont="true" applyBorder="true" applyAlignment="true" applyProtection="false">
      <alignment horizontal="left" vertical="center" textRotation="0" wrapText="false" indent="0" shrinkToFit="false"/>
      <protection locked="true" hidden="false"/>
    </xf>
    <xf numFmtId="164" fontId="38" fillId="0" borderId="47" xfId="0" applyFont="true" applyBorder="true" applyAlignment="true" applyProtection="false">
      <alignment horizontal="center" vertical="center" textRotation="0" wrapText="false" indent="0" shrinkToFit="false"/>
      <protection locked="true" hidden="false"/>
    </xf>
    <xf numFmtId="164" fontId="95" fillId="0" borderId="47" xfId="0" applyFont="true" applyBorder="true" applyAlignment="true" applyProtection="false">
      <alignment horizontal="general" vertical="center" textRotation="0" wrapText="false" indent="0" shrinkToFit="false"/>
      <protection locked="true" hidden="false"/>
    </xf>
    <xf numFmtId="164" fontId="102" fillId="0" borderId="47" xfId="0" applyFont="true" applyBorder="true" applyAlignment="true" applyProtection="false">
      <alignment horizontal="general" vertical="center" textRotation="0" wrapText="false" indent="0" shrinkToFit="false"/>
      <protection locked="true" hidden="false"/>
    </xf>
    <xf numFmtId="164" fontId="101" fillId="0" borderId="47" xfId="0" applyFont="true" applyBorder="true" applyAlignment="true" applyProtection="false">
      <alignment horizontal="left" vertical="center" textRotation="0" wrapText="false" indent="0" shrinkToFit="false"/>
      <protection locked="true" hidden="false"/>
    </xf>
    <xf numFmtId="164" fontId="103" fillId="0" borderId="47" xfId="0" applyFont="true" applyBorder="true" applyAlignment="true" applyProtection="false">
      <alignment horizontal="general" vertical="center" textRotation="0" wrapText="false" indent="0" shrinkToFit="false"/>
      <protection locked="true" hidden="false"/>
    </xf>
    <xf numFmtId="164" fontId="105" fillId="0" borderId="47" xfId="0" applyFont="true" applyBorder="true" applyAlignment="true" applyProtection="false">
      <alignment horizontal="general" vertical="center" textRotation="0" wrapText="false" indent="0" shrinkToFit="false"/>
      <protection locked="true" hidden="false"/>
    </xf>
    <xf numFmtId="164" fontId="95" fillId="0" borderId="47" xfId="0" applyFont="true" applyBorder="true" applyAlignment="true" applyProtection="false">
      <alignment horizontal="left" vertical="center" textRotation="0" wrapText="false" indent="0" shrinkToFit="false"/>
      <protection locked="true" hidden="false"/>
    </xf>
    <xf numFmtId="164" fontId="101" fillId="0" borderId="47" xfId="0" applyFont="true" applyBorder="true" applyAlignment="true" applyProtection="false">
      <alignment horizontal="general" vertical="center" textRotation="0" wrapText="false" indent="0" shrinkToFit="false"/>
      <protection locked="true" hidden="false"/>
    </xf>
    <xf numFmtId="164" fontId="94" fillId="0" borderId="47" xfId="0" applyFont="true" applyBorder="true" applyAlignment="true" applyProtection="false">
      <alignment horizontal="left" vertical="center" textRotation="0" wrapText="true" indent="0" shrinkToFit="false"/>
      <protection locked="true" hidden="false"/>
    </xf>
    <xf numFmtId="164" fontId="78" fillId="0" borderId="0" xfId="20" applyFont="true" applyBorder="false" applyAlignment="true" applyProtection="false">
      <alignment horizontal="general" vertical="center" textRotation="0" wrapText="false" indent="0" shrinkToFit="false"/>
      <protection locked="true" hidden="false"/>
    </xf>
    <xf numFmtId="164" fontId="106" fillId="0" borderId="47" xfId="0" applyFont="true" applyBorder="true" applyAlignment="true" applyProtection="false">
      <alignment horizontal="general" vertical="center" textRotation="0" wrapText="false" indent="0" shrinkToFit="false"/>
      <protection locked="true" hidden="false"/>
    </xf>
    <xf numFmtId="164" fontId="97" fillId="0" borderId="47" xfId="0" applyFont="true" applyBorder="true" applyAlignment="true" applyProtection="false">
      <alignment horizontal="general" vertical="center" textRotation="0" wrapText="true" indent="0" shrinkToFit="false"/>
      <protection locked="true" hidden="false"/>
    </xf>
    <xf numFmtId="164" fontId="107" fillId="0" borderId="47" xfId="0" applyFont="true" applyBorder="true" applyAlignment="true" applyProtection="false">
      <alignment horizontal="left" vertical="center" textRotation="0" wrapText="true" indent="0" shrinkToFit="false"/>
      <protection locked="true" hidden="false"/>
    </xf>
    <xf numFmtId="164" fontId="108" fillId="0" borderId="47" xfId="0" applyFont="true" applyBorder="true" applyAlignment="true" applyProtection="false">
      <alignment horizontal="general" vertical="center" textRotation="0" wrapText="false" indent="0" shrinkToFit="false"/>
      <protection locked="true" hidden="false"/>
    </xf>
    <xf numFmtId="164" fontId="109" fillId="0" borderId="47" xfId="0" applyFont="true" applyBorder="true" applyAlignment="true" applyProtection="false">
      <alignment horizontal="general" vertical="center" textRotation="0" wrapText="false" indent="0" shrinkToFit="false"/>
      <protection locked="true" hidden="false"/>
    </xf>
    <xf numFmtId="164" fontId="95" fillId="0" borderId="89" xfId="0" applyFont="true" applyBorder="true" applyAlignment="true" applyProtection="false">
      <alignment horizontal="general" vertical="center" textRotation="0" wrapText="false" indent="0" shrinkToFit="false"/>
      <protection locked="true" hidden="false"/>
    </xf>
    <xf numFmtId="164" fontId="110" fillId="0" borderId="47" xfId="0" applyFont="true" applyBorder="true" applyAlignment="true" applyProtection="false">
      <alignment horizontal="general" vertical="center" textRotation="0" wrapText="false" indent="0" shrinkToFit="false"/>
      <protection locked="true" hidden="false"/>
    </xf>
    <xf numFmtId="164" fontId="101" fillId="17" borderId="47" xfId="0" applyFont="true" applyBorder="true" applyAlignment="true" applyProtection="false">
      <alignment horizontal="left" vertical="center" textRotation="0" wrapText="false" indent="0" shrinkToFit="false"/>
      <protection locked="true" hidden="false"/>
    </xf>
    <xf numFmtId="164" fontId="65" fillId="17" borderId="47" xfId="0" applyFont="true" applyBorder="true" applyAlignment="true" applyProtection="false">
      <alignment horizontal="general" vertical="center" textRotation="0" wrapText="false" indent="0" shrinkToFit="false"/>
      <protection locked="true" hidden="false"/>
    </xf>
    <xf numFmtId="164" fontId="95" fillId="17" borderId="47" xfId="0" applyFont="true" applyBorder="true" applyAlignment="true" applyProtection="false">
      <alignment horizontal="general" vertical="center" textRotation="0" wrapText="false" indent="0" shrinkToFit="false"/>
      <protection locked="true" hidden="false"/>
    </xf>
    <xf numFmtId="164" fontId="38" fillId="17" borderId="72" xfId="0" applyFont="true" applyBorder="true" applyAlignment="true" applyProtection="false">
      <alignment horizontal="general" vertical="center" textRotation="0" wrapText="false" indent="0" shrinkToFit="false"/>
      <protection locked="true" hidden="false"/>
    </xf>
    <xf numFmtId="164" fontId="111" fillId="0" borderId="47" xfId="0" applyFont="true" applyBorder="true" applyAlignment="true" applyProtection="false">
      <alignment horizontal="general" vertical="center" textRotation="0" wrapText="false" indent="0" shrinkToFit="false"/>
      <protection locked="true" hidden="false"/>
    </xf>
    <xf numFmtId="182" fontId="95" fillId="17" borderId="47" xfId="0" applyFont="true" applyBorder="true" applyAlignment="true" applyProtection="false">
      <alignment horizontal="general" vertical="center" textRotation="0" wrapText="false" indent="0" shrinkToFit="false"/>
      <protection locked="true" hidden="false"/>
    </xf>
    <xf numFmtId="164" fontId="78" fillId="17" borderId="47" xfId="20" applyFont="true" applyBorder="true" applyAlignment="true" applyProtection="false">
      <alignment horizontal="general" vertical="center" textRotation="0" wrapText="false" indent="0" shrinkToFit="false"/>
      <protection locked="true" hidden="false"/>
    </xf>
    <xf numFmtId="164" fontId="93" fillId="17" borderId="47" xfId="0" applyFont="true" applyBorder="true" applyAlignment="true" applyProtection="false">
      <alignment horizontal="right" vertical="center" textRotation="0" wrapText="false" indent="0" shrinkToFit="false"/>
      <protection locked="true" hidden="false"/>
    </xf>
    <xf numFmtId="164" fontId="93" fillId="17" borderId="47" xfId="0" applyFont="true" applyBorder="true" applyAlignment="true" applyProtection="false">
      <alignment horizontal="general" vertical="center" textRotation="0" wrapText="false" indent="0" shrinkToFit="false"/>
      <protection locked="true" hidden="false"/>
    </xf>
    <xf numFmtId="186" fontId="96" fillId="17" borderId="47" xfId="0" applyFont="true" applyBorder="true" applyAlignment="true" applyProtection="false">
      <alignment horizontal="right" vertical="center" textRotation="0" wrapText="false" indent="0" shrinkToFit="false"/>
      <protection locked="true" hidden="false"/>
    </xf>
    <xf numFmtId="164" fontId="94" fillId="17" borderId="47" xfId="0" applyFont="true" applyBorder="true" applyAlignment="true" applyProtection="false">
      <alignment horizontal="general" vertical="center" textRotation="0" wrapText="true" indent="0" shrinkToFit="false"/>
      <protection locked="true" hidden="false"/>
    </xf>
    <xf numFmtId="164" fontId="95" fillId="0" borderId="72" xfId="0" applyFont="true" applyBorder="true" applyAlignment="true" applyProtection="false">
      <alignment horizontal="general" vertical="center" textRotation="0" wrapText="false" indent="0" shrinkToFit="false"/>
      <protection locked="true" hidden="false"/>
    </xf>
    <xf numFmtId="164" fontId="95" fillId="0" borderId="47" xfId="0" applyFont="true" applyBorder="true" applyAlignment="true" applyProtection="false">
      <alignment horizontal="general" vertical="center" textRotation="0" wrapText="true" indent="0" shrinkToFit="false"/>
      <protection locked="true" hidden="false"/>
    </xf>
    <xf numFmtId="164" fontId="113" fillId="17" borderId="47" xfId="0" applyFont="true" applyBorder="true" applyAlignment="true" applyProtection="false">
      <alignment horizontal="left" vertical="center" textRotation="0" wrapText="true" indent="0" shrinkToFit="false"/>
      <protection locked="true" hidden="false"/>
    </xf>
    <xf numFmtId="164" fontId="95" fillId="0" borderId="47" xfId="0" applyFont="true" applyBorder="true" applyAlignment="true" applyProtection="false">
      <alignment horizontal="left" vertical="center" textRotation="0" wrapText="true" indent="0" shrinkToFit="false"/>
      <protection locked="true" hidden="false"/>
    </xf>
    <xf numFmtId="164" fontId="94" fillId="0" borderId="47" xfId="0" applyFont="true" applyBorder="true" applyAlignment="true" applyProtection="false">
      <alignment horizontal="left" vertical="center" textRotation="0" wrapText="false" indent="0" shrinkToFit="false"/>
      <protection locked="true" hidden="false"/>
    </xf>
    <xf numFmtId="182" fontId="91" fillId="0" borderId="47" xfId="0" applyFont="true" applyBorder="true" applyAlignment="true" applyProtection="false">
      <alignment horizontal="general" vertical="center" textRotation="0" wrapText="false" indent="0" shrinkToFit="false"/>
      <protection locked="true" hidden="false"/>
    </xf>
    <xf numFmtId="164" fontId="116" fillId="0" borderId="47" xfId="0" applyFont="true" applyBorder="true" applyAlignment="true" applyProtection="false">
      <alignment horizontal="center" vertical="center" textRotation="0" wrapText="false" indent="0" shrinkToFit="false"/>
      <protection locked="true" hidden="false"/>
    </xf>
    <xf numFmtId="169" fontId="98" fillId="0" borderId="47" xfId="0" applyFont="true" applyBorder="true" applyAlignment="true" applyProtection="false">
      <alignment horizontal="center" vertical="center" textRotation="0" wrapText="false" indent="0" shrinkToFit="false"/>
      <protection locked="true" hidden="false"/>
    </xf>
    <xf numFmtId="164" fontId="53" fillId="0" borderId="47" xfId="0" applyFont="true" applyBorder="true" applyAlignment="true" applyProtection="false">
      <alignment horizontal="general" vertical="center" textRotation="0" wrapText="true" indent="0" shrinkToFit="false"/>
      <protection locked="true" hidden="false"/>
    </xf>
    <xf numFmtId="164" fontId="118" fillId="0" borderId="47" xfId="0" applyFont="true" applyBorder="true" applyAlignment="true" applyProtection="false">
      <alignment horizontal="center" vertical="center" textRotation="0" wrapText="true" indent="0" shrinkToFit="false"/>
      <protection locked="true" hidden="false"/>
    </xf>
    <xf numFmtId="164" fontId="38" fillId="0" borderId="47" xfId="0" applyFont="true" applyBorder="true" applyAlignment="true" applyProtection="false">
      <alignment horizontal="general" vertical="center" textRotation="0" wrapText="true" indent="0" shrinkToFit="false"/>
      <protection locked="true" hidden="false"/>
    </xf>
    <xf numFmtId="164" fontId="99" fillId="0" borderId="47" xfId="0" applyFont="true" applyBorder="true" applyAlignment="true" applyProtection="false">
      <alignment horizontal="general" vertical="center" textRotation="0" wrapText="false" indent="0" shrinkToFit="false"/>
      <protection locked="true" hidden="false"/>
    </xf>
    <xf numFmtId="164" fontId="116" fillId="0" borderId="47" xfId="0" applyFont="true" applyBorder="true" applyAlignment="true" applyProtection="false">
      <alignment horizontal="left" vertical="center" textRotation="0" wrapText="false" indent="0" shrinkToFit="false"/>
      <protection locked="true" hidden="false"/>
    </xf>
    <xf numFmtId="164" fontId="38" fillId="0" borderId="0" xfId="0" applyFont="true" applyBorder="false" applyAlignment="true" applyProtection="false">
      <alignment horizontal="general" vertical="center" textRotation="0" wrapText="true" indent="0" shrinkToFit="false"/>
      <protection locked="true" hidden="false"/>
    </xf>
    <xf numFmtId="182" fontId="95" fillId="0" borderId="0" xfId="0" applyFont="true" applyBorder="false" applyAlignment="true" applyProtection="false">
      <alignment horizontal="general" vertical="center" textRotation="0" wrapText="false" indent="0" shrinkToFit="false"/>
      <protection locked="true" hidden="false"/>
    </xf>
    <xf numFmtId="164" fontId="94" fillId="0" borderId="47" xfId="0" applyFont="true" applyBorder="true" applyAlignment="true" applyProtection="false">
      <alignment horizontal="right" vertical="center" textRotation="0" wrapText="false" indent="0" shrinkToFit="false"/>
      <protection locked="true" hidden="false"/>
    </xf>
    <xf numFmtId="182" fontId="38" fillId="0" borderId="47" xfId="0" applyFont="true" applyBorder="true" applyAlignment="true" applyProtection="false">
      <alignment horizontal="general" vertical="center" textRotation="0" wrapText="false" indent="0" shrinkToFit="false"/>
      <protection locked="true" hidden="false"/>
    </xf>
    <xf numFmtId="164" fontId="121" fillId="0" borderId="0" xfId="0" applyFont="true" applyBorder="false" applyAlignment="true" applyProtection="false">
      <alignment horizontal="general" vertical="center" textRotation="0" wrapText="false" indent="0" shrinkToFit="false"/>
      <protection locked="true" hidden="false"/>
    </xf>
    <xf numFmtId="188" fontId="99" fillId="0" borderId="47" xfId="0" applyFont="true" applyBorder="true" applyAlignment="true" applyProtection="false">
      <alignment horizontal="general" vertical="center" textRotation="0" wrapText="false" indent="0" shrinkToFit="false"/>
      <protection locked="true" hidden="false"/>
    </xf>
    <xf numFmtId="169" fontId="94" fillId="0" borderId="47" xfId="0" applyFont="true" applyBorder="true" applyAlignment="true" applyProtection="false">
      <alignment horizontal="right" vertical="center" textRotation="0" wrapText="false" indent="0" shrinkToFit="false"/>
      <protection locked="true" hidden="false"/>
    </xf>
    <xf numFmtId="164" fontId="105" fillId="0" borderId="47" xfId="0" applyFont="true" applyBorder="true" applyAlignment="true" applyProtection="false">
      <alignment horizontal="center" vertical="center" textRotation="0" wrapText="false" indent="0" shrinkToFit="false"/>
      <protection locked="true" hidden="false"/>
    </xf>
    <xf numFmtId="164" fontId="124" fillId="0" borderId="47" xfId="20" applyFont="true" applyBorder="true" applyAlignment="true" applyProtection="false">
      <alignment horizontal="general" vertical="center" textRotation="0" wrapText="false" indent="0" shrinkToFit="false"/>
      <protection locked="true" hidden="false"/>
    </xf>
    <xf numFmtId="164" fontId="125" fillId="0" borderId="47" xfId="20" applyFont="true" applyBorder="true" applyAlignment="true" applyProtection="false">
      <alignment horizontal="general" vertical="center" textRotation="0" wrapText="false" indent="0" shrinkToFit="false"/>
      <protection locked="true" hidden="false"/>
    </xf>
    <xf numFmtId="164" fontId="99" fillId="0" borderId="47" xfId="0" applyFont="true" applyBorder="true" applyAlignment="true" applyProtection="false">
      <alignment horizontal="left" vertical="top" textRotation="0" wrapText="true" indent="0" shrinkToFit="false"/>
      <protection locked="true" hidden="false"/>
    </xf>
    <xf numFmtId="164" fontId="126" fillId="0" borderId="0" xfId="0" applyFont="true" applyBorder="false" applyAlignment="true" applyProtection="false">
      <alignment horizontal="general" vertical="center" textRotation="0" wrapText="false" indent="0" shrinkToFit="false"/>
      <protection locked="true" hidden="false"/>
    </xf>
    <xf numFmtId="172" fontId="38" fillId="0" borderId="47" xfId="0" applyFont="true" applyBorder="true" applyAlignment="true" applyProtection="false">
      <alignment horizontal="center" vertical="center" textRotation="0" wrapText="false" indent="0" shrinkToFit="false"/>
      <protection locked="true" hidden="false"/>
    </xf>
    <xf numFmtId="164" fontId="95" fillId="0" borderId="47" xfId="0" applyFont="true" applyBorder="true" applyAlignment="true" applyProtection="false">
      <alignment horizontal="right" vertical="center" textRotation="0" wrapText="false" indent="0" shrinkToFit="false"/>
      <protection locked="true" hidden="false"/>
    </xf>
    <xf numFmtId="172" fontId="95" fillId="0" borderId="47" xfId="0" applyFont="true" applyBorder="true" applyAlignment="true" applyProtection="false">
      <alignment horizontal="general" vertical="center" textRotation="0" wrapText="false" indent="0" shrinkToFit="false"/>
      <protection locked="true" hidden="false"/>
    </xf>
    <xf numFmtId="164" fontId="129" fillId="0" borderId="47" xfId="0" applyFont="true" applyBorder="true" applyAlignment="true" applyProtection="false">
      <alignment horizontal="general" vertical="center" textRotation="0" wrapText="false" indent="0" shrinkToFit="false"/>
      <protection locked="true" hidden="false"/>
    </xf>
    <xf numFmtId="164" fontId="129" fillId="0" borderId="0" xfId="0" applyFont="true" applyBorder="false" applyAlignment="true" applyProtection="false">
      <alignment horizontal="general" vertical="center" textRotation="0" wrapText="false" indent="0" shrinkToFit="false"/>
      <protection locked="true" hidden="false"/>
    </xf>
    <xf numFmtId="164" fontId="86" fillId="23" borderId="0" xfId="0" applyFont="true" applyBorder="false" applyAlignment="true" applyProtection="false">
      <alignment horizontal="general" vertical="center" textRotation="0" wrapText="false" indent="0" shrinkToFit="false"/>
      <protection locked="true" hidden="false"/>
    </xf>
    <xf numFmtId="164" fontId="130" fillId="23" borderId="0" xfId="0" applyFont="true" applyBorder="false" applyAlignment="true" applyProtection="false">
      <alignment horizontal="general" vertical="center" textRotation="0" wrapText="false" indent="0" shrinkToFit="false"/>
      <protection locked="true" hidden="false"/>
    </xf>
    <xf numFmtId="164" fontId="97" fillId="0" borderId="47" xfId="0" applyFont="true" applyBorder="true" applyAlignment="true" applyProtection="false">
      <alignment horizontal="left" vertical="center" textRotation="0" wrapText="false" indent="0" shrinkToFit="false"/>
      <protection locked="true" hidden="false"/>
    </xf>
    <xf numFmtId="165" fontId="95" fillId="0" borderId="47" xfId="0" applyFont="true" applyBorder="true" applyAlignment="true" applyProtection="false">
      <alignment horizontal="general" vertical="center" textRotation="0" wrapText="false" indent="0" shrinkToFit="false"/>
      <protection locked="true" hidden="false"/>
    </xf>
    <xf numFmtId="165" fontId="93" fillId="0" borderId="47" xfId="0" applyFont="true" applyBorder="true" applyAlignment="true" applyProtection="false">
      <alignment horizontal="general" vertical="center" textRotation="0" wrapText="false" indent="0" shrinkToFit="false"/>
      <protection locked="true" hidden="false"/>
    </xf>
    <xf numFmtId="172" fontId="105" fillId="0" borderId="47" xfId="0" applyFont="true" applyBorder="true" applyAlignment="true" applyProtection="false">
      <alignment horizontal="general" vertical="center" textRotation="0" wrapText="false" indent="0" shrinkToFit="false"/>
      <protection locked="true" hidden="false"/>
    </xf>
    <xf numFmtId="164" fontId="131" fillId="0" borderId="47" xfId="0" applyFont="true" applyBorder="true" applyAlignment="true" applyProtection="false">
      <alignment horizontal="center" vertical="center" textRotation="0" wrapText="false" indent="0" shrinkToFit="false"/>
      <protection locked="true" hidden="false"/>
    </xf>
    <xf numFmtId="164" fontId="132" fillId="0" borderId="47" xfId="0" applyFont="true" applyBorder="true" applyAlignment="true" applyProtection="false">
      <alignment horizontal="general" vertical="center" textRotation="0" wrapText="false" indent="0" shrinkToFit="false"/>
      <protection locked="true" hidden="false"/>
    </xf>
    <xf numFmtId="164" fontId="100" fillId="0" borderId="47" xfId="0" applyFont="true" applyBorder="true" applyAlignment="true" applyProtection="false">
      <alignment horizontal="general" vertical="center" textRotation="0" wrapText="true" indent="0" shrinkToFit="false"/>
      <protection locked="true" hidden="false"/>
    </xf>
    <xf numFmtId="172" fontId="86" fillId="0" borderId="47" xfId="0" applyFont="true" applyBorder="true" applyAlignment="true" applyProtection="false">
      <alignment horizontal="general" vertical="center" textRotation="0" wrapText="false" indent="0" shrinkToFit="false"/>
      <protection locked="true" hidden="false"/>
    </xf>
    <xf numFmtId="164" fontId="86" fillId="17" borderId="47" xfId="0" applyFont="true" applyBorder="true" applyAlignment="true" applyProtection="false">
      <alignment horizontal="center" vertical="center" textRotation="0" wrapText="false" indent="0" shrinkToFit="false"/>
      <protection locked="true" hidden="false"/>
    </xf>
    <xf numFmtId="164" fontId="88" fillId="17" borderId="47" xfId="0" applyFont="true" applyBorder="true" applyAlignment="true" applyProtection="false">
      <alignment horizontal="left" vertical="center" textRotation="0" wrapText="false" indent="0" shrinkToFit="false"/>
      <protection locked="true" hidden="false"/>
    </xf>
    <xf numFmtId="164" fontId="88" fillId="17" borderId="47" xfId="0" applyFont="true" applyBorder="true" applyAlignment="true" applyProtection="false">
      <alignment horizontal="general" vertical="center" textRotation="0" wrapText="false" indent="0" shrinkToFit="false"/>
      <protection locked="true" hidden="false"/>
    </xf>
    <xf numFmtId="164" fontId="91" fillId="17" borderId="47" xfId="0" applyFont="true" applyBorder="true" applyAlignment="true" applyProtection="false">
      <alignment horizontal="general" vertical="center" textRotation="0" wrapText="false" indent="0" shrinkToFit="false"/>
      <protection locked="true" hidden="false"/>
    </xf>
    <xf numFmtId="182" fontId="91" fillId="17" borderId="47" xfId="0" applyFont="true" applyBorder="true" applyAlignment="true" applyProtection="false">
      <alignment horizontal="general" vertical="center" textRotation="0" wrapText="false" indent="0" shrinkToFit="false"/>
      <protection locked="true" hidden="false"/>
    </xf>
    <xf numFmtId="164" fontId="86" fillId="17" borderId="47" xfId="0" applyFont="true" applyBorder="true" applyAlignment="true" applyProtection="false">
      <alignment horizontal="right" vertical="center" textRotation="0" wrapText="false" indent="0" shrinkToFit="false"/>
      <protection locked="true" hidden="false"/>
    </xf>
    <xf numFmtId="164" fontId="86" fillId="0" borderId="47" xfId="0" applyFont="true" applyBorder="true" applyAlignment="true" applyProtection="false">
      <alignment horizontal="right" vertical="center" textRotation="0" wrapText="false" indent="0" shrinkToFit="false"/>
      <protection locked="true" hidden="false"/>
    </xf>
    <xf numFmtId="164" fontId="86" fillId="17" borderId="47" xfId="0" applyFont="true" applyBorder="true" applyAlignment="true" applyProtection="false">
      <alignment horizontal="general" vertical="center" textRotation="0" wrapText="false" indent="0" shrinkToFit="false"/>
      <protection locked="true" hidden="false"/>
    </xf>
    <xf numFmtId="186" fontId="133" fillId="17" borderId="47" xfId="0" applyFont="true" applyBorder="true" applyAlignment="true" applyProtection="false">
      <alignment horizontal="right" vertical="center" textRotation="0" wrapText="false" indent="0" shrinkToFit="false"/>
      <protection locked="true" hidden="false"/>
    </xf>
    <xf numFmtId="164" fontId="134" fillId="17" borderId="47" xfId="0" applyFont="true" applyBorder="true" applyAlignment="true" applyProtection="false">
      <alignment horizontal="general" vertical="center" textRotation="0" wrapText="true" indent="0" shrinkToFit="false"/>
      <protection locked="true" hidden="false"/>
    </xf>
    <xf numFmtId="164" fontId="135" fillId="21" borderId="47" xfId="0" applyFont="true" applyBorder="true" applyAlignment="true" applyProtection="false">
      <alignment horizontal="center" vertical="center" textRotation="0" wrapText="false" indent="0" shrinkToFit="false"/>
      <protection locked="true" hidden="false"/>
    </xf>
    <xf numFmtId="164" fontId="136" fillId="22" borderId="47" xfId="0" applyFont="true" applyBorder="true" applyAlignment="true" applyProtection="false">
      <alignment horizontal="center" vertical="center" textRotation="0" wrapText="false" indent="0" shrinkToFit="false"/>
      <protection locked="true" hidden="false"/>
    </xf>
    <xf numFmtId="164" fontId="135" fillId="22" borderId="47" xfId="0" applyFont="true" applyBorder="true" applyAlignment="true" applyProtection="false">
      <alignment horizontal="center" vertical="center" textRotation="0" wrapText="false" indent="0" shrinkToFit="false"/>
      <protection locked="true" hidden="false"/>
    </xf>
    <xf numFmtId="164" fontId="134" fillId="17" borderId="47" xfId="0" applyFont="true" applyBorder="true" applyAlignment="true" applyProtection="false">
      <alignment horizontal="general" vertical="center" textRotation="0" wrapText="false" indent="0" shrinkToFit="false"/>
      <protection locked="true" hidden="false"/>
    </xf>
    <xf numFmtId="164" fontId="137" fillId="0" borderId="47" xfId="0" applyFont="true" applyBorder="true" applyAlignment="true" applyProtection="false">
      <alignment horizontal="general" vertical="center" textRotation="0" wrapText="false" indent="0" shrinkToFit="false"/>
      <protection locked="true" hidden="false"/>
    </xf>
    <xf numFmtId="164" fontId="138" fillId="0" borderId="47" xfId="0" applyFont="true" applyBorder="true" applyAlignment="true" applyProtection="false">
      <alignment horizontal="general" vertical="center" textRotation="0" wrapText="false" indent="0" shrinkToFit="false"/>
      <protection locked="true" hidden="false"/>
    </xf>
    <xf numFmtId="164" fontId="136" fillId="21" borderId="47" xfId="0" applyFont="true" applyBorder="true" applyAlignment="true" applyProtection="false">
      <alignment horizontal="center" vertical="center"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パーセント 2" xfId="21"/>
    <cellStyle name="桁区切り 2" xfId="22"/>
    <cellStyle name="標準 2" xfId="23"/>
    <cellStyle name="Excel Built-in Comma [0]" xfId="24"/>
    <cellStyle name="*unknown*" xfId="20" builtinId="8"/>
  </cellStyles>
  <dxfs count="15">
    <dxf>
      <fill>
        <patternFill>
          <bgColor rgb="FFFFD9D9"/>
        </patternFill>
      </fill>
    </dxf>
    <dxf>
      <fill>
        <patternFill>
          <bgColor rgb="FFFFE3C8"/>
        </patternFill>
      </fill>
    </dxf>
    <dxf>
      <fill>
        <patternFill>
          <bgColor rgb="FFFFFF00"/>
        </patternFill>
      </fill>
    </dxf>
    <dxf>
      <fill>
        <patternFill>
          <bgColor theme="0" tint="-0.35"/>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202124"/>
          <bgColor rgb="FF000000"/>
        </patternFill>
      </fill>
    </dxf>
    <dxf>
      <fill>
        <patternFill patternType="solid">
          <fgColor rgb="FF222222"/>
          <bgColor rgb="FF000000"/>
        </patternFill>
      </fill>
    </dxf>
    <dxf>
      <fill>
        <patternFill patternType="solid">
          <fgColor rgb="FF333333"/>
          <bgColor rgb="FF000000"/>
        </patternFill>
      </fill>
    </dxf>
    <dxf>
      <fill>
        <patternFill patternType="solid">
          <fgColor rgb="FF0563C1"/>
          <bgColor rgb="FF000000"/>
        </patternFill>
      </fill>
    </dxf>
    <dxf>
      <fill>
        <patternFill patternType="solid">
          <fgColor rgb="FFFFFFCC"/>
          <bgColor rgb="FF000000"/>
        </patternFill>
      </fill>
    </dxf>
    <dxf>
      <fill>
        <patternFill patternType="solid">
          <fgColor rgb="FFF8CBAD"/>
          <bgColor rgb="FF000000"/>
        </patternFill>
      </fill>
    </dxf>
    <dxf>
      <fill>
        <patternFill patternType="solid">
          <fgColor rgb="FFFFFF99"/>
          <bgColor rgb="FF000000"/>
        </patternFill>
      </fill>
    </dxf>
    <dxf>
      <border diagonalUp="false" diagonalDown="false">
        <left/>
        <right/>
        <top/>
        <bottom style="thin"/>
        <diagonal/>
      </border>
    </dxf>
  </dxfs>
  <colors>
    <indexedColors>
      <rgbColor rgb="FF000000"/>
      <rgbColor rgb="FFFFFFFF"/>
      <rgbColor rgb="FFFF0000"/>
      <rgbColor rgb="FF00FF00"/>
      <rgbColor rgb="FF0000FF"/>
      <rgbColor rgb="FFFFFF00"/>
      <rgbColor rgb="FFFF00FF"/>
      <rgbColor rgb="FFF2F2F2"/>
      <rgbColor rgb="FFC00000"/>
      <rgbColor rgb="FF008000"/>
      <rgbColor rgb="FF000080"/>
      <rgbColor rgb="FF548235"/>
      <rgbColor rgb="FF800080"/>
      <rgbColor rgb="FF1F6FB4"/>
      <rgbColor rgb="FFBFBFBF"/>
      <rgbColor rgb="FF888888"/>
      <rgbColor rgb="FFA6A6A6"/>
      <rgbColor rgb="FF666666"/>
      <rgbColor rgb="FFFFFFCC"/>
      <rgbColor rgb="FFDEEBF7"/>
      <rgbColor rgb="FF660066"/>
      <rgbColor rgb="FFDBDBDB"/>
      <rgbColor rgb="FF0563C1"/>
      <rgbColor rgb="FFD9D9D9"/>
      <rgbColor rgb="FF000080"/>
      <rgbColor rgb="FFFF00FF"/>
      <rgbColor rgb="FFFFF7CC"/>
      <rgbColor rgb="FF00FFFF"/>
      <rgbColor rgb="FF800080"/>
      <rgbColor rgb="FF800000"/>
      <rgbColor rgb="FF008080"/>
      <rgbColor rgb="FF0000FF"/>
      <rgbColor rgb="FF00CCFF"/>
      <rgbColor rgb="FFE8F0E8"/>
      <rgbColor rgb="FFE2F0D9"/>
      <rgbColor rgb="FFFFFF99"/>
      <rgbColor rgb="FFD9E2EC"/>
      <rgbColor rgb="FFFFD9D9"/>
      <rgbColor rgb="FFAAAAAA"/>
      <rgbColor rgb="FFF8CBAD"/>
      <rgbColor rgb="FF3366FF"/>
      <rgbColor rgb="FFEFEFEF"/>
      <rgbColor rgb="FFFFF2CC"/>
      <rgbColor rgb="FFFFE3C8"/>
      <rgbColor rgb="FFFDE8E8"/>
      <rgbColor rgb="FFF5F0E8"/>
      <rgbColor rgb="FF666699"/>
      <rgbColor rgb="FF999999"/>
      <rgbColor rgb="FF203864"/>
      <rgbColor rgb="FF909090"/>
      <rgbColor rgb="FF202124"/>
      <rgbColor rgb="FF222222"/>
      <rgbColor rgb="FFB4552A"/>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externalLink" Target="externalLinks/externalLink1.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2026&#24180;/5&#26376;/0522&#38442;&#24613;&#26481;&#26085;&#26412;_a/0522&#38442;&#24613;&#26481;&#26085;&#26412;&#12304;&#26032;&#12305;Booking%20Sheet.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Group List(営業入力用)"/>
      <sheetName val="New Booking Sheet"/>
      <sheetName val="FAX送付状"/>
      <sheetName val="プルダウン　リスト"/>
      <sheetName val="食事PKG"/>
      <sheetName val="----"/>
      <sheetName val="----2"/>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4.xml.rels><?xml version="1.0" encoding="UTF-8"?>
<Relationships xmlns="http://schemas.openxmlformats.org/package/2006/relationships"><Relationship Id="rId1" Type="http://schemas.openxmlformats.org/officeDocument/2006/relationships/hyperlink" Target="mailto:masaru.miyanaga@inpex.co.jp" TargetMode="External"/><Relationship Id="rId2" Type="http://schemas.openxmlformats.org/officeDocument/2006/relationships/hyperlink" Target="mailto:osteoimmunology.society@gmail.com" TargetMode="External"/><Relationship Id="rId3" Type="http://schemas.openxmlformats.org/officeDocument/2006/relationships/hyperlink" Target="mailto:office@air-atokyo.com" TargetMode="External"/><Relationship Id="rId4" Type="http://schemas.openxmlformats.org/officeDocument/2006/relationships/hyperlink" Target="mailto:mie.aoki@globis.co.jp" TargetMode="External"/><Relationship Id="rId5" Type="http://schemas.openxmlformats.org/officeDocument/2006/relationships/hyperlink" Target="mailto:mie.aoki@globis.co.jp" TargetMode="External"/><Relationship Id="rId6" Type="http://schemas.openxmlformats.org/officeDocument/2006/relationships/hyperlink" Target="mailto:mdroussin@voyagesgendron.com" TargetMode="External"/><Relationship Id="rId7" Type="http://schemas.openxmlformats.org/officeDocument/2006/relationships/hyperlink" Target="mailto:mie.aoki@globis.co.jp" TargetMode="External"/><Relationship Id="rId8" Type="http://schemas.openxmlformats.org/officeDocument/2006/relationships/hyperlink" Target="mailto:mie.aoki@globis.co.jp" TargetMode="External"/><Relationship Id="rId9" Type="http://schemas.openxmlformats.org/officeDocument/2006/relationships/hyperlink" Target="mailto:y.yoshida@fuyokkk.co.jp" TargetMode="External"/><Relationship Id="rId10" Type="http://schemas.openxmlformats.org/officeDocument/2006/relationships/hyperlink" Target="mailto:mail@powderskijapan.com" TargetMode="External"/><Relationship Id="rId11" Type="http://schemas.openxmlformats.org/officeDocument/2006/relationships/hyperlink" Target="mailto:t.yudan824@kntct.com" TargetMode="External"/><Relationship Id="rId12" Type="http://schemas.openxmlformats.org/officeDocument/2006/relationships/hyperlink" Target="mailto:info@ykt88.co.jp" TargetMode="External"/><Relationship Id="rId13" Type="http://schemas.openxmlformats.org/officeDocument/2006/relationships/hyperlink" Target="mailto:dai@japanpackage.com.au" TargetMode="External"/><Relationship Id="rId14" Type="http://schemas.openxmlformats.org/officeDocument/2006/relationships/hyperlink" Target="mailto:t_uchiya027@jtb.com" TargetMode="External"/><Relationship Id="rId15" Type="http://schemas.openxmlformats.org/officeDocument/2006/relationships/hyperlink" Target="mailto:mayumi@powderholidays.com" TargetMode="External"/><Relationship Id="rId16" Type="http://schemas.openxmlformats.org/officeDocument/2006/relationships/hyperlink" Target="mailto:myokotaiwan@gmail.com" TargetMode="External"/><Relationship Id="rId17" Type="http://schemas.openxmlformats.org/officeDocument/2006/relationships/hyperlink" Target="mailto:myokotaiwan@gmail.com" TargetMode="External"/><Relationship Id="rId18" Type="http://schemas.openxmlformats.org/officeDocument/2006/relationships/hyperlink" Target="mailto:bookings@japanspecialists.com" TargetMode="External"/><Relationship Id="rId19" Type="http://schemas.openxmlformats.org/officeDocument/2006/relationships/hyperlink" Target="mailto:edgar@mogulski.com.au" TargetMode="External"/><Relationship Id="rId20" Type="http://schemas.openxmlformats.org/officeDocument/2006/relationships/hyperlink" Target="mailto:aha261720@gmail.com" TargetMode="External"/><Relationship Id="rId21" Type="http://schemas.openxmlformats.org/officeDocument/2006/relationships/hyperlink" Target="mailto:jason@mogulski.com.au" TargetMode="External"/><Relationship Id="rId22" Type="http://schemas.openxmlformats.org/officeDocument/2006/relationships/hyperlink" Target="mailto:nick@differentsnow.com" TargetMode="External"/><Relationship Id="rId23" Type="http://schemas.openxmlformats.org/officeDocument/2006/relationships/hyperlink" Target="mailto:mika_kato@nta.co.jp" TargetMode="External"/><Relationship Id="rId24" Type="http://schemas.openxmlformats.org/officeDocument/2006/relationships/hyperlink" Target="mailto:kyo@tohokujapan.net" TargetMode="External"/><Relationship Id="rId25" Type="http://schemas.openxmlformats.org/officeDocument/2006/relationships/hyperlink" Target="mailto:partners@japan-dimension.com" TargetMode="External"/><Relationship Id="rId26" Type="http://schemas.openxmlformats.org/officeDocument/2006/relationships/hyperlink" Target="mailto:misa@kodotravel.com" TargetMode="External"/><Relationship Id="rId27" Type="http://schemas.openxmlformats.org/officeDocument/2006/relationships/hyperlink" Target="mailto:ema@wondertrunk.co" TargetMode="External"/><Relationship Id="rId28" Type="http://schemas.openxmlformats.org/officeDocument/2006/relationships/hyperlink" Target="mailto:bookings@japanspecialists.com" TargetMode="External"/><Relationship Id="rId29" Type="http://schemas.openxmlformats.org/officeDocument/2006/relationships/hyperlink" Target="mailto:naoki.washio@aon.com" TargetMode="External"/><Relationship Id="rId30" Type="http://schemas.openxmlformats.org/officeDocument/2006/relationships/hyperlink" Target="mailto:heima@yukinomori.com" TargetMode="External"/><Relationship Id="rId31" Type="http://schemas.openxmlformats.org/officeDocument/2006/relationships/hyperlink" Target="mailto:Jen@awayuki.com" TargetMode="External"/><Relationship Id="rId32" Type="http://schemas.openxmlformats.org/officeDocument/2006/relationships/hyperlink" Target="mailto:m_kometani068@jtb.com" TargetMode="External"/><Relationship Id="rId33" Type="http://schemas.openxmlformats.org/officeDocument/2006/relationships/hyperlink" Target="mailto:aoba_kawano@tobutoptours.co.jp" TargetMode="External"/><Relationship Id="rId34" Type="http://schemas.openxmlformats.org/officeDocument/2006/relationships/hyperlink" Target="mailto:sato@kubikikanko.com" TargetMode="External"/><Relationship Id="rId35" Type="http://schemas.openxmlformats.org/officeDocument/2006/relationships/hyperlink" Target="mailto:tateno@myoko-gt.com" TargetMode="External"/><Relationship Id="rId36" Type="http://schemas.openxmlformats.org/officeDocument/2006/relationships/hyperlink" Target="mailto:tateno@myoko-gt.com" TargetMode="External"/><Relationship Id="rId37" Type="http://schemas.openxmlformats.org/officeDocument/2006/relationships/hyperlink" Target="mailto:azusa_sumi@ic.nucba.ac.jp" TargetMode="External"/><Relationship Id="rId38" Type="http://schemas.openxmlformats.org/officeDocument/2006/relationships/hyperlink" Target="mailto:k.yokoyama692@kntct.com" TargetMode="External"/><Relationship Id="rId39" Type="http://schemas.openxmlformats.org/officeDocument/2006/relationships/hyperlink" Target="mailto:eri@pcg.ltd" TargetMode="External"/><Relationship Id="rId40" Type="http://schemas.openxmlformats.org/officeDocument/2006/relationships/hyperlink" Target="mailto:myokotaiwan@gmail.com" TargetMode="External"/><Relationship Id="rId41" Type="http://schemas.openxmlformats.org/officeDocument/2006/relationships/hyperlink" Target="mailto:myokotaiwan@gmail.com" TargetMode="External"/><Relationship Id="rId42" Type="http://schemas.openxmlformats.org/officeDocument/2006/relationships/hyperlink" Target="mailto:info@runaway.co.jp" TargetMode="External"/><Relationship Id="rId43" Type="http://schemas.openxmlformats.org/officeDocument/2006/relationships/hyperlink" Target="mailto:chizuru.mizutani@howmet.com" TargetMode="External"/><Relationship Id="rId44" Type="http://schemas.openxmlformats.org/officeDocument/2006/relationships/hyperlink" Target="mailto:yoshinori_nagaoka@nta.co.jp" TargetMode="External"/><Relationship Id="rId45" Type="http://schemas.openxmlformats.org/officeDocument/2006/relationships/hyperlink" Target="mailto:str-kk@nzm.jrnet.ne.jp" TargetMode="External"/><Relationship Id="rId46" Type="http://schemas.openxmlformats.org/officeDocument/2006/relationships/hyperlink" Target="mailto:karinahuang@liontravel.com" TargetMode="External"/><Relationship Id="rId47" Type="http://schemas.openxmlformats.org/officeDocument/2006/relationships/hyperlink" Target="mailto:karinahuang@liontravel.com" TargetMode="External"/><Relationship Id="rId48" Type="http://schemas.openxmlformats.org/officeDocument/2006/relationships/hyperlink" Target="mailto:ayumi@travelailand.com" TargetMode="External"/><Relationship Id="rId49" Type="http://schemas.openxmlformats.org/officeDocument/2006/relationships/hyperlink" Target="mailto:mika_kato@nta.co.jp" TargetMode="External"/><Relationship Id="rId50" Type="http://schemas.openxmlformats.org/officeDocument/2006/relationships/hyperlink" Target="mailto:syhyk0827@yahoo.co.jp" TargetMode="External"/><Relationship Id="rId51" Type="http://schemas.openxmlformats.org/officeDocument/2006/relationships/hyperlink" Target="mailto:office@air-atokyo.com" TargetMode="External"/><Relationship Id="rId52" Type="http://schemas.openxmlformats.org/officeDocument/2006/relationships/hyperlink" Target="mailto:jnc.dongmi@gmail.com" TargetMode="External"/><Relationship Id="rId53" Type="http://schemas.openxmlformats.org/officeDocument/2006/relationships/hyperlink" Target="mailto:okugaki59078@nissay.co.jp" TargetMode="External"/><Relationship Id="rId54" Type="http://schemas.openxmlformats.org/officeDocument/2006/relationships/hyperlink" Target="mailto:jnc.dongmi@gmail.com" TargetMode="External"/><Relationship Id="rId55" Type="http://schemas.openxmlformats.org/officeDocument/2006/relationships/hyperlink" Target="mailto:jnc.dongmi@gmail.com" TargetMode="External"/><Relationship Id="rId56" Type="http://schemas.openxmlformats.org/officeDocument/2006/relationships/hyperlink" Target="mailto:jnc.dongmi@gmail.com" TargetMode="External"/><Relationship Id="rId57" Type="http://schemas.openxmlformats.org/officeDocument/2006/relationships/hyperlink" Target="mailto:jnc.dongmi@gmail.com" TargetMode="External"/><Relationship Id="rId58" Type="http://schemas.openxmlformats.org/officeDocument/2006/relationships/hyperlink" Target="mailto:jnc.dongmi@gmail.com" TargetMode="External"/><Relationship Id="rId5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13"/>
    <col collapsed="false" customWidth="true" hidden="false" outlineLevel="0" max="4" min="4" style="1" width="9"/>
    <col collapsed="false" customWidth="true" hidden="false" outlineLevel="0" max="5" min="5" style="1" width="11"/>
  </cols>
  <sheetData>
    <row r="1" customFormat="false" ht="15" hidden="false" customHeight="false" outlineLevel="0" collapsed="false">
      <c r="A1" s="2" t="s">
        <v>0</v>
      </c>
      <c r="B1" s="2"/>
      <c r="C1" s="3" t="str">
        <f aca="false">IF(マスタ!I8="","(カレンダーURLはマスタシートI8へ)",HYPERLINK(マスタ!I8,"→ 共有カレンダーを開く"))</f>
        <v>(カレンダーURLはマスタシートI8へ)</v>
      </c>
      <c r="D1" s="3"/>
      <c r="E1" s="3"/>
    </row>
    <row r="2" customFormat="false" ht="15" hidden="false" customHeight="false" outlineLevel="0" collapsed="false">
      <c r="A2" s="4" t="str">
        <f aca="false">IF(COUNTBLANK(B14)+COUNTBLANK(B15)+COUNTBLANK(B18)+COUNTBLANK(B21)+COUNTBLANK(B50)+COUNTBLANK(B61)+COUNTBLANK(B82)=0,"✓ 必須項目はすべて入力済みです","未入力の必須項目(*): "&amp;(COUNTBLANK(B14)+COUNTBLANK(B15)+COUNTBLANK(B18)+COUNTBLANK(B21)+COUNTBLANK(B50)+COUNTBLANK(B61)+COUNTBLANK(B82))&amp;" 件")</f>
        <v>未入力の必須項目(*): 7 件</v>
      </c>
      <c r="B2" s="4"/>
      <c r="C2" s="4"/>
      <c r="D2" s="4"/>
      <c r="E2" s="4"/>
    </row>
    <row r="3" customFormat="false" ht="15" hidden="false" customHeight="false" outlineLevel="0" collapsed="false">
      <c r="A3" s="5" t="s">
        <v>1</v>
      </c>
      <c r="B3" s="5"/>
      <c r="C3" s="5"/>
      <c r="D3" s="5"/>
      <c r="E3" s="5"/>
    </row>
    <row r="4" customFormat="false" ht="15" hidden="false" customHeight="false" outlineLevel="0" collapsed="false">
      <c r="A4" s="6" t="s">
        <v>2</v>
      </c>
      <c r="B4" s="6"/>
      <c r="C4" s="6"/>
      <c r="D4" s="6"/>
      <c r="E4" s="6"/>
    </row>
    <row r="5" customFormat="false" ht="15" hidden="false" customHeight="false" outlineLevel="0" collapsed="false">
      <c r="A5" s="7" t="s">
        <v>3</v>
      </c>
      <c r="B5" s="8"/>
      <c r="C5" s="9" t="s">
        <v>4</v>
      </c>
      <c r="D5" s="9"/>
      <c r="E5" s="9"/>
    </row>
    <row r="6" customFormat="false" ht="15" hidden="false" customHeight="false" outlineLevel="0" collapsed="false">
      <c r="A6" s="7" t="s">
        <v>5</v>
      </c>
      <c r="B6" s="8"/>
      <c r="C6" s="9" t="s">
        <v>6</v>
      </c>
      <c r="D6" s="9"/>
      <c r="E6" s="9"/>
    </row>
    <row r="7" customFormat="false" ht="15" hidden="false" customHeight="false" outlineLevel="0" collapsed="false">
      <c r="A7" s="7" t="s">
        <v>7</v>
      </c>
      <c r="B7" s="8"/>
      <c r="C7" s="9" t="s">
        <v>8</v>
      </c>
      <c r="D7" s="9"/>
      <c r="E7" s="9"/>
    </row>
    <row r="8" customFormat="false" ht="15" hidden="false" customHeight="false" outlineLevel="0" collapsed="false">
      <c r="A8" s="7" t="s">
        <v>9</v>
      </c>
      <c r="B8" s="8"/>
      <c r="C8" s="9" t="s">
        <v>10</v>
      </c>
      <c r="D8" s="9"/>
      <c r="E8" s="9"/>
    </row>
    <row r="9" customFormat="false" ht="15" hidden="false" customHeight="false" outlineLevel="0" collapsed="false">
      <c r="A9" s="7" t="s">
        <v>11</v>
      </c>
      <c r="B9" s="8"/>
      <c r="C9" s="9" t="s">
        <v>12</v>
      </c>
      <c r="D9" s="9"/>
      <c r="E9" s="9"/>
    </row>
    <row r="10" customFormat="false" ht="15" hidden="false" customHeight="false" outlineLevel="0" collapsed="false">
      <c r="A10" s="7" t="s">
        <v>13</v>
      </c>
      <c r="B10" s="8"/>
      <c r="C10" s="9" t="s">
        <v>14</v>
      </c>
      <c r="D10" s="9"/>
      <c r="E10" s="9"/>
    </row>
    <row r="11" customFormat="false" ht="15" hidden="false" customHeight="false" outlineLevel="0" collapsed="false">
      <c r="A11" s="7" t="s">
        <v>15</v>
      </c>
      <c r="B11" s="8"/>
      <c r="C11" s="9" t="s">
        <v>16</v>
      </c>
      <c r="D11" s="9"/>
      <c r="E11" s="9"/>
    </row>
    <row r="12" customFormat="false" ht="15" hidden="false" customHeight="false" outlineLevel="0" collapsed="false">
      <c r="A12" s="7" t="s">
        <v>17</v>
      </c>
      <c r="B12" s="8"/>
      <c r="C12" s="9" t="s">
        <v>18</v>
      </c>
      <c r="D12" s="9"/>
      <c r="E12" s="9"/>
    </row>
    <row r="13" customFormat="false" ht="15" hidden="false" customHeight="false" outlineLevel="0" collapsed="false">
      <c r="A13" s="6" t="s">
        <v>19</v>
      </c>
      <c r="B13" s="6"/>
      <c r="C13" s="6"/>
      <c r="D13" s="6"/>
      <c r="E13" s="6"/>
    </row>
    <row r="14" customFormat="false" ht="15" hidden="false" customHeight="false" outlineLevel="0" collapsed="false">
      <c r="A14" s="7" t="s">
        <v>20</v>
      </c>
      <c r="B14" s="10"/>
      <c r="C14" s="9" t="s">
        <v>21</v>
      </c>
      <c r="D14" s="9"/>
      <c r="E14" s="9"/>
    </row>
    <row r="15" customFormat="false" ht="15" hidden="false" customHeight="false" outlineLevel="0" collapsed="false">
      <c r="A15" s="7" t="s">
        <v>22</v>
      </c>
      <c r="B15" s="10"/>
      <c r="C15" s="9" t="s">
        <v>23</v>
      </c>
      <c r="D15" s="9"/>
      <c r="E15" s="9"/>
    </row>
    <row r="16" customFormat="false" ht="15" hidden="false" customHeight="false" outlineLevel="0" collapsed="false">
      <c r="A16" s="7" t="s">
        <v>24</v>
      </c>
      <c r="B16" s="8"/>
      <c r="C16" s="9" t="s">
        <v>25</v>
      </c>
      <c r="D16" s="9"/>
      <c r="E16" s="9"/>
    </row>
    <row r="17" customFormat="false" ht="15" hidden="false" customHeight="false" outlineLevel="0" collapsed="false">
      <c r="A17" s="7" t="s">
        <v>26</v>
      </c>
      <c r="B17" s="8"/>
      <c r="C17" s="9" t="s">
        <v>27</v>
      </c>
      <c r="D17" s="9"/>
      <c r="E17" s="9"/>
    </row>
    <row r="18" customFormat="false" ht="15" hidden="false" customHeight="false" outlineLevel="0" collapsed="false">
      <c r="A18" s="7" t="s">
        <v>28</v>
      </c>
      <c r="B18" s="11"/>
      <c r="C18" s="9" t="s">
        <v>29</v>
      </c>
      <c r="D18" s="9"/>
      <c r="E18" s="9"/>
    </row>
    <row r="19" customFormat="false" ht="15" hidden="false" customHeight="false" outlineLevel="0" collapsed="false">
      <c r="A19" s="7" t="s">
        <v>30</v>
      </c>
      <c r="B19" s="8"/>
      <c r="C19" s="9" t="s">
        <v>31</v>
      </c>
      <c r="D19" s="9"/>
      <c r="E19" s="9"/>
    </row>
    <row r="20" customFormat="false" ht="15" hidden="false" customHeight="false" outlineLevel="0" collapsed="false">
      <c r="A20" s="6" t="s">
        <v>32</v>
      </c>
      <c r="B20" s="6"/>
      <c r="C20" s="6"/>
      <c r="D20" s="6"/>
      <c r="E20" s="6"/>
    </row>
    <row r="21" customFormat="false" ht="15" hidden="false" customHeight="false" outlineLevel="0" collapsed="false">
      <c r="A21" s="7" t="s">
        <v>33</v>
      </c>
      <c r="B21" s="12"/>
      <c r="C21" s="9" t="s">
        <v>34</v>
      </c>
      <c r="D21" s="9"/>
      <c r="E21" s="9"/>
    </row>
    <row r="22" customFormat="false" ht="15" hidden="false" customHeight="false" outlineLevel="0" collapsed="false">
      <c r="A22" s="7" t="s">
        <v>35</v>
      </c>
      <c r="B22" s="12"/>
      <c r="C22" s="9" t="s">
        <v>36</v>
      </c>
      <c r="D22" s="9"/>
      <c r="E22" s="9"/>
    </row>
    <row r="23" customFormat="false" ht="15" hidden="false" customHeight="false" outlineLevel="0" collapsed="false">
      <c r="A23" s="7" t="s">
        <v>37</v>
      </c>
      <c r="B23" s="12"/>
      <c r="C23" s="9" t="s">
        <v>38</v>
      </c>
      <c r="D23" s="9"/>
      <c r="E23" s="9"/>
    </row>
    <row r="24" customFormat="false" ht="15" hidden="false" customHeight="false" outlineLevel="0" collapsed="false">
      <c r="A24" s="7" t="s">
        <v>39</v>
      </c>
      <c r="B24" s="13" t="str">
        <f aca="false">IF(COUNT(B21,B22,B23)=0,"",N(B21)+N(B22)+N(B23))</f>
        <v/>
      </c>
      <c r="C24" s="9" t="s">
        <v>40</v>
      </c>
      <c r="D24" s="9"/>
      <c r="E24" s="9"/>
    </row>
    <row r="25" customFormat="false" ht="15" hidden="false" customHeight="false" outlineLevel="0" collapsed="false">
      <c r="A25" s="6" t="s">
        <v>41</v>
      </c>
      <c r="B25" s="6"/>
      <c r="C25" s="6"/>
      <c r="D25" s="6"/>
      <c r="E25" s="6"/>
    </row>
    <row r="26" customFormat="false" ht="15" hidden="false" customHeight="false" outlineLevel="0" collapsed="false">
      <c r="A26" s="7" t="s">
        <v>42</v>
      </c>
      <c r="B26" s="8"/>
      <c r="C26" s="9" t="s">
        <v>43</v>
      </c>
      <c r="D26" s="9"/>
      <c r="E26" s="9"/>
    </row>
    <row r="27" customFormat="false" ht="15" hidden="false" customHeight="false" outlineLevel="0" collapsed="false">
      <c r="A27" s="7" t="s">
        <v>44</v>
      </c>
      <c r="B27" s="8"/>
      <c r="C27" s="9" t="s">
        <v>45</v>
      </c>
      <c r="D27" s="9"/>
      <c r="E27" s="9"/>
    </row>
    <row r="28" customFormat="false" ht="15" hidden="false" customHeight="false" outlineLevel="0" collapsed="false">
      <c r="A28" s="7" t="s">
        <v>46</v>
      </c>
      <c r="B28" s="8"/>
      <c r="C28" s="9" t="s">
        <v>47</v>
      </c>
      <c r="D28" s="9"/>
      <c r="E28" s="9"/>
    </row>
    <row r="29" customFormat="false" ht="15" hidden="false" customHeight="false" outlineLevel="0" collapsed="false">
      <c r="A29" s="14" t="s">
        <v>48</v>
      </c>
      <c r="B29" s="14" t="s">
        <v>49</v>
      </c>
      <c r="C29" s="14" t="s">
        <v>50</v>
      </c>
      <c r="D29" s="14" t="s">
        <v>51</v>
      </c>
      <c r="E29" s="14" t="s">
        <v>52</v>
      </c>
    </row>
    <row r="30" customFormat="false" ht="15" hidden="false" customHeight="false" outlineLevel="0" collapsed="false">
      <c r="A30" s="15" t="s">
        <v>53</v>
      </c>
      <c r="B30" s="16" t="s">
        <v>54</v>
      </c>
      <c r="C30" s="16" t="s">
        <v>55</v>
      </c>
      <c r="D30" s="16" t="s">
        <v>56</v>
      </c>
      <c r="E30" s="16" t="s">
        <v>56</v>
      </c>
    </row>
    <row r="31" customFormat="false" ht="15" hidden="false" customHeight="false" outlineLevel="0" collapsed="false">
      <c r="A31" s="17"/>
      <c r="B31" s="18"/>
      <c r="C31" s="19"/>
      <c r="D31" s="20" t="str">
        <f aca="false">IF(OR(A31="",B14="",B15=""),"",B15-B14)</f>
        <v/>
      </c>
      <c r="E31" s="21" t="str">
        <f aca="false">IF(OR(A31="",COUNT(B31,C31,D31)&lt;3),"",B31*C31*D31)</f>
        <v/>
      </c>
    </row>
    <row r="32" customFormat="false" ht="15" hidden="false" customHeight="false" outlineLevel="0" collapsed="false">
      <c r="A32" s="17"/>
      <c r="B32" s="18"/>
      <c r="C32" s="19"/>
      <c r="D32" s="20" t="str">
        <f aca="false">IF(OR(A32="",B14="",B15=""),"",B15-B14)</f>
        <v/>
      </c>
      <c r="E32" s="21" t="str">
        <f aca="false">IF(OR(A32="",COUNT(B32,C32,D32)&lt;3),"",B32*C32*D32)</f>
        <v/>
      </c>
    </row>
    <row r="33" customFormat="false" ht="15" hidden="false" customHeight="false" outlineLevel="0" collapsed="false">
      <c r="A33" s="17"/>
      <c r="B33" s="18"/>
      <c r="C33" s="19"/>
      <c r="D33" s="20" t="str">
        <f aca="false">IF(OR(A33="",B14="",B15=""),"",B15-B14)</f>
        <v/>
      </c>
      <c r="E33" s="21" t="str">
        <f aca="false">IF(OR(A33="",COUNT(B33,C33,D33)&lt;3),"",B33*C33*D33)</f>
        <v/>
      </c>
    </row>
    <row r="34" customFormat="false" ht="15" hidden="false" customHeight="false" outlineLevel="0" collapsed="false">
      <c r="A34" s="17"/>
      <c r="B34" s="18"/>
      <c r="C34" s="19"/>
      <c r="D34" s="20" t="str">
        <f aca="false">IF(OR(A34="",B14="",B15=""),"",B15-B14)</f>
        <v/>
      </c>
      <c r="E34" s="21" t="str">
        <f aca="false">IF(OR(A34="",COUNT(B34,C34,D34)&lt;3),"",B34*C34*D34)</f>
        <v/>
      </c>
    </row>
    <row r="35" customFormat="false" ht="15" hidden="false" customHeight="false" outlineLevel="0" collapsed="false">
      <c r="A35" s="17"/>
      <c r="B35" s="18"/>
      <c r="C35" s="19"/>
      <c r="D35" s="20" t="str">
        <f aca="false">IF(OR(A35="",B14="",B15=""),"",B15-B14)</f>
        <v/>
      </c>
      <c r="E35" s="21" t="str">
        <f aca="false">IF(OR(A35="",COUNT(B35,C35,D35)&lt;3),"",B35*C35*D35)</f>
        <v/>
      </c>
    </row>
    <row r="36" customFormat="false" ht="15" hidden="false" customHeight="false" outlineLevel="0" collapsed="false">
      <c r="A36" s="17"/>
      <c r="B36" s="18"/>
      <c r="C36" s="19"/>
      <c r="D36" s="20" t="str">
        <f aca="false">IF(OR(A36="",B14="",B15=""),"",B15-B14)</f>
        <v/>
      </c>
      <c r="E36" s="21" t="str">
        <f aca="false">IF(OR(A36="",COUNT(B36,C36,D36)&lt;3),"",B36*C36*D36)</f>
        <v/>
      </c>
    </row>
    <row r="37" customFormat="false" ht="15" hidden="false" customHeight="false" outlineLevel="0" collapsed="false">
      <c r="A37" s="17"/>
      <c r="B37" s="18"/>
      <c r="C37" s="19"/>
      <c r="D37" s="20" t="str">
        <f aca="false">IF(OR(A37="",B14="",B15=""),"",B15-B14)</f>
        <v/>
      </c>
      <c r="E37" s="21" t="str">
        <f aca="false">IF(OR(A37="",COUNT(B37,C37,D37)&lt;3),"",B37*C37*D37)</f>
        <v/>
      </c>
    </row>
    <row r="38" customFormat="false" ht="15" hidden="false" customHeight="false" outlineLevel="0" collapsed="false">
      <c r="A38" s="17"/>
      <c r="B38" s="18"/>
      <c r="C38" s="19"/>
      <c r="D38" s="20" t="str">
        <f aca="false">IF(OR(A38="",B14="",B15=""),"",B15-B14)</f>
        <v/>
      </c>
      <c r="E38" s="21" t="str">
        <f aca="false">IF(OR(A38="",COUNT(B38,C38,D38)&lt;3),"",B38*C38*D38)</f>
        <v/>
      </c>
    </row>
    <row r="39" customFormat="false" ht="15" hidden="false" customHeight="false" outlineLevel="0" collapsed="false">
      <c r="A39" s="7" t="s">
        <v>57</v>
      </c>
      <c r="B39" s="22" t="n">
        <f aca="false">SUM(E31:E38)</f>
        <v>0</v>
      </c>
      <c r="C39" s="9" t="s">
        <v>58</v>
      </c>
      <c r="D39" s="9"/>
      <c r="E39" s="9"/>
    </row>
    <row r="40" customFormat="false" ht="15" hidden="false" customHeight="false" outlineLevel="0" collapsed="false">
      <c r="A40" s="7" t="s">
        <v>59</v>
      </c>
      <c r="B40" s="8"/>
      <c r="C40" s="9" t="s">
        <v>60</v>
      </c>
      <c r="D40" s="9"/>
      <c r="E40" s="9"/>
    </row>
    <row r="41" customFormat="false" ht="15" hidden="false" customHeight="false" outlineLevel="0" collapsed="false">
      <c r="A41" s="6" t="s">
        <v>61</v>
      </c>
      <c r="B41" s="6"/>
      <c r="C41" s="6"/>
      <c r="D41" s="6"/>
      <c r="E41" s="6"/>
    </row>
    <row r="42" customFormat="false" ht="15" hidden="false" customHeight="false" outlineLevel="0" collapsed="false">
      <c r="A42" s="14" t="s">
        <v>62</v>
      </c>
      <c r="B42" s="14" t="s">
        <v>63</v>
      </c>
      <c r="C42" s="14" t="s">
        <v>64</v>
      </c>
      <c r="D42" s="14" t="s">
        <v>65</v>
      </c>
      <c r="E42" s="14" t="s">
        <v>66</v>
      </c>
    </row>
    <row r="43" customFormat="false" ht="15" hidden="false" customHeight="false" outlineLevel="0" collapsed="false">
      <c r="A43" s="15"/>
      <c r="B43" s="23" t="s">
        <v>67</v>
      </c>
      <c r="C43" s="15" t="s">
        <v>68</v>
      </c>
      <c r="D43" s="16" t="s">
        <v>69</v>
      </c>
      <c r="E43" s="16" t="s">
        <v>70</v>
      </c>
    </row>
    <row r="44" customFormat="false" ht="15" hidden="false" customHeight="false" outlineLevel="0" collapsed="false">
      <c r="A44" s="24" t="str">
        <f aca="false">"1日目"&amp;IF(B14="","","("&amp;TEXT(B14+0,"m/d")&amp;")")&amp;" 朝食"</f>
        <v>1日目 朝食</v>
      </c>
      <c r="B44" s="17"/>
      <c r="C44" s="25"/>
      <c r="D44" s="25"/>
      <c r="E44" s="18"/>
    </row>
    <row r="45" customFormat="false" ht="15" hidden="false" customHeight="false" outlineLevel="0" collapsed="false">
      <c r="A45" s="24" t="str">
        <f aca="false">"1日目"&amp;IF(B14="","","("&amp;TEXT(B14+0,"m/d")&amp;")")&amp;" 夕食"</f>
        <v>1日目 夕食</v>
      </c>
      <c r="B45" s="17"/>
      <c r="C45" s="25"/>
      <c r="D45" s="25"/>
      <c r="E45" s="18"/>
    </row>
    <row r="46" customFormat="false" ht="15" hidden="false" customHeight="false" outlineLevel="0" collapsed="false">
      <c r="A46" s="24" t="str">
        <f aca="false">"2日目"&amp;IF(B14="","","("&amp;TEXT(B14+1,"m/d")&amp;")")&amp;" 朝食"</f>
        <v>2日目 朝食</v>
      </c>
      <c r="B46" s="17"/>
      <c r="C46" s="25"/>
      <c r="D46" s="25"/>
      <c r="E46" s="18"/>
    </row>
    <row r="47" customFormat="false" ht="15" hidden="false" customHeight="false" outlineLevel="0" collapsed="false">
      <c r="A47" s="24" t="str">
        <f aca="false">"2日目"&amp;IF(B14="","","("&amp;TEXT(B14+1,"m/d")&amp;")")&amp;" 夕食"</f>
        <v>2日目 夕食</v>
      </c>
      <c r="B47" s="17"/>
      <c r="C47" s="25"/>
      <c r="D47" s="25"/>
      <c r="E47" s="18"/>
    </row>
    <row r="48" customFormat="false" ht="15" hidden="false" customHeight="false" outlineLevel="0" collapsed="false">
      <c r="A48" s="24" t="str">
        <f aca="false">"3日目"&amp;IF(B14="","","("&amp;TEXT(B14+2,"m/d")&amp;")")&amp;" 朝食"</f>
        <v>3日目 朝食</v>
      </c>
      <c r="B48" s="17"/>
      <c r="C48" s="25"/>
      <c r="D48" s="25"/>
      <c r="E48" s="18"/>
    </row>
    <row r="49" customFormat="false" ht="15" hidden="false" customHeight="false" outlineLevel="0" collapsed="false">
      <c r="A49" s="24" t="str">
        <f aca="false">"3日目"&amp;IF(B14="","","("&amp;TEXT(B14+2,"m/d")&amp;")")&amp;" 夕食"</f>
        <v>3日目 夕食</v>
      </c>
      <c r="B49" s="17"/>
      <c r="C49" s="25"/>
      <c r="D49" s="25"/>
      <c r="E49" s="18"/>
    </row>
    <row r="50" customFormat="false" ht="15" hidden="false" customHeight="false" outlineLevel="0" collapsed="false">
      <c r="A50" s="7" t="s">
        <v>71</v>
      </c>
      <c r="B50" s="11"/>
      <c r="C50" s="9" t="s">
        <v>72</v>
      </c>
      <c r="D50" s="9"/>
      <c r="E50" s="9"/>
    </row>
    <row r="51" customFormat="false" ht="15" hidden="false" customHeight="false" outlineLevel="0" collapsed="false">
      <c r="A51" s="6" t="s">
        <v>73</v>
      </c>
      <c r="B51" s="6"/>
      <c r="C51" s="6"/>
      <c r="D51" s="6"/>
      <c r="E51" s="6"/>
    </row>
    <row r="52" customFormat="false" ht="15" hidden="false" customHeight="false" outlineLevel="0" collapsed="false">
      <c r="A52" s="7" t="s">
        <v>64</v>
      </c>
      <c r="B52" s="8"/>
      <c r="C52" s="9" t="s">
        <v>43</v>
      </c>
      <c r="D52" s="9"/>
      <c r="E52" s="9"/>
    </row>
    <row r="53" customFormat="false" ht="15" hidden="false" customHeight="false" outlineLevel="0" collapsed="false">
      <c r="A53" s="7" t="s">
        <v>74</v>
      </c>
      <c r="B53" s="8"/>
      <c r="C53" s="9" t="s">
        <v>75</v>
      </c>
      <c r="D53" s="9"/>
      <c r="E53" s="9"/>
    </row>
    <row r="54" customFormat="false" ht="15" hidden="false" customHeight="false" outlineLevel="0" collapsed="false">
      <c r="A54" s="7" t="s">
        <v>76</v>
      </c>
      <c r="B54" s="8"/>
      <c r="C54" s="9" t="s">
        <v>43</v>
      </c>
      <c r="D54" s="9"/>
      <c r="E54" s="9"/>
    </row>
    <row r="55" customFormat="false" ht="15" hidden="false" customHeight="false" outlineLevel="0" collapsed="false">
      <c r="A55" s="7" t="s">
        <v>77</v>
      </c>
      <c r="B55" s="8"/>
      <c r="C55" s="9" t="s">
        <v>78</v>
      </c>
      <c r="D55" s="9"/>
      <c r="E55" s="9"/>
    </row>
    <row r="56" customFormat="false" ht="15" hidden="false" customHeight="false" outlineLevel="0" collapsed="false">
      <c r="A56" s="7" t="s">
        <v>79</v>
      </c>
      <c r="B56" s="8"/>
      <c r="C56" s="9" t="s">
        <v>80</v>
      </c>
      <c r="D56" s="9"/>
      <c r="E56" s="9"/>
    </row>
    <row r="57" customFormat="false" ht="15" hidden="false" customHeight="false" outlineLevel="0" collapsed="false">
      <c r="A57" s="6" t="s">
        <v>81</v>
      </c>
      <c r="B57" s="6"/>
      <c r="C57" s="6"/>
      <c r="D57" s="6"/>
      <c r="E57" s="6"/>
    </row>
    <row r="58" customFormat="false" ht="15" hidden="false" customHeight="false" outlineLevel="0" collapsed="false">
      <c r="A58" s="7" t="s">
        <v>82</v>
      </c>
      <c r="B58" s="8"/>
      <c r="C58" s="9" t="s">
        <v>83</v>
      </c>
      <c r="D58" s="9"/>
      <c r="E58" s="9"/>
    </row>
    <row r="59" customFormat="false" ht="15" hidden="false" customHeight="false" outlineLevel="0" collapsed="false">
      <c r="A59" s="7" t="s">
        <v>84</v>
      </c>
      <c r="B59" s="8"/>
      <c r="C59" s="9" t="s">
        <v>85</v>
      </c>
      <c r="D59" s="9"/>
      <c r="E59" s="9"/>
    </row>
    <row r="60" customFormat="false" ht="15" hidden="false" customHeight="false" outlineLevel="0" collapsed="false">
      <c r="A60" s="6" t="s">
        <v>86</v>
      </c>
      <c r="B60" s="6"/>
      <c r="C60" s="6"/>
      <c r="D60" s="6"/>
      <c r="E60" s="6"/>
    </row>
    <row r="61" customFormat="false" ht="15" hidden="false" customHeight="false" outlineLevel="0" collapsed="false">
      <c r="A61" s="7" t="s">
        <v>87</v>
      </c>
      <c r="B61" s="8"/>
      <c r="C61" s="9" t="s">
        <v>43</v>
      </c>
      <c r="D61" s="9"/>
      <c r="E61" s="9"/>
    </row>
    <row r="62" customFormat="false" ht="15" hidden="false" customHeight="false" outlineLevel="0" collapsed="false">
      <c r="A62" s="7" t="s">
        <v>88</v>
      </c>
      <c r="B62" s="8"/>
      <c r="C62" s="9" t="s">
        <v>89</v>
      </c>
      <c r="D62" s="9"/>
      <c r="E62" s="9"/>
    </row>
    <row r="63" customFormat="false" ht="15" hidden="false" customHeight="false" outlineLevel="0" collapsed="false">
      <c r="A63" s="7" t="s">
        <v>90</v>
      </c>
      <c r="B63" s="10"/>
      <c r="C63" s="9" t="s">
        <v>91</v>
      </c>
      <c r="D63" s="9"/>
      <c r="E63" s="9"/>
    </row>
    <row r="64" customFormat="false" ht="15" hidden="false" customHeight="false" outlineLevel="0" collapsed="false">
      <c r="A64" s="7" t="s">
        <v>92</v>
      </c>
      <c r="B64" s="8"/>
      <c r="C64" s="9" t="s">
        <v>43</v>
      </c>
      <c r="D64" s="9"/>
      <c r="E64" s="9"/>
    </row>
    <row r="65" customFormat="false" ht="15" hidden="false" customHeight="false" outlineLevel="0" collapsed="false">
      <c r="A65" s="7" t="s">
        <v>93</v>
      </c>
      <c r="B65" s="8"/>
      <c r="C65" s="9" t="s">
        <v>94</v>
      </c>
      <c r="D65" s="9"/>
      <c r="E65" s="9"/>
    </row>
    <row r="66" customFormat="false" ht="15" hidden="false" customHeight="false" outlineLevel="0" collapsed="false">
      <c r="A66" s="6" t="s">
        <v>95</v>
      </c>
      <c r="B66" s="6"/>
      <c r="C66" s="6"/>
      <c r="D66" s="6"/>
      <c r="E66" s="6"/>
    </row>
    <row r="67" customFormat="false" ht="15" hidden="false" customHeight="false" outlineLevel="0" collapsed="false">
      <c r="A67" s="14" t="s">
        <v>96</v>
      </c>
      <c r="B67" s="14" t="s">
        <v>63</v>
      </c>
      <c r="C67" s="14" t="s">
        <v>97</v>
      </c>
      <c r="D67" s="14" t="s">
        <v>66</v>
      </c>
      <c r="E67" s="14" t="s">
        <v>98</v>
      </c>
    </row>
    <row r="68" customFormat="false" ht="15" hidden="false" customHeight="false" outlineLevel="0" collapsed="false">
      <c r="A68" s="15" t="s">
        <v>99</v>
      </c>
      <c r="B68" s="26" t="s">
        <v>100</v>
      </c>
      <c r="C68" s="16" t="s">
        <v>101</v>
      </c>
      <c r="D68" s="16" t="s">
        <v>70</v>
      </c>
      <c r="E68" s="15" t="s">
        <v>102</v>
      </c>
    </row>
    <row r="69" customFormat="false" ht="15" hidden="false" customHeight="false" outlineLevel="0" collapsed="false">
      <c r="A69" s="25"/>
      <c r="B69" s="17"/>
      <c r="C69" s="19"/>
      <c r="D69" s="18"/>
      <c r="E69" s="25"/>
    </row>
    <row r="70" customFormat="false" ht="15" hidden="false" customHeight="false" outlineLevel="0" collapsed="false">
      <c r="A70" s="25"/>
      <c r="B70" s="17"/>
      <c r="C70" s="19"/>
      <c r="D70" s="18"/>
      <c r="E70" s="25"/>
    </row>
    <row r="71" customFormat="false" ht="15" hidden="false" customHeight="false" outlineLevel="0" collapsed="false">
      <c r="A71" s="25"/>
      <c r="B71" s="17"/>
      <c r="C71" s="19"/>
      <c r="D71" s="18"/>
      <c r="E71" s="25"/>
    </row>
    <row r="72" customFormat="false" ht="15" hidden="false" customHeight="false" outlineLevel="0" collapsed="false">
      <c r="A72" s="25"/>
      <c r="B72" s="17"/>
      <c r="C72" s="19"/>
      <c r="D72" s="18"/>
      <c r="E72" s="25"/>
    </row>
    <row r="73" customFormat="false" ht="15" hidden="false" customHeight="false" outlineLevel="0" collapsed="false">
      <c r="A73" s="25"/>
      <c r="B73" s="17"/>
      <c r="C73" s="19"/>
      <c r="D73" s="18"/>
      <c r="E73" s="25"/>
    </row>
    <row r="74" customFormat="false" ht="15" hidden="false" customHeight="false" outlineLevel="0" collapsed="false">
      <c r="A74" s="25"/>
      <c r="B74" s="17"/>
      <c r="C74" s="19"/>
      <c r="D74" s="18"/>
      <c r="E74" s="25"/>
    </row>
    <row r="75" customFormat="false" ht="15" hidden="false" customHeight="false" outlineLevel="0" collapsed="false">
      <c r="A75" s="25"/>
      <c r="B75" s="17"/>
      <c r="C75" s="19"/>
      <c r="D75" s="18"/>
      <c r="E75" s="25"/>
    </row>
    <row r="76" customFormat="false" ht="15" hidden="false" customHeight="false" outlineLevel="0" collapsed="false">
      <c r="A76" s="25"/>
      <c r="B76" s="17"/>
      <c r="C76" s="19"/>
      <c r="D76" s="18"/>
      <c r="E76" s="25"/>
    </row>
    <row r="77" customFormat="false" ht="15" hidden="false" customHeight="false" outlineLevel="0" collapsed="false">
      <c r="A77" s="25"/>
      <c r="B77" s="17"/>
      <c r="C77" s="19"/>
      <c r="D77" s="18"/>
      <c r="E77" s="25"/>
    </row>
    <row r="78" customFormat="false" ht="15" hidden="false" customHeight="false" outlineLevel="0" collapsed="false">
      <c r="A78" s="25"/>
      <c r="B78" s="17"/>
      <c r="C78" s="19"/>
      <c r="D78" s="18"/>
      <c r="E78" s="25"/>
    </row>
    <row r="79" customFormat="false" ht="15" hidden="false" customHeight="false" outlineLevel="0" collapsed="false">
      <c r="A79" s="7" t="s">
        <v>103</v>
      </c>
      <c r="B79" s="27"/>
      <c r="C79" s="9" t="s">
        <v>104</v>
      </c>
      <c r="D79" s="9"/>
      <c r="E79" s="9"/>
    </row>
    <row r="80" customFormat="false" ht="15" hidden="false" customHeight="false" outlineLevel="0" collapsed="false">
      <c r="A80" s="7" t="s">
        <v>105</v>
      </c>
      <c r="B80" s="27"/>
      <c r="C80" s="9" t="s">
        <v>106</v>
      </c>
      <c r="D80" s="9"/>
      <c r="E80" s="9"/>
    </row>
    <row r="81" customFormat="false" ht="15" hidden="false" customHeight="false" outlineLevel="0" collapsed="false">
      <c r="A81" s="6" t="s">
        <v>107</v>
      </c>
      <c r="B81" s="6"/>
      <c r="C81" s="6"/>
      <c r="D81" s="6"/>
      <c r="E81" s="6"/>
    </row>
    <row r="82" customFormat="false" ht="15" hidden="false" customHeight="false" outlineLevel="0" collapsed="false">
      <c r="A82" s="7" t="s">
        <v>108</v>
      </c>
      <c r="B82" s="8"/>
      <c r="C82" s="9" t="s">
        <v>109</v>
      </c>
      <c r="D82" s="9"/>
      <c r="E82" s="9"/>
    </row>
    <row r="83" customFormat="false" ht="15" hidden="false" customHeight="false" outlineLevel="0" collapsed="false">
      <c r="A83" s="7" t="s">
        <v>110</v>
      </c>
      <c r="B83" s="8"/>
      <c r="C83" s="9" t="s">
        <v>111</v>
      </c>
      <c r="D83" s="9"/>
      <c r="E83" s="9"/>
    </row>
    <row r="84" customFormat="false" ht="15" hidden="false" customHeight="false" outlineLevel="0" collapsed="false">
      <c r="A84" s="7" t="s">
        <v>112</v>
      </c>
      <c r="B84" s="8"/>
      <c r="C84" s="9" t="s">
        <v>113</v>
      </c>
      <c r="D84" s="9"/>
      <c r="E84" s="9"/>
    </row>
    <row r="85" customFormat="false" ht="15" hidden="false" customHeight="false" outlineLevel="0" collapsed="false">
      <c r="A85" s="7" t="s">
        <v>114</v>
      </c>
      <c r="B85" s="8"/>
      <c r="C85" s="9" t="s">
        <v>115</v>
      </c>
      <c r="D85" s="9"/>
      <c r="E85" s="9"/>
    </row>
    <row r="86" customFormat="false" ht="15" hidden="false" customHeight="false" outlineLevel="0" collapsed="false">
      <c r="A86" s="7" t="s">
        <v>116</v>
      </c>
      <c r="B86" s="28" t="str">
        <f aca="false">IF(OR(B14="",B85=""),"",TEXT(B14,"mmdd")&amp;UPPER(B85)&amp;"01")</f>
        <v/>
      </c>
      <c r="C86" s="9" t="s">
        <v>117</v>
      </c>
      <c r="D86" s="9"/>
      <c r="E86" s="9"/>
    </row>
    <row r="87" customFormat="false" ht="15" hidden="false" customHeight="false" outlineLevel="0" collapsed="false">
      <c r="A87" s="7" t="s">
        <v>118</v>
      </c>
      <c r="B87" s="8"/>
      <c r="C87" s="9" t="s">
        <v>119</v>
      </c>
      <c r="D87" s="9"/>
      <c r="E87" s="9"/>
    </row>
    <row r="88" customFormat="false" ht="15" hidden="false" customHeight="false" outlineLevel="0" collapsed="false">
      <c r="A88" s="7" t="s">
        <v>120</v>
      </c>
      <c r="B88" s="10"/>
      <c r="C88" s="9" t="s">
        <v>121</v>
      </c>
      <c r="D88" s="9"/>
      <c r="E88" s="9"/>
    </row>
    <row r="89" customFormat="false" ht="15" hidden="false" customHeight="false" outlineLevel="0" collapsed="false">
      <c r="A89" s="7" t="s">
        <v>122</v>
      </c>
      <c r="B89" s="10"/>
      <c r="C89" s="9" t="s">
        <v>123</v>
      </c>
      <c r="D89" s="9"/>
      <c r="E89" s="9"/>
    </row>
    <row r="90" customFormat="false" ht="15" hidden="false" customHeight="false" outlineLevel="0" collapsed="false">
      <c r="A90" s="6" t="s">
        <v>124</v>
      </c>
      <c r="B90" s="6"/>
      <c r="C90" s="6"/>
      <c r="D90" s="6"/>
      <c r="E90" s="6"/>
    </row>
    <row r="91" customFormat="false" ht="15" hidden="false" customHeight="false" outlineLevel="0" collapsed="false">
      <c r="A91" s="29"/>
      <c r="B91" s="29"/>
      <c r="C91" s="29"/>
      <c r="D91" s="29"/>
      <c r="E91" s="29"/>
    </row>
    <row r="92" customFormat="false" ht="15" hidden="false" customHeight="false" outlineLevel="0" collapsed="false">
      <c r="A92" s="29"/>
      <c r="B92" s="29"/>
      <c r="C92" s="29"/>
      <c r="D92" s="29"/>
      <c r="E92" s="29"/>
    </row>
    <row r="93" customFormat="false" ht="15" hidden="false" customHeight="false" outlineLevel="0" collapsed="false">
      <c r="A93" s="29"/>
      <c r="B93" s="29"/>
      <c r="C93" s="29"/>
      <c r="D93" s="29"/>
      <c r="E93" s="29"/>
    </row>
    <row r="94" customFormat="false" ht="15" hidden="false" customHeight="false" outlineLevel="0" collapsed="false">
      <c r="A94" s="29"/>
      <c r="B94" s="29"/>
      <c r="C94" s="29"/>
      <c r="D94" s="29"/>
      <c r="E94" s="29"/>
    </row>
    <row r="95" customFormat="false" ht="15" hidden="false" customHeight="false" outlineLevel="0" collapsed="false">
      <c r="A95" s="29"/>
      <c r="B95" s="29"/>
      <c r="C95" s="29"/>
      <c r="D95" s="29"/>
      <c r="E95" s="29"/>
    </row>
    <row r="96" customFormat="false" ht="15" hidden="false" customHeight="false" outlineLevel="0" collapsed="false">
      <c r="A96" s="29"/>
      <c r="B96" s="29"/>
      <c r="C96" s="29"/>
      <c r="D96" s="29"/>
      <c r="E96" s="29"/>
    </row>
    <row r="97" customFormat="false" ht="15" hidden="false" customHeight="false" outlineLevel="0" collapsed="false">
      <c r="A97" s="29"/>
      <c r="B97" s="29"/>
      <c r="C97" s="29"/>
      <c r="D97" s="29"/>
      <c r="E97" s="29"/>
    </row>
    <row r="98" customFormat="false" ht="15" hidden="false" customHeight="false" outlineLevel="0" collapsed="false">
      <c r="A98" s="29"/>
      <c r="B98" s="29"/>
      <c r="C98" s="29"/>
      <c r="D98" s="29"/>
      <c r="E98" s="29"/>
    </row>
    <row r="100" customFormat="false" ht="15" hidden="false" customHeight="false" outlineLevel="0" collapsed="false">
      <c r="A100" s="30" t="s">
        <v>125</v>
      </c>
    </row>
    <row r="101" customFormat="false" ht="15" hidden="false" customHeight="false" outlineLevel="0" collapsed="false">
      <c r="A101" s="31" t="str">
        <f aca="false">IF(B82="","",B82)</f>
        <v/>
      </c>
      <c r="B101" s="31" t="str">
        <f aca="false">IF(B86="","",B86)</f>
        <v/>
      </c>
      <c r="C101" s="31" t="str">
        <f aca="false">IF(B61="","",B61)</f>
        <v/>
      </c>
      <c r="D101" s="31" t="str">
        <f aca="false">IF(B62="","",B62)</f>
        <v/>
      </c>
      <c r="E101" s="31" t="str">
        <f aca="false">IF(B14="","",B14)</f>
        <v/>
      </c>
      <c r="F101" s="31" t="str">
        <f aca="false">IF(B15="","",B15)</f>
        <v/>
      </c>
      <c r="G101" s="31"/>
      <c r="H101" s="31" t="str">
        <f aca="false">IF(B63="","",B63)</f>
        <v/>
      </c>
      <c r="I101" s="31"/>
      <c r="J101" s="31" t="str">
        <f aca="false">IF(B6="","",B6)</f>
        <v/>
      </c>
      <c r="K101" s="31" t="str">
        <f aca="false">IF(B8="","",B8)</f>
        <v/>
      </c>
      <c r="L101" s="31" t="str">
        <f aca="false">IF(B9="","",B9)</f>
        <v/>
      </c>
      <c r="M101" s="31" t="str">
        <f aca="false">IF(B24="","",B24)</f>
        <v/>
      </c>
      <c r="N101" s="31" t="str">
        <f aca="false">IF(B52="","",B52)</f>
        <v/>
      </c>
      <c r="O101" s="31" t="str">
        <f aca="false">IF(B83="","",B83)</f>
        <v/>
      </c>
    </row>
  </sheetData>
  <sheetProtection sheet="true"/>
  <mergeCells count="62">
    <mergeCell ref="A1:B1"/>
    <mergeCell ref="C1:E1"/>
    <mergeCell ref="A2:E2"/>
    <mergeCell ref="A3:E3"/>
    <mergeCell ref="A4:E4"/>
    <mergeCell ref="C5:E5"/>
    <mergeCell ref="C6:E6"/>
    <mergeCell ref="C7:E7"/>
    <mergeCell ref="C8:E8"/>
    <mergeCell ref="C9:E9"/>
    <mergeCell ref="C10:E10"/>
    <mergeCell ref="C11:E11"/>
    <mergeCell ref="C12:E12"/>
    <mergeCell ref="A13:E13"/>
    <mergeCell ref="C14:E14"/>
    <mergeCell ref="C15:E15"/>
    <mergeCell ref="C16:E16"/>
    <mergeCell ref="C17:E17"/>
    <mergeCell ref="C18:E18"/>
    <mergeCell ref="C19:E19"/>
    <mergeCell ref="A20:E20"/>
    <mergeCell ref="C21:E21"/>
    <mergeCell ref="C22:E22"/>
    <mergeCell ref="C23:E23"/>
    <mergeCell ref="C24:E24"/>
    <mergeCell ref="A25:E25"/>
    <mergeCell ref="C26:E26"/>
    <mergeCell ref="C27:E27"/>
    <mergeCell ref="C28:E28"/>
    <mergeCell ref="C39:E39"/>
    <mergeCell ref="C40:E40"/>
    <mergeCell ref="A41:E41"/>
    <mergeCell ref="C50:E50"/>
    <mergeCell ref="A51:E51"/>
    <mergeCell ref="C52:E52"/>
    <mergeCell ref="C53:E53"/>
    <mergeCell ref="C54:E54"/>
    <mergeCell ref="C55:E55"/>
    <mergeCell ref="C56:E56"/>
    <mergeCell ref="A57:E57"/>
    <mergeCell ref="C58:E58"/>
    <mergeCell ref="C59:E59"/>
    <mergeCell ref="A60:E60"/>
    <mergeCell ref="C61:E61"/>
    <mergeCell ref="C62:E62"/>
    <mergeCell ref="C63:E63"/>
    <mergeCell ref="C64:E64"/>
    <mergeCell ref="C65:E65"/>
    <mergeCell ref="A66:E66"/>
    <mergeCell ref="C79:E79"/>
    <mergeCell ref="C80:E80"/>
    <mergeCell ref="A81:E81"/>
    <mergeCell ref="C82:E82"/>
    <mergeCell ref="C83:E83"/>
    <mergeCell ref="C84:E84"/>
    <mergeCell ref="C85:E85"/>
    <mergeCell ref="C86:E86"/>
    <mergeCell ref="C87:E87"/>
    <mergeCell ref="C88:E88"/>
    <mergeCell ref="C89:E89"/>
    <mergeCell ref="A90:E90"/>
    <mergeCell ref="A91:E98"/>
  </mergeCells>
  <conditionalFormatting sqref="B14">
    <cfRule type="expression" priority="2" aboveAverage="0" equalAverage="0" bottom="0" percent="0" rank="0" text="" dxfId="0">
      <formula>ISBLANK(B14)</formula>
    </cfRule>
  </conditionalFormatting>
  <conditionalFormatting sqref="B15">
    <cfRule type="expression" priority="3" aboveAverage="0" equalAverage="0" bottom="0" percent="0" rank="0" text="" dxfId="0">
      <formula>ISBLANK(B15)</formula>
    </cfRule>
    <cfRule type="expression" priority="4" aboveAverage="0" equalAverage="0" bottom="0" percent="0" rank="0" text="" dxfId="0">
      <formula>AND($B14&lt;&gt;"",$B15&lt;&gt;"",$B15&lt;$B14)</formula>
    </cfRule>
  </conditionalFormatting>
  <conditionalFormatting sqref="B18">
    <cfRule type="expression" priority="5" aboveAverage="0" equalAverage="0" bottom="0" percent="0" rank="0" text="" dxfId="0">
      <formula>ISBLANK(B18)</formula>
    </cfRule>
  </conditionalFormatting>
  <conditionalFormatting sqref="B21">
    <cfRule type="expression" priority="6" aboveAverage="0" equalAverage="0" bottom="0" percent="0" rank="0" text="" dxfId="0">
      <formula>ISBLANK(B21)</formula>
    </cfRule>
  </conditionalFormatting>
  <conditionalFormatting sqref="B50">
    <cfRule type="expression" priority="7" aboveAverage="0" equalAverage="0" bottom="0" percent="0" rank="0" text="" dxfId="0">
      <formula>ISBLANK(B50)</formula>
    </cfRule>
  </conditionalFormatting>
  <conditionalFormatting sqref="B61">
    <cfRule type="expression" priority="8" aboveAverage="0" equalAverage="0" bottom="0" percent="0" rank="0" text="" dxfId="0">
      <formula>ISBLANK(B61)</formula>
    </cfRule>
  </conditionalFormatting>
  <conditionalFormatting sqref="B82">
    <cfRule type="expression" priority="9" aboveAverage="0" equalAverage="0" bottom="0" percent="0" rank="0" text="" dxfId="0">
      <formula>ISBLANK(B82)</formula>
    </cfRule>
  </conditionalFormatting>
  <conditionalFormatting sqref="B63">
    <cfRule type="expression" priority="10" aboveAverage="0" equalAverage="0" bottom="0" percent="0" rank="0" text="" dxfId="0">
      <formula>AND($B61="仮予約",ISBLANK($B63))</formula>
    </cfRule>
    <cfRule type="expression" priority="11" aboveAverage="0" equalAverage="0" bottom="0" percent="0" rank="0" text="" dxfId="1">
      <formula>AND($B61="仮予約",$B63&lt;&gt;"",$B63&lt;TODAY())</formula>
    </cfRule>
  </conditionalFormatting>
  <dataValidations count="13">
    <dataValidation allowBlank="true" error="▼ボタンからリストの値を選んでください(表記ゆれ防止のため)" errorStyle="stop" errorTitle="リストから選択" operator="between" showDropDown="false" showErrorMessage="true" showInputMessage="false" sqref="B18" type="list">
      <formula1>"なし,セールス立ち会い,支配人挨拶,その他(詳細に記入)"</formula1>
      <formula2>0</formula2>
    </dataValidation>
    <dataValidation allowBlank="true" error="▼ボタンからリストの値を選んでください(表記ゆれ防止のため)" errorStyle="stop" errorTitle="リストから選択" operator="between" showDropDown="false" showErrorMessage="true" showInputMessage="false" sqref="B61" type="list">
      <formula1>マスタ!$A$2:$A$8</formula1>
      <formula2>0</formula2>
    </dataValidation>
    <dataValidation allowBlank="true" error="▼ボタンからリストの値を選んでください(表記ゆれ防止のため)" errorStyle="stop" errorTitle="リストから選択" operator="between" showDropDown="false" showErrorMessage="true" showInputMessage="false" sqref="B64" type="list">
      <formula1>マスタ!$B$2:$B$5</formula1>
      <formula2>0</formula2>
    </dataValidation>
    <dataValidation allowBlank="true" error="▼ボタンからリストの値を選んでください(表記ゆれ防止のため)" errorStyle="stop" errorTitle="リストから選択" operator="between" showDropDown="false" showErrorMessage="true" showInputMessage="false" sqref="B26" type="list">
      <formula1>"宿泊あり,日帰り"</formula1>
      <formula2>0</formula2>
    </dataValidation>
    <dataValidation allowBlank="true" error="▼ボタンからリストの値を選んでください(表記ゆれ防止のため)" errorStyle="stop" errorTitle="リストから選択" operator="between" showDropDown="false" showErrorMessage="true" showInputMessage="false" sqref="B52" type="list">
      <formula1>マスタ!$C$2:$C$7</formula1>
      <formula2>0</formula2>
    </dataValidation>
    <dataValidation allowBlank="true" error="▼ボタンからリストの値を選んでください(表記ゆれ防止のため)" errorStyle="stop" errorTitle="リストから選択" operator="between" showDropDown="false" showErrorMessage="true" showInputMessage="false" sqref="B54" type="list">
      <formula1>マスタ!$D$2:$D$5</formula1>
      <formula2>0</formula2>
    </dataValidation>
    <dataValidation allowBlank="true" error="▼ボタンからリストの値を選んでください(表記ゆれ防止のため)" errorStyle="stop" errorTitle="リストから選択" operator="between" showDropDown="false" showErrorMessage="true" showInputMessage="false" sqref="B62" type="list">
      <formula1>マスタ!$G$2:$G$5</formula1>
      <formula2>0</formula2>
    </dataValidation>
    <dataValidation allowBlank="true" error="▼ボタンからリストの値を選んでください(表記ゆれ防止のため)" errorStyle="stop" errorTitle="リストから選択" operator="between" showDropDown="false" showErrorMessage="true" showInputMessage="false" sqref="B65" type="list">
      <formula1>"サ込税込,サ込税別,税サ別"</formula1>
      <formula2>0</formula2>
    </dataValidation>
    <dataValidation allowBlank="true" error="▼ボタンからリストの値を選んでください(表記ゆれ防止のため)" errorStyle="stop" errorTitle="リストから選択" operator="between" showDropDown="false" showErrorMessage="true" showInputMessage="false" sqref="A69:A78" type="list">
      <formula1>マスタ!$E$2:$E$6</formula1>
      <formula2>0</formula2>
    </dataValidation>
    <dataValidation allowBlank="true" error="▼ボタンからリストの値を選んでください(表記ゆれ防止のため)" errorStyle="stop" errorTitle="リストから選択" operator="between" showDropDown="false" showErrorMessage="true" showInputMessage="false" sqref="E69:E78" type="list">
      <formula1>マスタ!$F$2:$F$7</formula1>
      <formula2>0</formula2>
    </dataValidation>
    <dataValidation allowBlank="true" error="▼ボタンからリストの値を選んでください(表記ゆれ防止のため)" errorStyle="stop" errorTitle="リストから選択" operator="between" showDropDown="false" showErrorMessage="true" showInputMessage="false" sqref="A31:A38" type="list">
      <formula1>'プルダウン　リスト'!$A$3:$A$30</formula1>
      <formula2>0</formula2>
    </dataValidation>
    <dataValidation allowBlank="true" error="▼ボタンからリストの値を選んでください(表記ゆれ防止のため)" errorStyle="stop" errorTitle="リストから選択" operator="between" showDropDown="false" showErrorMessage="true" showInputMessage="false" sqref="C44:C49" type="list">
      <formula1>マスタ!$K$2:$K$5</formula1>
      <formula2>0</formula2>
    </dataValidation>
    <dataValidation allowBlank="true" error="▼ボタンからリストの値を選んでください(表記ゆれ防止のため)" errorStyle="stop" errorTitle="リストから選択" operator="between" showDropDown="false" showErrorMessage="true" showInputMessage="false" sqref="D44:D49" type="list">
      <formula1>マスタ!$J$2:$J$60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4" min="2" style="1" width="13"/>
    <col collapsed="false" customWidth="true" hidden="false" outlineLevel="0" max="5" min="5" style="1" width="11"/>
    <col collapsed="false" customWidth="true" hidden="false" outlineLevel="0" max="6" min="6" style="1" width="13"/>
    <col collapsed="false" customWidth="true" hidden="false" outlineLevel="0" max="7" min="7" style="1" width="15"/>
  </cols>
  <sheetData>
    <row r="1" customFormat="false" ht="15" hidden="false" customHeight="false" outlineLevel="0" collapsed="false">
      <c r="A1" s="32" t="s">
        <v>126</v>
      </c>
      <c r="B1" s="32"/>
      <c r="C1" s="32"/>
      <c r="D1" s="32"/>
      <c r="E1" s="33" t="s">
        <v>116</v>
      </c>
      <c r="F1" s="34" t="str">
        <f aca="false">IF(入力!B86="","",入力!B86)</f>
        <v/>
      </c>
      <c r="G1" s="34"/>
    </row>
    <row r="2" customFormat="false" ht="15" hidden="false" customHeight="false" outlineLevel="0" collapsed="false">
      <c r="A2" s="32"/>
      <c r="B2" s="32"/>
      <c r="C2" s="32"/>
      <c r="D2" s="32"/>
      <c r="E2" s="33" t="s">
        <v>127</v>
      </c>
      <c r="F2" s="35" t="str">
        <f aca="false">IF(入力!B82="","",入力!B82)</f>
        <v/>
      </c>
      <c r="G2" s="35"/>
    </row>
    <row r="3" customFormat="false" ht="15" hidden="false" customHeight="false" outlineLevel="0" collapsed="false">
      <c r="A3" s="7" t="s">
        <v>128</v>
      </c>
      <c r="B3" s="36" t="str">
        <f aca="false">IF(入力!B61="","",入力!B61)</f>
        <v/>
      </c>
      <c r="C3" s="36"/>
      <c r="D3" s="36"/>
      <c r="E3" s="7" t="s">
        <v>129</v>
      </c>
      <c r="F3" s="36" t="str">
        <f aca="false">IF(入力!B83="","",入力!B83)</f>
        <v/>
      </c>
      <c r="G3" s="36"/>
    </row>
    <row r="4" customFormat="false" ht="15" hidden="false" customHeight="false" outlineLevel="0" collapsed="false">
      <c r="A4" s="37" t="s">
        <v>130</v>
      </c>
      <c r="B4" s="37"/>
      <c r="C4" s="37"/>
      <c r="D4" s="37"/>
      <c r="E4" s="37"/>
      <c r="F4" s="37"/>
      <c r="G4" s="37"/>
    </row>
    <row r="5" customFormat="false" ht="15" hidden="false" customHeight="false" outlineLevel="0" collapsed="false">
      <c r="A5" s="7" t="s">
        <v>3</v>
      </c>
      <c r="B5" s="36" t="str">
        <f aca="false">IF(入力!B5="","",入力!B5)</f>
        <v/>
      </c>
      <c r="C5" s="36"/>
      <c r="D5" s="36"/>
      <c r="E5" s="7" t="s">
        <v>131</v>
      </c>
      <c r="F5" s="36" t="str">
        <f aca="false">IF(入力!B14="","",TEXT(入力!B14,"m/d")&amp;" 〜 "&amp;IF(入力!B15="","",TEXT(入力!B15,"m/d")))</f>
        <v/>
      </c>
      <c r="G5" s="36"/>
    </row>
    <row r="6" customFormat="false" ht="15" hidden="false" customHeight="false" outlineLevel="0" collapsed="false">
      <c r="A6" s="7" t="s">
        <v>5</v>
      </c>
      <c r="B6" s="36" t="str">
        <f aca="false">IF(入力!B6="","",入力!B6)</f>
        <v/>
      </c>
      <c r="C6" s="36"/>
      <c r="D6" s="36"/>
      <c r="E6" s="7" t="s">
        <v>132</v>
      </c>
      <c r="F6" s="36" t="str">
        <f aca="false">IF(入力!B24="","",入力!B24&amp;"名(大人"&amp;N(入力!B21)&amp;"・子供"&amp;N(入力!B22)&amp;"・添乗員"&amp;N(入力!B23)&amp;")")</f>
        <v/>
      </c>
      <c r="G6" s="36"/>
    </row>
    <row r="7" customFormat="false" ht="15" hidden="false" customHeight="false" outlineLevel="0" collapsed="false">
      <c r="A7" s="7" t="s">
        <v>7</v>
      </c>
      <c r="B7" s="36" t="str">
        <f aca="false">IF(入力!B7="","",入力!B7)</f>
        <v/>
      </c>
      <c r="C7" s="36"/>
      <c r="D7" s="36"/>
      <c r="E7" s="7" t="s">
        <v>133</v>
      </c>
      <c r="F7" s="36" t="str">
        <f aca="false">IF(入力!B16="","",入力!B16)</f>
        <v/>
      </c>
      <c r="G7" s="36"/>
    </row>
    <row r="8" customFormat="false" ht="15" hidden="false" customHeight="false" outlineLevel="0" collapsed="false">
      <c r="A8" s="7" t="s">
        <v>9</v>
      </c>
      <c r="B8" s="36" t="str">
        <f aca="false">IF(入力!B8="","",入力!B8)</f>
        <v/>
      </c>
      <c r="C8" s="36"/>
      <c r="D8" s="36"/>
      <c r="E8" s="7" t="s">
        <v>134</v>
      </c>
      <c r="F8" s="36" t="str">
        <f aca="false">IF(入力!B17="","",入力!B17)</f>
        <v/>
      </c>
      <c r="G8" s="36"/>
    </row>
    <row r="9" customFormat="false" ht="15" hidden="false" customHeight="false" outlineLevel="0" collapsed="false">
      <c r="A9" s="7" t="s">
        <v>135</v>
      </c>
      <c r="B9" s="36" t="str">
        <f aca="false">IF(入力!B10="","",入力!B10)</f>
        <v/>
      </c>
      <c r="C9" s="36"/>
      <c r="D9" s="36"/>
      <c r="E9" s="7" t="s">
        <v>136</v>
      </c>
      <c r="F9" s="36" t="str">
        <f aca="false">IF(入力!B64="","",入力!B64)</f>
        <v/>
      </c>
      <c r="G9" s="36"/>
    </row>
    <row r="10" customFormat="false" ht="15" hidden="false" customHeight="false" outlineLevel="0" collapsed="false">
      <c r="A10" s="7" t="s">
        <v>137</v>
      </c>
      <c r="B10" s="36" t="str">
        <f aca="false">IF(入力!B12="","",入力!B12)</f>
        <v/>
      </c>
      <c r="C10" s="36"/>
      <c r="D10" s="36"/>
      <c r="E10" s="7" t="s">
        <v>138</v>
      </c>
      <c r="F10" s="36" t="str">
        <f aca="false">IF(入力!B9="","",入力!B9)</f>
        <v/>
      </c>
      <c r="G10" s="36"/>
    </row>
    <row r="11" customFormat="false" ht="15" hidden="false" customHeight="false" outlineLevel="0" collapsed="false">
      <c r="A11" s="7" t="s">
        <v>139</v>
      </c>
      <c r="B11" s="36" t="str">
        <f aca="false">IF(入力!B62="","",入力!B62)&amp;IF(入力!B63="",""," / 仮予約期限: "&amp;TEXT(入力!B63,"m/d"))</f>
        <v/>
      </c>
      <c r="C11" s="36"/>
      <c r="D11" s="36"/>
      <c r="E11" s="7" t="s">
        <v>140</v>
      </c>
      <c r="F11" s="36" t="str">
        <f aca="false">IF(入力!B84="","",入力!B84)</f>
        <v/>
      </c>
      <c r="G11" s="36"/>
    </row>
    <row r="12" customFormat="false" ht="15" hidden="false" customHeight="false" outlineLevel="0" collapsed="false">
      <c r="A12" s="37" t="s">
        <v>141</v>
      </c>
      <c r="B12" s="37"/>
      <c r="C12" s="37"/>
      <c r="D12" s="37"/>
      <c r="E12" s="37"/>
      <c r="F12" s="37"/>
      <c r="G12" s="37"/>
    </row>
    <row r="13" customFormat="false" ht="15" hidden="false" customHeight="false" outlineLevel="0" collapsed="false">
      <c r="A13" s="7" t="s">
        <v>142</v>
      </c>
      <c r="B13" s="36" t="str">
        <f aca="false">_xlfn.TEXTJOIN("、",TRUE(),IF(入力!A31="","",入力!A31&amp;"×"&amp;入力!B31&amp;"室"),IF(入力!A32="","",入力!A32&amp;"×"&amp;入力!B32&amp;"室"),IF(入力!A33="","",入力!A33&amp;"×"&amp;入力!B33&amp;"室"),IF(入力!A34="","",入力!A34&amp;"×"&amp;入力!B34&amp;"室"),IF(入力!A35="","",入力!A35&amp;"×"&amp;入力!B35&amp;"室"),IF(入力!A36="","",入力!A36&amp;"×"&amp;入力!B36&amp;"室"),IF(入力!A37="","",入力!A37&amp;"×"&amp;入力!B37&amp;"室"),IF(入力!A38="","",入力!A38&amp;"×"&amp;入力!B38&amp;"室"))</f>
        <v/>
      </c>
      <c r="C13" s="36"/>
      <c r="D13" s="36"/>
      <c r="E13" s="38" t="s">
        <v>143</v>
      </c>
      <c r="F13" s="36" t="str">
        <f aca="false">IF(入力!B27="","",入力!B27)&amp;IF(入力!B28="",""," / "&amp;入力!B28)</f>
        <v/>
      </c>
      <c r="G13" s="36"/>
    </row>
    <row r="14" customFormat="false" ht="15" hidden="false" customHeight="false" outlineLevel="0" collapsed="false">
      <c r="A14" s="7" t="s">
        <v>59</v>
      </c>
      <c r="B14" s="36" t="str">
        <f aca="false">IF(入力!B40="","",入力!B40)</f>
        <v/>
      </c>
      <c r="C14" s="36"/>
      <c r="D14" s="36"/>
      <c r="E14" s="36"/>
      <c r="F14" s="36"/>
      <c r="G14" s="36"/>
    </row>
    <row r="15" customFormat="false" ht="14.15" hidden="false" customHeight="false" outlineLevel="0" collapsed="false">
      <c r="A15" s="37" t="s">
        <v>144</v>
      </c>
      <c r="B15" s="37"/>
      <c r="C15" s="37"/>
      <c r="D15" s="37"/>
      <c r="E15" s="37"/>
      <c r="F15" s="37"/>
      <c r="G15" s="37"/>
    </row>
    <row r="16" customFormat="false" ht="15" hidden="false" customHeight="false" outlineLevel="0" collapsed="false">
      <c r="A16" s="39" t="s">
        <v>145</v>
      </c>
      <c r="B16" s="40" t="str">
        <f aca="false">_xlfn.TEXTJOIN(CHAR(10),TRUE(),IF(AND(入力!B44="",入力!C44="",入力!D44=""),"",入力!A44&amp;"  "&amp;入力!D44&amp;"  "&amp;入力!C44&amp;"  "&amp;入力!B44&amp;IF(入力!E44="","","  "&amp;入力!E44&amp;"名")),IF(AND(入力!B45="",入力!C45="",入力!D45=""),"",入力!A45&amp;"  "&amp;入力!D45&amp;"  "&amp;入力!C45&amp;"  "&amp;入力!B45&amp;IF(入力!E45="","","  "&amp;入力!E45&amp;"名")),IF(AND(入力!B46="",入力!C46="",入力!D46=""),"",入力!A46&amp;"  "&amp;入力!D46&amp;"  "&amp;入力!C46&amp;"  "&amp;入力!B46&amp;IF(入力!E46="","","  "&amp;入力!E46&amp;"名")),IF(AND(入力!B47="",入力!C47="",入力!D47=""),"",入力!A47&amp;"  "&amp;入力!D47&amp;"  "&amp;入力!C47&amp;"  "&amp;入力!B47&amp;IF(入力!E47="","","  "&amp;入力!E47&amp;"名")),IF(AND(入力!B48="",入力!C48="",入力!D48=""),"",入力!A48&amp;"  "&amp;入力!D48&amp;"  "&amp;入力!C48&amp;"  "&amp;入力!B48&amp;IF(入力!E48="","","  "&amp;入力!E48&amp;"名")),IF(AND(入力!B49="",入力!C49="",入力!D49=""),"",入力!A49&amp;"  "&amp;入力!D49&amp;"  "&amp;入力!C49&amp;"  "&amp;入力!B49&amp;IF(入力!E49="","","  "&amp;入力!E49&amp;"名")))</f>
        <v/>
      </c>
      <c r="C16" s="40"/>
      <c r="D16" s="40"/>
      <c r="E16" s="40"/>
      <c r="F16" s="40"/>
      <c r="G16" s="40"/>
    </row>
    <row r="17" customFormat="false" ht="15" hidden="false" customHeight="false" outlineLevel="0" collapsed="false">
      <c r="A17" s="39"/>
      <c r="B17" s="39"/>
      <c r="C17" s="40"/>
      <c r="D17" s="40"/>
      <c r="E17" s="40"/>
      <c r="F17" s="40"/>
      <c r="G17" s="40"/>
    </row>
    <row r="18" customFormat="false" ht="15" hidden="false" customHeight="false" outlineLevel="0" collapsed="false">
      <c r="A18" s="39"/>
      <c r="B18" s="39"/>
      <c r="C18" s="40"/>
      <c r="D18" s="40"/>
      <c r="E18" s="40"/>
      <c r="F18" s="40"/>
      <c r="G18" s="40"/>
    </row>
    <row r="19" customFormat="false" ht="15" hidden="false" customHeight="false" outlineLevel="0" collapsed="false">
      <c r="A19" s="39"/>
      <c r="B19" s="39"/>
      <c r="C19" s="40"/>
      <c r="D19" s="40"/>
      <c r="E19" s="40"/>
      <c r="F19" s="40"/>
      <c r="G19" s="40"/>
    </row>
    <row r="20" customFormat="false" ht="15" hidden="false" customHeight="false" outlineLevel="0" collapsed="false">
      <c r="A20" s="39"/>
      <c r="B20" s="39"/>
      <c r="C20" s="40"/>
      <c r="D20" s="40"/>
      <c r="E20" s="40"/>
      <c r="F20" s="40"/>
      <c r="G20" s="40"/>
    </row>
    <row r="21" customFormat="false" ht="15" hidden="false" customHeight="false" outlineLevel="0" collapsed="false">
      <c r="A21" s="39"/>
      <c r="B21" s="39"/>
      <c r="C21" s="40"/>
      <c r="D21" s="40"/>
      <c r="E21" s="40"/>
      <c r="F21" s="40"/>
      <c r="G21" s="40"/>
    </row>
    <row r="22" customFormat="false" ht="15" hidden="false" customHeight="false" outlineLevel="0" collapsed="false">
      <c r="A22" s="7" t="s">
        <v>146</v>
      </c>
      <c r="B22" s="41" t="str">
        <f aca="false">IF(入力!B50="","",入力!B50)</f>
        <v/>
      </c>
      <c r="C22" s="41"/>
      <c r="D22" s="41"/>
      <c r="E22" s="41"/>
      <c r="F22" s="41"/>
      <c r="G22" s="41"/>
    </row>
    <row r="23" customFormat="false" ht="15" hidden="false" customHeight="false" outlineLevel="0" collapsed="false">
      <c r="A23" s="37" t="s">
        <v>147</v>
      </c>
      <c r="B23" s="37"/>
      <c r="C23" s="37"/>
      <c r="D23" s="37"/>
      <c r="E23" s="37"/>
      <c r="F23" s="37"/>
      <c r="G23" s="37"/>
    </row>
    <row r="24" customFormat="false" ht="15" hidden="false" customHeight="false" outlineLevel="0" collapsed="false">
      <c r="A24" s="7" t="s">
        <v>148</v>
      </c>
      <c r="B24" s="36" t="str">
        <f aca="false">IF(入力!B52="","",入力!B52)</f>
        <v/>
      </c>
      <c r="C24" s="36"/>
      <c r="D24" s="36"/>
      <c r="E24" s="7" t="s">
        <v>149</v>
      </c>
      <c r="F24" s="36" t="str">
        <f aca="false">IF(入力!B53="","",入力!B53)</f>
        <v/>
      </c>
      <c r="G24" s="36"/>
    </row>
    <row r="25" customFormat="false" ht="15" hidden="false" customHeight="false" outlineLevel="0" collapsed="false">
      <c r="A25" s="7" t="s">
        <v>150</v>
      </c>
      <c r="B25" s="36" t="str">
        <f aca="false">IF(入力!B54="","",入力!B54)</f>
        <v/>
      </c>
      <c r="C25" s="36"/>
      <c r="D25" s="36"/>
      <c r="E25" s="7" t="s">
        <v>151</v>
      </c>
      <c r="F25" s="36" t="str">
        <f aca="false">IF(入力!B55="","",入力!B55)</f>
        <v/>
      </c>
      <c r="G25" s="36"/>
    </row>
    <row r="26" customFormat="false" ht="15" hidden="false" customHeight="false" outlineLevel="0" collapsed="false">
      <c r="A26" s="7" t="s">
        <v>79</v>
      </c>
      <c r="B26" s="36" t="str">
        <f aca="false">IF(入力!B56="","",入力!B56)</f>
        <v/>
      </c>
      <c r="C26" s="36"/>
      <c r="D26" s="36"/>
      <c r="E26" s="36"/>
      <c r="F26" s="36"/>
      <c r="G26" s="36"/>
    </row>
    <row r="27" customFormat="false" ht="15" hidden="false" customHeight="false" outlineLevel="0" collapsed="false">
      <c r="A27" s="37" t="s">
        <v>152</v>
      </c>
      <c r="B27" s="37"/>
      <c r="C27" s="37"/>
      <c r="D27" s="37"/>
      <c r="E27" s="37"/>
      <c r="F27" s="37"/>
      <c r="G27" s="37"/>
    </row>
    <row r="28" customFormat="false" ht="15" hidden="false" customHeight="false" outlineLevel="0" collapsed="false">
      <c r="A28" s="7" t="s">
        <v>82</v>
      </c>
      <c r="B28" s="36" t="str">
        <f aca="false">IF(入力!B58="","",入力!B58)</f>
        <v/>
      </c>
      <c r="C28" s="36"/>
      <c r="D28" s="36"/>
      <c r="E28" s="7" t="s">
        <v>84</v>
      </c>
      <c r="F28" s="36" t="str">
        <f aca="false">IF(入力!B59="","",入力!B59)</f>
        <v/>
      </c>
      <c r="G28" s="36"/>
    </row>
    <row r="29" customFormat="false" ht="15" hidden="false" customHeight="false" outlineLevel="0" collapsed="false">
      <c r="A29" s="37" t="s">
        <v>153</v>
      </c>
      <c r="B29" s="37"/>
      <c r="C29" s="37"/>
      <c r="D29" s="37"/>
      <c r="E29" s="37"/>
      <c r="F29" s="37"/>
      <c r="G29" s="37"/>
    </row>
    <row r="30" customFormat="false" ht="15" hidden="false" customHeight="false" outlineLevel="0" collapsed="false">
      <c r="A30" s="7" t="s">
        <v>154</v>
      </c>
      <c r="B30" s="36" t="str">
        <f aca="false">IF(見積書!G39=0,"","¥"&amp;TEXT(見積書!G39,"#,##0")&amp;"(税込)")</f>
        <v/>
      </c>
      <c r="C30" s="36"/>
      <c r="D30" s="36"/>
      <c r="E30" s="7" t="s">
        <v>155</v>
      </c>
      <c r="F30" s="42"/>
      <c r="G30" s="42"/>
    </row>
    <row r="31" customFormat="false" ht="14.15" hidden="false" customHeight="false" outlineLevel="0" collapsed="false">
      <c r="A31" s="37" t="s">
        <v>156</v>
      </c>
      <c r="B31" s="37"/>
      <c r="C31" s="37"/>
      <c r="D31" s="37"/>
      <c r="E31" s="37"/>
      <c r="F31" s="37"/>
      <c r="G31" s="37"/>
    </row>
    <row r="32" customFormat="false" ht="15" hidden="false" customHeight="false" outlineLevel="0" collapsed="false">
      <c r="A32" s="14" t="s">
        <v>157</v>
      </c>
      <c r="B32" s="43" t="str">
        <f aca="false">IF(入力!B18="","※未入力!! 入力シートで必ず選択してください",入力!B18&amp;IF(入力!B19="",""," — "&amp;入力!B19))</f>
        <v>※未入力!! 入力シートで必ず選択してください</v>
      </c>
      <c r="C32" s="43"/>
      <c r="D32" s="43"/>
      <c r="E32" s="43"/>
      <c r="F32" s="43"/>
      <c r="G32" s="43"/>
    </row>
    <row r="33" customFormat="false" ht="15" hidden="false" customHeight="false" outlineLevel="0" collapsed="false">
      <c r="A33" s="14" t="s">
        <v>158</v>
      </c>
      <c r="B33" s="44" t="s">
        <v>159</v>
      </c>
      <c r="C33" s="44"/>
      <c r="D33" s="44"/>
      <c r="E33" s="44" t="s">
        <v>160</v>
      </c>
      <c r="F33" s="44"/>
      <c r="G33" s="44"/>
    </row>
    <row r="34" customFormat="false" ht="15" hidden="false" customHeight="false" outlineLevel="0" collapsed="false">
      <c r="A34" s="45" t="s">
        <v>161</v>
      </c>
      <c r="B34" s="46" t="str">
        <f aca="false">IF(入力!B14="","","〆"&amp;TEXT(入力!B14+(-2),"m/d")&amp;"  ")&amp;"□館内案内作成  □名前シール作成  □部屋割り連絡"</f>
        <v>□館内案内作成  □名前シール作成  □部屋割り連絡</v>
      </c>
      <c r="C34" s="46"/>
      <c r="D34" s="46"/>
      <c r="E34" s="46"/>
      <c r="F34" s="46"/>
      <c r="G34" s="47" t="s">
        <v>162</v>
      </c>
    </row>
    <row r="35" customFormat="false" ht="15" hidden="false" customHeight="false" outlineLevel="0" collapsed="false">
      <c r="A35" s="45" t="s">
        <v>163</v>
      </c>
      <c r="B35" s="46" t="str">
        <f aca="false">IF(入力!B14="","","〆"&amp;TEXT(入力!B14+(-1),"m/d")&amp;"  ")&amp;"□料金確認  □館内案内印刷  □紙の版数照合"</f>
        <v>□料金確認  □館内案内印刷  □紙の版数照合</v>
      </c>
      <c r="C35" s="46"/>
      <c r="D35" s="46"/>
      <c r="E35" s="46"/>
      <c r="F35" s="46"/>
      <c r="G35" s="47" t="s">
        <v>162</v>
      </c>
    </row>
    <row r="36" customFormat="false" ht="15" hidden="false" customHeight="false" outlineLevel="0" collapsed="false">
      <c r="A36" s="14" t="s">
        <v>164</v>
      </c>
      <c r="B36" s="46" t="str">
        <f aca="false">IF(入力!B14="","","〆"&amp;TEXT(入力!B14+(0),"m/d")&amp;"  ")&amp;"□名前シール印刷  □添乗員到着時間確認  □お出迎え・挨拶手配"</f>
        <v>□名前シール印刷  □添乗員到着時間確認  □お出迎え・挨拶手配</v>
      </c>
      <c r="C36" s="46"/>
      <c r="D36" s="46"/>
      <c r="E36" s="46"/>
      <c r="F36" s="46"/>
      <c r="G36" s="47" t="s">
        <v>162</v>
      </c>
    </row>
    <row r="37" customFormat="false" ht="15" hidden="false" customHeight="false" outlineLevel="0" collapsed="false">
      <c r="A37" s="37" t="s">
        <v>165</v>
      </c>
      <c r="B37" s="37"/>
      <c r="C37" s="37"/>
      <c r="D37" s="37"/>
      <c r="E37" s="37"/>
      <c r="F37" s="37"/>
      <c r="G37" s="37"/>
    </row>
    <row r="38" customFormat="false" ht="15" hidden="false" customHeight="true" outlineLevel="0" collapsed="false">
      <c r="A38" s="40" t="str">
        <f aca="false">IF(入力!A91="","",入力!A91)</f>
        <v/>
      </c>
      <c r="B38" s="40"/>
      <c r="C38" s="40"/>
      <c r="D38" s="40"/>
      <c r="E38" s="40"/>
      <c r="F38" s="40"/>
      <c r="G38" s="40"/>
    </row>
    <row r="39" customFormat="false" ht="15" hidden="false" customHeight="true" outlineLevel="0" collapsed="false">
      <c r="A39" s="40"/>
      <c r="B39" s="40"/>
      <c r="C39" s="40"/>
      <c r="D39" s="40"/>
      <c r="E39" s="40"/>
      <c r="F39" s="40"/>
      <c r="G39" s="40"/>
    </row>
    <row r="40" customFormat="false" ht="15" hidden="false" customHeight="true" outlineLevel="0" collapsed="false">
      <c r="A40" s="40"/>
      <c r="B40" s="40"/>
      <c r="C40" s="40"/>
      <c r="D40" s="40"/>
      <c r="E40" s="40"/>
      <c r="F40" s="40"/>
      <c r="G40" s="40"/>
    </row>
    <row r="41" customFormat="false" ht="15" hidden="false" customHeight="true" outlineLevel="0" collapsed="false">
      <c r="A41" s="40"/>
      <c r="B41" s="40"/>
      <c r="C41" s="40"/>
      <c r="D41" s="40"/>
      <c r="E41" s="40"/>
      <c r="F41" s="40"/>
      <c r="G41" s="40"/>
    </row>
    <row r="42" customFormat="false" ht="15" hidden="false" customHeight="true" outlineLevel="0" collapsed="false">
      <c r="A42" s="40"/>
      <c r="B42" s="40"/>
      <c r="C42" s="40"/>
      <c r="D42" s="40"/>
      <c r="E42" s="40"/>
      <c r="F42" s="40"/>
      <c r="G42" s="40"/>
    </row>
    <row r="43" customFormat="false" ht="15" hidden="false" customHeight="true" outlineLevel="0" collapsed="false">
      <c r="A43" s="40"/>
      <c r="B43" s="40"/>
      <c r="C43" s="40"/>
      <c r="D43" s="40"/>
      <c r="E43" s="40"/>
      <c r="F43" s="40"/>
      <c r="G43" s="40"/>
    </row>
    <row r="44" customFormat="false" ht="15" hidden="false" customHeight="true" outlineLevel="0" collapsed="false">
      <c r="A44" s="40"/>
      <c r="B44" s="40"/>
      <c r="C44" s="40"/>
      <c r="D44" s="40"/>
      <c r="E44" s="40"/>
      <c r="F44" s="40"/>
      <c r="G44" s="40"/>
    </row>
  </sheetData>
  <sheetProtection sheet="true"/>
  <mergeCells count="49">
    <mergeCell ref="A1:D2"/>
    <mergeCell ref="F1:G1"/>
    <mergeCell ref="F2:G2"/>
    <mergeCell ref="B3:D3"/>
    <mergeCell ref="F3:G3"/>
    <mergeCell ref="A4:G4"/>
    <mergeCell ref="B5:D5"/>
    <mergeCell ref="F5:G5"/>
    <mergeCell ref="B6:D6"/>
    <mergeCell ref="F6:G6"/>
    <mergeCell ref="B7:D7"/>
    <mergeCell ref="F7:G7"/>
    <mergeCell ref="B8:D8"/>
    <mergeCell ref="F8:G8"/>
    <mergeCell ref="B9:D9"/>
    <mergeCell ref="F9:G9"/>
    <mergeCell ref="B10:D10"/>
    <mergeCell ref="F10:G10"/>
    <mergeCell ref="B11:D11"/>
    <mergeCell ref="F11:G11"/>
    <mergeCell ref="A12:G12"/>
    <mergeCell ref="B13:D13"/>
    <mergeCell ref="F13:G13"/>
    <mergeCell ref="B14:G14"/>
    <mergeCell ref="A15:G15"/>
    <mergeCell ref="A16:A21"/>
    <mergeCell ref="B16:G21"/>
    <mergeCell ref="B22:G22"/>
    <mergeCell ref="A23:G23"/>
    <mergeCell ref="B24:D24"/>
    <mergeCell ref="F24:G24"/>
    <mergeCell ref="B25:D25"/>
    <mergeCell ref="F25:G25"/>
    <mergeCell ref="B26:G26"/>
    <mergeCell ref="A27:G27"/>
    <mergeCell ref="B28:D28"/>
    <mergeCell ref="F28:G28"/>
    <mergeCell ref="A29:G29"/>
    <mergeCell ref="B30:D30"/>
    <mergeCell ref="F30:G30"/>
    <mergeCell ref="A31:G31"/>
    <mergeCell ref="B32:G32"/>
    <mergeCell ref="B33:D33"/>
    <mergeCell ref="E33:G33"/>
    <mergeCell ref="B34:F34"/>
    <mergeCell ref="B35:F35"/>
    <mergeCell ref="B36:F36"/>
    <mergeCell ref="A37:G37"/>
    <mergeCell ref="A38:G44"/>
  </mergeCells>
  <printOptions headings="false" gridLines="false" gridLinesSet="true" horizontalCentered="false" verticalCentered="false"/>
  <pageMargins left="0.4" right="0.4" top="0.5" bottom="0.5"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&amp;C印刷: &amp;D &amp;T&amp;R&amp;P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5"/>
    <col collapsed="false" customWidth="true" hidden="false" outlineLevel="0" max="2" min="2" style="1" width="16"/>
    <col collapsed="false" customWidth="true" hidden="false" outlineLevel="0" max="3" min="3" style="1" width="30"/>
    <col collapsed="false" customWidth="true" hidden="false" outlineLevel="0" max="4" min="4" style="1" width="11"/>
    <col collapsed="false" customWidth="true" hidden="false" outlineLevel="0" max="6" min="5" style="1" width="7"/>
    <col collapsed="false" customWidth="true" hidden="false" outlineLevel="0" max="7" min="7" style="1" width="13"/>
  </cols>
  <sheetData>
    <row r="1" customFormat="false" ht="15" hidden="false" customHeight="false" outlineLevel="0" collapsed="false">
      <c r="B1" s="48" t="s">
        <v>166</v>
      </c>
      <c r="C1" s="48"/>
      <c r="D1" s="48"/>
      <c r="E1" s="48"/>
      <c r="F1" s="49" t="s">
        <v>118</v>
      </c>
      <c r="G1" s="50" t="str">
        <f aca="false">IF(入力!B87="","",入力!B87)</f>
        <v/>
      </c>
    </row>
    <row r="2" customFormat="false" ht="15" hidden="false" customHeight="false" outlineLevel="0" collapsed="false">
      <c r="B2" s="48"/>
      <c r="C2" s="48"/>
      <c r="D2" s="48"/>
      <c r="E2" s="48"/>
      <c r="F2" s="49" t="s">
        <v>120</v>
      </c>
      <c r="G2" s="51" t="str">
        <f aca="false">IF(入力!B88="","",入力!B88)</f>
        <v/>
      </c>
    </row>
    <row r="3" customFormat="false" ht="15" hidden="false" customHeight="false" outlineLevel="0" collapsed="false">
      <c r="F3" s="49" t="s">
        <v>116</v>
      </c>
      <c r="G3" s="50" t="str">
        <f aca="false">IF(入力!B86="","",入力!B86)</f>
        <v/>
      </c>
    </row>
    <row r="4" customFormat="false" ht="15" hidden="false" customHeight="false" outlineLevel="0" collapsed="false">
      <c r="A4" s="52" t="str">
        <f aca="false">IF(入力!B5="","",入力!B5&amp;"  御中")</f>
        <v/>
      </c>
      <c r="B4" s="52"/>
      <c r="C4" s="52"/>
      <c r="D4" s="52"/>
      <c r="F4" s="53" t="s">
        <v>167</v>
      </c>
      <c r="G4" s="53"/>
    </row>
    <row r="5" customFormat="false" ht="15" hidden="false" customHeight="false" outlineLevel="0" collapsed="false">
      <c r="A5" s="54" t="str">
        <f aca="false">IF(入力!B6="","",入力!B6)</f>
        <v/>
      </c>
      <c r="B5" s="54"/>
      <c r="C5" s="54"/>
      <c r="D5" s="54"/>
      <c r="F5" s="53"/>
      <c r="G5" s="53"/>
    </row>
    <row r="6" customFormat="false" ht="15" hidden="false" customHeight="false" outlineLevel="0" collapsed="false">
      <c r="A6" s="54" t="str">
        <f aca="false">IF(入力!B7="","",入力!B7)</f>
        <v/>
      </c>
      <c r="B6" s="54"/>
      <c r="C6" s="54"/>
      <c r="D6" s="54"/>
      <c r="F6" s="55" t="str">
        <f aca="false">マスタ!I2</f>
        <v>(ホテル名を入力)</v>
      </c>
      <c r="G6" s="55"/>
    </row>
    <row r="7" customFormat="false" ht="15" hidden="false" customHeight="false" outlineLevel="0" collapsed="false">
      <c r="A7" s="36" t="str">
        <f aca="false">IF(入力!B10="","","ご担当: "&amp;入力!B10)</f>
        <v/>
      </c>
      <c r="B7" s="36"/>
      <c r="C7" s="36"/>
      <c r="D7" s="36"/>
      <c r="F7" s="56" t="str">
        <f aca="false">マスタ!I3</f>
        <v>(住所・TELを入力)</v>
      </c>
      <c r="G7" s="56"/>
    </row>
    <row r="8" customFormat="false" ht="15" hidden="false" customHeight="false" outlineLevel="0" collapsed="false">
      <c r="A8" s="57" t="s">
        <v>168</v>
      </c>
      <c r="B8" s="57"/>
      <c r="C8" s="57"/>
      <c r="D8" s="57"/>
      <c r="F8" s="56" t="str">
        <f aca="false">"インボイス登録番号 "&amp;マスタ!I4</f>
        <v>インボイス登録番号 T0000000000000</v>
      </c>
      <c r="G8" s="56"/>
    </row>
    <row r="9" customFormat="false" ht="15" hidden="false" customHeight="false" outlineLevel="0" collapsed="false">
      <c r="F9" s="58" t="s">
        <v>162</v>
      </c>
      <c r="G9" s="59" t="n">
        <f aca="false">マスタ!I5</f>
        <v>0</v>
      </c>
    </row>
    <row r="10" customFormat="false" ht="15" hidden="false" customHeight="false" outlineLevel="0" collapsed="false">
      <c r="A10" s="60" t="s">
        <v>169</v>
      </c>
      <c r="B10" s="60"/>
      <c r="C10" s="54" t="str">
        <f aca="false">IF(入力!B7&lt;&gt;"",入力!B7,IF(入力!B6&lt;&gt;"",入力!B6,IF(入力!B5="","",入力!B5&amp;"様")))</f>
        <v/>
      </c>
      <c r="D10" s="54"/>
      <c r="E10" s="54"/>
      <c r="F10" s="61" t="s">
        <v>170</v>
      </c>
      <c r="G10" s="61"/>
    </row>
    <row r="11" customFormat="false" ht="24" hidden="false" customHeight="true" outlineLevel="0" collapsed="false">
      <c r="A11" s="60" t="s">
        <v>171</v>
      </c>
      <c r="B11" s="60"/>
      <c r="C11" s="54" t="str">
        <f aca="false">IF(入力!B14="","",TEXT(入力!B14,"yyyy/m/d")&amp;" 〜 "&amp;IF(入力!B15="","",TEXT(入力!B15,"m/d")))</f>
        <v/>
      </c>
      <c r="D11" s="54"/>
      <c r="E11" s="54"/>
      <c r="F11" s="62" t="str">
        <f aca="false">G31</f>
        <v/>
      </c>
      <c r="G11" s="62"/>
    </row>
    <row r="12" customFormat="false" ht="15" hidden="false" customHeight="false" outlineLevel="0" collapsed="false">
      <c r="A12" s="60" t="s">
        <v>172</v>
      </c>
      <c r="B12" s="60"/>
      <c r="C12" s="54" t="str">
        <f aca="false">IF(入力!B24="","",入力!B24&amp;"名(大人"&amp;N(入力!B21)&amp;"・子供"&amp;N(入力!B22)&amp;"・添乗員"&amp;N(入力!B23)&amp;")")</f>
        <v/>
      </c>
      <c r="D12" s="54"/>
      <c r="E12" s="54"/>
    </row>
    <row r="13" customFormat="false" ht="15" hidden="false" customHeight="false" outlineLevel="0" collapsed="false">
      <c r="A13" s="60" t="s">
        <v>173</v>
      </c>
      <c r="B13" s="60"/>
      <c r="C13" s="54" t="str">
        <f aca="false">IF(入力!B64="","",入力!B64)</f>
        <v/>
      </c>
      <c r="D13" s="54"/>
      <c r="E13" s="54"/>
      <c r="F13" s="60" t="s">
        <v>122</v>
      </c>
      <c r="G13" s="60"/>
    </row>
    <row r="14" customFormat="false" ht="15" hidden="false" customHeight="false" outlineLevel="0" collapsed="false">
      <c r="F14" s="63" t="str">
        <f aca="false">IF(入力!B89="","",入力!B89)</f>
        <v/>
      </c>
      <c r="G14" s="63"/>
    </row>
    <row r="15" customFormat="false" ht="15" hidden="false" customHeight="false" outlineLevel="0" collapsed="false">
      <c r="A15" s="38" t="s">
        <v>174</v>
      </c>
      <c r="B15" s="7" t="s">
        <v>175</v>
      </c>
      <c r="C15" s="7" t="s">
        <v>63</v>
      </c>
      <c r="D15" s="7" t="s">
        <v>97</v>
      </c>
      <c r="E15" s="7" t="s">
        <v>66</v>
      </c>
      <c r="F15" s="7" t="s">
        <v>176</v>
      </c>
      <c r="G15" s="7" t="s">
        <v>52</v>
      </c>
    </row>
    <row r="16" customFormat="false" ht="15" hidden="false" customHeight="false" outlineLevel="0" collapsed="false">
      <c r="A16" s="64" t="str">
        <f aca="false">IF(入力!A31="","",ROW()-15)</f>
        <v/>
      </c>
      <c r="B16" s="65" t="str">
        <f aca="false">IF(入力!A31="","","宿泊")</f>
        <v/>
      </c>
      <c r="C16" s="65" t="str">
        <f aca="false">IF(入力!A31="","",入力!A31&amp;IF(入力!D31="","","("&amp;入力!D31&amp;"泊)"))</f>
        <v/>
      </c>
      <c r="D16" s="66" t="str">
        <f aca="false">IF(入力!A31="","",入力!C31)</f>
        <v/>
      </c>
      <c r="E16" s="67" t="str">
        <f aca="false">IF(OR(入力!A31="",COUNT(入力!B31,入力!D31)&lt;2),"",入力!B31*入力!D31)</f>
        <v/>
      </c>
      <c r="F16" s="50" t="str">
        <f aca="false">IF(入力!A31="","","室")</f>
        <v/>
      </c>
      <c r="G16" s="68" t="str">
        <f aca="false">IF(入力!E31="","",入力!E31)</f>
        <v/>
      </c>
    </row>
    <row r="17" customFormat="false" ht="15" hidden="false" customHeight="false" outlineLevel="0" collapsed="false">
      <c r="A17" s="64" t="str">
        <f aca="false">IF(入力!A32="","",ROW()-15)</f>
        <v/>
      </c>
      <c r="B17" s="65" t="str">
        <f aca="false">IF(入力!A32="","","宿泊")</f>
        <v/>
      </c>
      <c r="C17" s="65" t="str">
        <f aca="false">IF(入力!A32="","",入力!A32&amp;IF(入力!D32="","","("&amp;入力!D32&amp;"泊)"))</f>
        <v/>
      </c>
      <c r="D17" s="66" t="str">
        <f aca="false">IF(入力!A32="","",入力!C32)</f>
        <v/>
      </c>
      <c r="E17" s="67" t="str">
        <f aca="false">IF(OR(入力!A32="",COUNT(入力!B32,入力!D32)&lt;2),"",入力!B32*入力!D32)</f>
        <v/>
      </c>
      <c r="F17" s="50" t="str">
        <f aca="false">IF(入力!A32="","","室")</f>
        <v/>
      </c>
      <c r="G17" s="68" t="str">
        <f aca="false">IF(入力!E32="","",入力!E32)</f>
        <v/>
      </c>
    </row>
    <row r="18" customFormat="false" ht="15" hidden="false" customHeight="false" outlineLevel="0" collapsed="false">
      <c r="A18" s="64" t="str">
        <f aca="false">IF(入力!A33="","",ROW()-15)</f>
        <v/>
      </c>
      <c r="B18" s="65" t="str">
        <f aca="false">IF(入力!A33="","","宿泊")</f>
        <v/>
      </c>
      <c r="C18" s="65" t="str">
        <f aca="false">IF(入力!A33="","",入力!A33&amp;IF(入力!D33="","","("&amp;入力!D33&amp;"泊)"))</f>
        <v/>
      </c>
      <c r="D18" s="66" t="str">
        <f aca="false">IF(入力!A33="","",入力!C33)</f>
        <v/>
      </c>
      <c r="E18" s="67" t="str">
        <f aca="false">IF(OR(入力!A33="",COUNT(入力!B33,入力!D33)&lt;2),"",入力!B33*入力!D33)</f>
        <v/>
      </c>
      <c r="F18" s="50" t="str">
        <f aca="false">IF(入力!A33="","","室")</f>
        <v/>
      </c>
      <c r="G18" s="68" t="str">
        <f aca="false">IF(入力!E33="","",入力!E33)</f>
        <v/>
      </c>
    </row>
    <row r="19" customFormat="false" ht="15" hidden="false" customHeight="false" outlineLevel="0" collapsed="false">
      <c r="A19" s="64" t="str">
        <f aca="false">IF(入力!A34="","",ROW()-15)</f>
        <v/>
      </c>
      <c r="B19" s="65" t="str">
        <f aca="false">IF(入力!A34="","","宿泊")</f>
        <v/>
      </c>
      <c r="C19" s="65" t="str">
        <f aca="false">IF(入力!A34="","",入力!A34&amp;IF(入力!D34="","","("&amp;入力!D34&amp;"泊)"))</f>
        <v/>
      </c>
      <c r="D19" s="66" t="str">
        <f aca="false">IF(入力!A34="","",入力!C34)</f>
        <v/>
      </c>
      <c r="E19" s="67" t="str">
        <f aca="false">IF(OR(入力!A34="",COUNT(入力!B34,入力!D34)&lt;2),"",入力!B34*入力!D34)</f>
        <v/>
      </c>
      <c r="F19" s="50" t="str">
        <f aca="false">IF(入力!A34="","","室")</f>
        <v/>
      </c>
      <c r="G19" s="68" t="str">
        <f aca="false">IF(入力!E34="","",入力!E34)</f>
        <v/>
      </c>
    </row>
    <row r="20" customFormat="false" ht="15" hidden="false" customHeight="false" outlineLevel="0" collapsed="false">
      <c r="A20" s="64" t="str">
        <f aca="false">IF(入力!A35="","",ROW()-15)</f>
        <v/>
      </c>
      <c r="B20" s="65" t="str">
        <f aca="false">IF(入力!A35="","","宿泊")</f>
        <v/>
      </c>
      <c r="C20" s="65" t="str">
        <f aca="false">IF(入力!A35="","",入力!A35&amp;IF(入力!D35="","","("&amp;入力!D35&amp;"泊)"))</f>
        <v/>
      </c>
      <c r="D20" s="66" t="str">
        <f aca="false">IF(入力!A35="","",入力!C35)</f>
        <v/>
      </c>
      <c r="E20" s="67" t="str">
        <f aca="false">IF(OR(入力!A35="",COUNT(入力!B35,入力!D35)&lt;2),"",入力!B35*入力!D35)</f>
        <v/>
      </c>
      <c r="F20" s="50" t="str">
        <f aca="false">IF(入力!A35="","","室")</f>
        <v/>
      </c>
      <c r="G20" s="68" t="str">
        <f aca="false">IF(入力!E35="","",入力!E35)</f>
        <v/>
      </c>
    </row>
    <row r="21" customFormat="false" ht="15" hidden="false" customHeight="false" outlineLevel="0" collapsed="false">
      <c r="A21" s="64" t="str">
        <f aca="false">IF(入力!A36="","",ROW()-15)</f>
        <v/>
      </c>
      <c r="B21" s="65" t="str">
        <f aca="false">IF(入力!A36="","","宿泊")</f>
        <v/>
      </c>
      <c r="C21" s="65" t="str">
        <f aca="false">IF(入力!A36="","",入力!A36&amp;IF(入力!D36="","","("&amp;入力!D36&amp;"泊)"))</f>
        <v/>
      </c>
      <c r="D21" s="66" t="str">
        <f aca="false">IF(入力!A36="","",入力!C36)</f>
        <v/>
      </c>
      <c r="E21" s="67" t="str">
        <f aca="false">IF(OR(入力!A36="",COUNT(入力!B36,入力!D36)&lt;2),"",入力!B36*入力!D36)</f>
        <v/>
      </c>
      <c r="F21" s="50" t="str">
        <f aca="false">IF(入力!A36="","","室")</f>
        <v/>
      </c>
      <c r="G21" s="68" t="str">
        <f aca="false">IF(入力!E36="","",入力!E36)</f>
        <v/>
      </c>
    </row>
    <row r="22" customFormat="false" ht="15" hidden="false" customHeight="false" outlineLevel="0" collapsed="false">
      <c r="A22" s="64" t="str">
        <f aca="false">IF(入力!A37="","",ROW()-15)</f>
        <v/>
      </c>
      <c r="B22" s="65" t="str">
        <f aca="false">IF(入力!A37="","","宿泊")</f>
        <v/>
      </c>
      <c r="C22" s="65" t="str">
        <f aca="false">IF(入力!A37="","",入力!A37&amp;IF(入力!D37="","","("&amp;入力!D37&amp;"泊)"))</f>
        <v/>
      </c>
      <c r="D22" s="66" t="str">
        <f aca="false">IF(入力!A37="","",入力!C37)</f>
        <v/>
      </c>
      <c r="E22" s="67" t="str">
        <f aca="false">IF(OR(入力!A37="",COUNT(入力!B37,入力!D37)&lt;2),"",入力!B37*入力!D37)</f>
        <v/>
      </c>
      <c r="F22" s="50" t="str">
        <f aca="false">IF(入力!A37="","","室")</f>
        <v/>
      </c>
      <c r="G22" s="68" t="str">
        <f aca="false">IF(入力!E37="","",入力!E37)</f>
        <v/>
      </c>
    </row>
    <row r="23" customFormat="false" ht="15" hidden="false" customHeight="false" outlineLevel="0" collapsed="false">
      <c r="A23" s="64" t="str">
        <f aca="false">IF(入力!A38="","",ROW()-15)</f>
        <v/>
      </c>
      <c r="B23" s="65" t="str">
        <f aca="false">IF(入力!A38="","","宿泊")</f>
        <v/>
      </c>
      <c r="C23" s="65" t="str">
        <f aca="false">IF(入力!A38="","",入力!A38&amp;IF(入力!D38="","","("&amp;入力!D38&amp;"泊)"))</f>
        <v/>
      </c>
      <c r="D23" s="66" t="str">
        <f aca="false">IF(入力!A38="","",入力!C38)</f>
        <v/>
      </c>
      <c r="E23" s="67" t="str">
        <f aca="false">IF(OR(入力!A38="",COUNT(入力!B38,入力!D38)&lt;2),"",入力!B38*入力!D38)</f>
        <v/>
      </c>
      <c r="F23" s="50" t="str">
        <f aca="false">IF(入力!A38="","","室")</f>
        <v/>
      </c>
      <c r="G23" s="68" t="str">
        <f aca="false">IF(入力!E38="","",入力!E38)</f>
        <v/>
      </c>
    </row>
    <row r="24" customFormat="false" ht="15" hidden="false" customHeight="false" outlineLevel="0" collapsed="false">
      <c r="A24" s="64" t="str">
        <f aca="false">IF(入力!B69="","",ROW()-23)</f>
        <v/>
      </c>
      <c r="B24" s="65" t="str">
        <f aca="false">IF(入力!A69="","",入力!A69)</f>
        <v/>
      </c>
      <c r="C24" s="65" t="str">
        <f aca="false">IF(入力!B69="","",入力!B69)</f>
        <v/>
      </c>
      <c r="D24" s="66" t="str">
        <f aca="false">IF(入力!C69="","",入力!C69)</f>
        <v/>
      </c>
      <c r="E24" s="67" t="str">
        <f aca="false">IF(入力!D69="","",入力!D69)</f>
        <v/>
      </c>
      <c r="F24" s="50" t="str">
        <f aca="false">IF(入力!E69="","",入力!E69)</f>
        <v/>
      </c>
      <c r="G24" s="68" t="str">
        <f aca="false">IF(COUNT(入力!C69,入力!D69)&lt;2,"",入力!C69*入力!D69)</f>
        <v/>
      </c>
    </row>
    <row r="25" customFormat="false" ht="15" hidden="false" customHeight="false" outlineLevel="0" collapsed="false">
      <c r="A25" s="64" t="str">
        <f aca="false">IF(入力!B70="","",ROW()-23)</f>
        <v/>
      </c>
      <c r="B25" s="65" t="str">
        <f aca="false">IF(入力!A70="","",入力!A70)</f>
        <v/>
      </c>
      <c r="C25" s="65" t="str">
        <f aca="false">IF(入力!B70="","",入力!B70)</f>
        <v/>
      </c>
      <c r="D25" s="66" t="str">
        <f aca="false">IF(入力!C70="","",入力!C70)</f>
        <v/>
      </c>
      <c r="E25" s="67" t="str">
        <f aca="false">IF(入力!D70="","",入力!D70)</f>
        <v/>
      </c>
      <c r="F25" s="50" t="str">
        <f aca="false">IF(入力!E70="","",入力!E70)</f>
        <v/>
      </c>
      <c r="G25" s="68" t="str">
        <f aca="false">IF(COUNT(入力!C70,入力!D70)&lt;2,"",入力!C70*入力!D70)</f>
        <v/>
      </c>
    </row>
    <row r="26" customFormat="false" ht="15" hidden="false" customHeight="false" outlineLevel="0" collapsed="false">
      <c r="A26" s="64" t="str">
        <f aca="false">IF(入力!B71="","",ROW()-23)</f>
        <v/>
      </c>
      <c r="B26" s="65" t="str">
        <f aca="false">IF(入力!A71="","",入力!A71)</f>
        <v/>
      </c>
      <c r="C26" s="65" t="str">
        <f aca="false">IF(入力!B71="","",入力!B71)</f>
        <v/>
      </c>
      <c r="D26" s="66" t="str">
        <f aca="false">IF(入力!C71="","",入力!C71)</f>
        <v/>
      </c>
      <c r="E26" s="67" t="str">
        <f aca="false">IF(入力!D71="","",入力!D71)</f>
        <v/>
      </c>
      <c r="F26" s="50" t="str">
        <f aca="false">IF(入力!E71="","",入力!E71)</f>
        <v/>
      </c>
      <c r="G26" s="68" t="str">
        <f aca="false">IF(COUNT(入力!C71,入力!D71)&lt;2,"",入力!C71*入力!D71)</f>
        <v/>
      </c>
    </row>
    <row r="27" customFormat="false" ht="15" hidden="false" customHeight="false" outlineLevel="0" collapsed="false">
      <c r="A27" s="64" t="str">
        <f aca="false">IF(入力!B72="","",ROW()-23)</f>
        <v/>
      </c>
      <c r="B27" s="65" t="str">
        <f aca="false">IF(入力!A72="","",入力!A72)</f>
        <v/>
      </c>
      <c r="C27" s="65" t="str">
        <f aca="false">IF(入力!B72="","",入力!B72)</f>
        <v/>
      </c>
      <c r="D27" s="66" t="str">
        <f aca="false">IF(入力!C72="","",入力!C72)</f>
        <v/>
      </c>
      <c r="E27" s="67" t="str">
        <f aca="false">IF(入力!D72="","",入力!D72)</f>
        <v/>
      </c>
      <c r="F27" s="50" t="str">
        <f aca="false">IF(入力!E72="","",入力!E72)</f>
        <v/>
      </c>
      <c r="G27" s="68" t="str">
        <f aca="false">IF(COUNT(入力!C72,入力!D72)&lt;2,"",入力!C72*入力!D72)</f>
        <v/>
      </c>
    </row>
    <row r="28" customFormat="false" ht="15" hidden="false" customHeight="false" outlineLevel="0" collapsed="false">
      <c r="A28" s="64" t="str">
        <f aca="false">IF(入力!B73="","",ROW()-23)</f>
        <v/>
      </c>
      <c r="B28" s="65" t="str">
        <f aca="false">IF(入力!A73="","",入力!A73)</f>
        <v/>
      </c>
      <c r="C28" s="65" t="str">
        <f aca="false">IF(入力!B73="","",入力!B73)</f>
        <v/>
      </c>
      <c r="D28" s="66" t="str">
        <f aca="false">IF(入力!C73="","",入力!C73)</f>
        <v/>
      </c>
      <c r="E28" s="67" t="str">
        <f aca="false">IF(入力!D73="","",入力!D73)</f>
        <v/>
      </c>
      <c r="F28" s="50" t="str">
        <f aca="false">IF(入力!E73="","",入力!E73)</f>
        <v/>
      </c>
      <c r="G28" s="68" t="str">
        <f aca="false">IF(COUNT(入力!C73,入力!D73)&lt;2,"",入力!C73*入力!D73)</f>
        <v/>
      </c>
    </row>
    <row r="29" customFormat="false" ht="15" hidden="false" customHeight="false" outlineLevel="0" collapsed="false">
      <c r="A29" s="64" t="str">
        <f aca="false">IF(入力!B74="","",ROW()-23)</f>
        <v/>
      </c>
      <c r="B29" s="65" t="str">
        <f aca="false">IF(入力!A74="","",入力!A74)</f>
        <v/>
      </c>
      <c r="C29" s="65" t="str">
        <f aca="false">IF(入力!B74="","",入力!B74)</f>
        <v/>
      </c>
      <c r="D29" s="66" t="str">
        <f aca="false">IF(入力!C74="","",入力!C74)</f>
        <v/>
      </c>
      <c r="E29" s="67" t="str">
        <f aca="false">IF(入力!D74="","",入力!D74)</f>
        <v/>
      </c>
      <c r="F29" s="50" t="str">
        <f aca="false">IF(入力!E74="","",入力!E74)</f>
        <v/>
      </c>
      <c r="G29" s="68" t="str">
        <f aca="false">IF(COUNT(入力!C74,入力!D74)&lt;2,"",入力!C74*入力!D74)</f>
        <v/>
      </c>
    </row>
    <row r="30" customFormat="false" ht="15" hidden="false" customHeight="false" outlineLevel="0" collapsed="false">
      <c r="A30" s="64" t="str">
        <f aca="false">IF(入力!B75="","",ROW()-23)</f>
        <v/>
      </c>
      <c r="B30" s="65" t="str">
        <f aca="false">IF(入力!A75="","",入力!A75)</f>
        <v/>
      </c>
      <c r="C30" s="65" t="str">
        <f aca="false">IF(入力!B75="","",入力!B75)</f>
        <v/>
      </c>
      <c r="D30" s="66" t="str">
        <f aca="false">IF(入力!C75="","",入力!C75)</f>
        <v/>
      </c>
      <c r="E30" s="67" t="str">
        <f aca="false">IF(入力!D75="","",入力!D75)</f>
        <v/>
      </c>
      <c r="F30" s="50" t="str">
        <f aca="false">IF(入力!E75="","",入力!E75)</f>
        <v/>
      </c>
      <c r="G30" s="68" t="str">
        <f aca="false">IF(COUNT(入力!C75,入力!D75)&lt;2,"",入力!C75*入力!D75)</f>
        <v/>
      </c>
    </row>
    <row r="31" customFormat="false" ht="15" hidden="false" customHeight="false" outlineLevel="0" collapsed="false">
      <c r="A31" s="64" t="str">
        <f aca="false">IF(入力!B76="","",ROW()-23)</f>
        <v/>
      </c>
      <c r="B31" s="65" t="str">
        <f aca="false">IF(入力!A76="","",入力!A76)</f>
        <v/>
      </c>
      <c r="C31" s="65" t="str">
        <f aca="false">IF(入力!B76="","",入力!B76)</f>
        <v/>
      </c>
      <c r="D31" s="66" t="str">
        <f aca="false">IF(入力!C76="","",入力!C76)</f>
        <v/>
      </c>
      <c r="E31" s="67" t="str">
        <f aca="false">IF(入力!D76="","",入力!D76)</f>
        <v/>
      </c>
      <c r="F31" s="50" t="str">
        <f aca="false">IF(入力!E76="","",入力!E76)</f>
        <v/>
      </c>
      <c r="G31" s="68" t="str">
        <f aca="false">IF(COUNT(入力!C76,入力!D76)&lt;2,"",入力!C76*入力!D76)</f>
        <v/>
      </c>
    </row>
    <row r="32" customFormat="false" ht="15" hidden="false" customHeight="false" outlineLevel="0" collapsed="false">
      <c r="A32" s="64" t="str">
        <f aca="false">IF(入力!B77="","",ROW()-23)</f>
        <v/>
      </c>
      <c r="B32" s="65" t="str">
        <f aca="false">IF(入力!A77="","",入力!A77)</f>
        <v/>
      </c>
      <c r="C32" s="65" t="str">
        <f aca="false">IF(入力!B77="","",入力!B77)</f>
        <v/>
      </c>
      <c r="D32" s="66" t="str">
        <f aca="false">IF(入力!C77="","",入力!C77)</f>
        <v/>
      </c>
      <c r="E32" s="67" t="str">
        <f aca="false">IF(入力!D77="","",入力!D77)</f>
        <v/>
      </c>
      <c r="F32" s="50" t="str">
        <f aca="false">IF(入力!E77="","",入力!E77)</f>
        <v/>
      </c>
      <c r="G32" s="68" t="str">
        <f aca="false">IF(COUNT(入力!C77,入力!D77)&lt;2,"",入力!C77*入力!D77)</f>
        <v/>
      </c>
    </row>
    <row r="33" customFormat="false" ht="15" hidden="false" customHeight="false" outlineLevel="0" collapsed="false">
      <c r="A33" s="64" t="str">
        <f aca="false">IF(入力!B78="","",ROW()-23)</f>
        <v/>
      </c>
      <c r="B33" s="65" t="str">
        <f aca="false">IF(入力!A78="","",入力!A78)</f>
        <v/>
      </c>
      <c r="C33" s="65" t="str">
        <f aca="false">IF(入力!B78="","",入力!B78)</f>
        <v/>
      </c>
      <c r="D33" s="66" t="str">
        <f aca="false">IF(入力!C78="","",入力!C78)</f>
        <v/>
      </c>
      <c r="E33" s="67" t="str">
        <f aca="false">IF(入力!D78="","",入力!D78)</f>
        <v/>
      </c>
      <c r="F33" s="50" t="str">
        <f aca="false">IF(入力!E78="","",入力!E78)</f>
        <v/>
      </c>
      <c r="G33" s="68" t="str">
        <f aca="false">IF(COUNT(入力!C78,入力!D78)&lt;2,"",入力!C78*入力!D78)</f>
        <v/>
      </c>
    </row>
    <row r="34" customFormat="false" ht="15" hidden="false" customHeight="false" outlineLevel="0" collapsed="false">
      <c r="A34" s="69"/>
      <c r="B34" s="69"/>
      <c r="C34" s="69"/>
      <c r="D34" s="70" t="s">
        <v>177</v>
      </c>
      <c r="E34" s="70"/>
      <c r="F34" s="70"/>
      <c r="G34" s="71" t="n">
        <f aca="false">SUM(G16:G33)</f>
        <v>0</v>
      </c>
    </row>
    <row r="35" customFormat="false" ht="15" hidden="false" customHeight="false" outlineLevel="0" collapsed="false">
      <c r="A35" s="69"/>
      <c r="B35" s="69"/>
      <c r="C35" s="69"/>
      <c r="D35" s="70" t="s">
        <v>178</v>
      </c>
      <c r="E35" s="70"/>
      <c r="F35" s="70"/>
      <c r="G35" s="71" t="n">
        <f aca="false">ROUND(G34*0.1,0)</f>
        <v>0</v>
      </c>
    </row>
    <row r="36" customFormat="false" ht="15" hidden="false" customHeight="false" outlineLevel="0" collapsed="false">
      <c r="A36" s="69"/>
      <c r="B36" s="69"/>
      <c r="C36" s="69"/>
      <c r="D36" s="70" t="s">
        <v>179</v>
      </c>
      <c r="E36" s="70"/>
      <c r="F36" s="70"/>
      <c r="G36" s="71" t="n">
        <f aca="false">ROUND((G34+G35)*0.1,0)</f>
        <v>0</v>
      </c>
    </row>
    <row r="37" customFormat="false" ht="15" hidden="false" customHeight="false" outlineLevel="0" collapsed="false">
      <c r="A37" s="72" t="s">
        <v>180</v>
      </c>
      <c r="B37" s="72"/>
      <c r="C37" s="72"/>
      <c r="D37" s="70" t="s">
        <v>181</v>
      </c>
      <c r="E37" s="70"/>
      <c r="F37" s="70"/>
      <c r="G37" s="71" t="n">
        <f aca="false">N(入力!B79)</f>
        <v>0</v>
      </c>
    </row>
    <row r="38" customFormat="false" ht="15" hidden="false" customHeight="false" outlineLevel="0" collapsed="false">
      <c r="A38" s="69"/>
      <c r="B38" s="69"/>
      <c r="C38" s="69"/>
      <c r="D38" s="70" t="s">
        <v>182</v>
      </c>
      <c r="E38" s="70"/>
      <c r="F38" s="70"/>
      <c r="G38" s="71" t="n">
        <f aca="false">N(入力!B80)</f>
        <v>0</v>
      </c>
    </row>
    <row r="39" customFormat="false" ht="15" hidden="false" customHeight="false" outlineLevel="0" collapsed="false">
      <c r="A39" s="69"/>
      <c r="B39" s="69"/>
      <c r="C39" s="69"/>
      <c r="D39" s="60" t="s">
        <v>183</v>
      </c>
      <c r="E39" s="60"/>
      <c r="F39" s="60"/>
      <c r="G39" s="73" t="n">
        <f aca="false">G34+G35+G36+G37+G38</f>
        <v>0</v>
      </c>
    </row>
    <row r="41" customFormat="false" ht="15" hidden="false" customHeight="false" outlineLevel="0" collapsed="false">
      <c r="A41" s="7" t="s">
        <v>184</v>
      </c>
      <c r="B41" s="29"/>
      <c r="C41" s="29"/>
      <c r="D41" s="29"/>
      <c r="E41" s="29"/>
      <c r="F41" s="29"/>
      <c r="G41" s="29"/>
    </row>
    <row r="42" customFormat="false" ht="15" hidden="false" customHeight="false" outlineLevel="0" collapsed="false">
      <c r="B42" s="29"/>
      <c r="C42" s="29"/>
      <c r="D42" s="29"/>
      <c r="E42" s="29"/>
      <c r="F42" s="29"/>
      <c r="G42" s="29"/>
    </row>
    <row r="43" customFormat="false" ht="15" hidden="false" customHeight="false" outlineLevel="0" collapsed="false">
      <c r="B43" s="29"/>
      <c r="C43" s="29"/>
      <c r="D43" s="29"/>
      <c r="E43" s="29"/>
      <c r="F43" s="29"/>
      <c r="G43" s="29"/>
    </row>
  </sheetData>
  <sheetProtection sheet="true"/>
  <mergeCells count="35">
    <mergeCell ref="B1:E2"/>
    <mergeCell ref="A4:D4"/>
    <mergeCell ref="F4:G5"/>
    <mergeCell ref="A5:D5"/>
    <mergeCell ref="A6:D6"/>
    <mergeCell ref="F6:G6"/>
    <mergeCell ref="A7:D7"/>
    <mergeCell ref="F7:G7"/>
    <mergeCell ref="A8:D8"/>
    <mergeCell ref="F8:G8"/>
    <mergeCell ref="A10:B10"/>
    <mergeCell ref="C10:E10"/>
    <mergeCell ref="F10:G10"/>
    <mergeCell ref="A11:B11"/>
    <mergeCell ref="C11:E11"/>
    <mergeCell ref="F11:G11"/>
    <mergeCell ref="A12:B12"/>
    <mergeCell ref="C12:E12"/>
    <mergeCell ref="A13:B13"/>
    <mergeCell ref="C13:E13"/>
    <mergeCell ref="F13:G13"/>
    <mergeCell ref="F14:G14"/>
    <mergeCell ref="A34:C34"/>
    <mergeCell ref="D34:F34"/>
    <mergeCell ref="A35:C35"/>
    <mergeCell ref="D35:F35"/>
    <mergeCell ref="A36:C36"/>
    <mergeCell ref="D36:F36"/>
    <mergeCell ref="A37:C37"/>
    <mergeCell ref="D37:F37"/>
    <mergeCell ref="A38:C38"/>
    <mergeCell ref="D38:F38"/>
    <mergeCell ref="A39:C39"/>
    <mergeCell ref="D39:F39"/>
    <mergeCell ref="B41:G43"/>
  </mergeCells>
  <printOptions headings="false" gridLines="false" gridLinesSet="true" horizontalCentered="false" verticalCentered="false"/>
  <pageMargins left="0.4" right="0.4" top="0.5" bottom="0.5"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&amp;C印刷: &amp;D &amp;T&amp;R&amp;P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5"/>
    <col collapsed="false" customWidth="true" hidden="false" outlineLevel="0" max="2" min="2" style="1" width="16"/>
    <col collapsed="false" customWidth="true" hidden="false" outlineLevel="0" max="3" min="3" style="1" width="30"/>
    <col collapsed="false" customWidth="true" hidden="false" outlineLevel="0" max="4" min="4" style="1" width="11"/>
    <col collapsed="false" customWidth="true" hidden="false" outlineLevel="0" max="6" min="5" style="1" width="7"/>
    <col collapsed="false" customWidth="true" hidden="false" outlineLevel="0" max="7" min="7" style="1" width="13"/>
  </cols>
  <sheetData>
    <row r="1" customFormat="false" ht="15" hidden="false" customHeight="false" outlineLevel="0" collapsed="false">
      <c r="B1" s="48" t="s">
        <v>185</v>
      </c>
      <c r="C1" s="48"/>
      <c r="D1" s="48"/>
      <c r="E1" s="48"/>
      <c r="F1" s="49" t="s">
        <v>186</v>
      </c>
      <c r="G1" s="50" t="str">
        <f aca="false">IF(入力!B87="","",SUBSTITUTE(入力!B87,"Q-","I-"))</f>
        <v/>
      </c>
    </row>
    <row r="2" customFormat="false" ht="15" hidden="false" customHeight="false" outlineLevel="0" collapsed="false">
      <c r="B2" s="48"/>
      <c r="C2" s="48"/>
      <c r="D2" s="48"/>
      <c r="E2" s="48"/>
      <c r="F2" s="49" t="s">
        <v>187</v>
      </c>
      <c r="G2" s="74"/>
    </row>
    <row r="3" customFormat="false" ht="15" hidden="false" customHeight="false" outlineLevel="0" collapsed="false">
      <c r="F3" s="49" t="s">
        <v>116</v>
      </c>
      <c r="G3" s="50" t="str">
        <f aca="false">IF(入力!B86="","",入力!B86)</f>
        <v/>
      </c>
    </row>
    <row r="4" customFormat="false" ht="15" hidden="false" customHeight="false" outlineLevel="0" collapsed="false">
      <c r="A4" s="52" t="str">
        <f aca="false">IF(入力!B5="","",入力!B5&amp;"  御中")</f>
        <v/>
      </c>
      <c r="B4" s="52"/>
      <c r="C4" s="52"/>
      <c r="D4" s="52"/>
      <c r="F4" s="53" t="s">
        <v>167</v>
      </c>
      <c r="G4" s="53"/>
    </row>
    <row r="5" customFormat="false" ht="15" hidden="false" customHeight="false" outlineLevel="0" collapsed="false">
      <c r="A5" s="54" t="str">
        <f aca="false">IF(入力!B6="","",入力!B6)</f>
        <v/>
      </c>
      <c r="B5" s="54"/>
      <c r="C5" s="54"/>
      <c r="D5" s="54"/>
      <c r="F5" s="53"/>
      <c r="G5" s="53"/>
    </row>
    <row r="6" customFormat="false" ht="15" hidden="false" customHeight="false" outlineLevel="0" collapsed="false">
      <c r="A6" s="54" t="str">
        <f aca="false">IF(入力!B7="","",入力!B7)</f>
        <v/>
      </c>
      <c r="B6" s="54"/>
      <c r="C6" s="54"/>
      <c r="D6" s="54"/>
      <c r="F6" s="55" t="str">
        <f aca="false">マスタ!I2</f>
        <v>(ホテル名を入力)</v>
      </c>
      <c r="G6" s="55"/>
    </row>
    <row r="7" customFormat="false" ht="15" hidden="false" customHeight="false" outlineLevel="0" collapsed="false">
      <c r="A7" s="36" t="str">
        <f aca="false">IF(入力!B10="","","ご担当: "&amp;入力!B10)</f>
        <v/>
      </c>
      <c r="B7" s="36"/>
      <c r="C7" s="36"/>
      <c r="D7" s="36"/>
      <c r="F7" s="56" t="str">
        <f aca="false">マスタ!I3</f>
        <v>(住所・TELを入力)</v>
      </c>
      <c r="G7" s="56"/>
    </row>
    <row r="8" customFormat="false" ht="15" hidden="false" customHeight="false" outlineLevel="0" collapsed="false">
      <c r="A8" s="57" t="s">
        <v>188</v>
      </c>
      <c r="B8" s="57"/>
      <c r="C8" s="57"/>
      <c r="D8" s="57"/>
      <c r="F8" s="56" t="str">
        <f aca="false">"インボイス登録番号 "&amp;マスタ!I4</f>
        <v>インボイス登録番号 T0000000000000</v>
      </c>
      <c r="G8" s="56"/>
    </row>
    <row r="9" customFormat="false" ht="15" hidden="false" customHeight="false" outlineLevel="0" collapsed="false">
      <c r="F9" s="58" t="s">
        <v>162</v>
      </c>
      <c r="G9" s="59" t="n">
        <f aca="false">マスタ!I5</f>
        <v>0</v>
      </c>
    </row>
    <row r="10" customFormat="false" ht="15" hidden="false" customHeight="false" outlineLevel="0" collapsed="false">
      <c r="A10" s="60" t="s">
        <v>169</v>
      </c>
      <c r="B10" s="60"/>
      <c r="C10" s="54" t="str">
        <f aca="false">IF(入力!B7&lt;&gt;"",入力!B7,IF(入力!B6&lt;&gt;"",入力!B6,IF(入力!B5="","",入力!B5&amp;"様")))</f>
        <v/>
      </c>
      <c r="D10" s="54"/>
      <c r="E10" s="54"/>
      <c r="F10" s="61" t="s">
        <v>189</v>
      </c>
      <c r="G10" s="61"/>
    </row>
    <row r="11" customFormat="false" ht="24" hidden="false" customHeight="true" outlineLevel="0" collapsed="false">
      <c r="A11" s="60" t="s">
        <v>171</v>
      </c>
      <c r="B11" s="60"/>
      <c r="C11" s="54" t="str">
        <f aca="false">IF(入力!B14="","",TEXT(入力!B14,"yyyy/m/d")&amp;" 〜 "&amp;IF(入力!B15="","",TEXT(入力!B15,"m/d")))</f>
        <v/>
      </c>
      <c r="D11" s="54"/>
      <c r="E11" s="54"/>
      <c r="F11" s="62" t="str">
        <f aca="false">G31</f>
        <v/>
      </c>
      <c r="G11" s="62"/>
    </row>
    <row r="12" customFormat="false" ht="15" hidden="false" customHeight="false" outlineLevel="0" collapsed="false">
      <c r="A12" s="60" t="s">
        <v>172</v>
      </c>
      <c r="B12" s="60"/>
      <c r="C12" s="54" t="str">
        <f aca="false">IF(入力!B24="","",入力!B24&amp;"名(大人"&amp;N(入力!B21)&amp;"・子供"&amp;N(入力!B22)&amp;"・添乗員"&amp;N(入力!B23)&amp;")")</f>
        <v/>
      </c>
      <c r="D12" s="54"/>
      <c r="E12" s="54"/>
    </row>
    <row r="13" customFormat="false" ht="15" hidden="false" customHeight="false" outlineLevel="0" collapsed="false">
      <c r="A13" s="60" t="s">
        <v>173</v>
      </c>
      <c r="B13" s="60"/>
      <c r="C13" s="54" t="str">
        <f aca="false">IF(入力!B64="","",入力!B64)</f>
        <v/>
      </c>
      <c r="D13" s="54"/>
      <c r="E13" s="54"/>
      <c r="F13" s="60" t="s">
        <v>190</v>
      </c>
      <c r="G13" s="60"/>
    </row>
    <row r="14" customFormat="false" ht="15" hidden="false" customHeight="false" outlineLevel="0" collapsed="false">
      <c r="F14" s="75"/>
      <c r="G14" s="75"/>
    </row>
    <row r="15" customFormat="false" ht="15" hidden="false" customHeight="false" outlineLevel="0" collapsed="false">
      <c r="A15" s="38" t="s">
        <v>174</v>
      </c>
      <c r="B15" s="7" t="s">
        <v>175</v>
      </c>
      <c r="C15" s="7" t="s">
        <v>63</v>
      </c>
      <c r="D15" s="7" t="s">
        <v>97</v>
      </c>
      <c r="E15" s="7" t="s">
        <v>66</v>
      </c>
      <c r="F15" s="7" t="s">
        <v>176</v>
      </c>
      <c r="G15" s="7" t="s">
        <v>52</v>
      </c>
    </row>
    <row r="16" customFormat="false" ht="15" hidden="false" customHeight="false" outlineLevel="0" collapsed="false">
      <c r="A16" s="64" t="str">
        <f aca="false">IF(入力!A31="","",ROW()-15)</f>
        <v/>
      </c>
      <c r="B16" s="65" t="str">
        <f aca="false">IF(入力!A31="","","宿泊")</f>
        <v/>
      </c>
      <c r="C16" s="65" t="str">
        <f aca="false">IF(入力!A31="","",入力!A31&amp;IF(入力!D31="","","("&amp;入力!D31&amp;"泊)"))</f>
        <v/>
      </c>
      <c r="D16" s="66" t="str">
        <f aca="false">IF(入力!A31="","",入力!C31)</f>
        <v/>
      </c>
      <c r="E16" s="67" t="str">
        <f aca="false">IF(OR(入力!A31="",COUNT(入力!B31,入力!D31)&lt;2),"",入力!B31*入力!D31)</f>
        <v/>
      </c>
      <c r="F16" s="50" t="str">
        <f aca="false">IF(入力!A31="","","室")</f>
        <v/>
      </c>
      <c r="G16" s="68" t="str">
        <f aca="false">IF(入力!E31="","",入力!E31)</f>
        <v/>
      </c>
    </row>
    <row r="17" customFormat="false" ht="15" hidden="false" customHeight="false" outlineLevel="0" collapsed="false">
      <c r="A17" s="64" t="str">
        <f aca="false">IF(入力!A32="","",ROW()-15)</f>
        <v/>
      </c>
      <c r="B17" s="65" t="str">
        <f aca="false">IF(入力!A32="","","宿泊")</f>
        <v/>
      </c>
      <c r="C17" s="65" t="str">
        <f aca="false">IF(入力!A32="","",入力!A32&amp;IF(入力!D32="","","("&amp;入力!D32&amp;"泊)"))</f>
        <v/>
      </c>
      <c r="D17" s="66" t="str">
        <f aca="false">IF(入力!A32="","",入力!C32)</f>
        <v/>
      </c>
      <c r="E17" s="67" t="str">
        <f aca="false">IF(OR(入力!A32="",COUNT(入力!B32,入力!D32)&lt;2),"",入力!B32*入力!D32)</f>
        <v/>
      </c>
      <c r="F17" s="50" t="str">
        <f aca="false">IF(入力!A32="","","室")</f>
        <v/>
      </c>
      <c r="G17" s="68" t="str">
        <f aca="false">IF(入力!E32="","",入力!E32)</f>
        <v/>
      </c>
    </row>
    <row r="18" customFormat="false" ht="15" hidden="false" customHeight="false" outlineLevel="0" collapsed="false">
      <c r="A18" s="64" t="str">
        <f aca="false">IF(入力!A33="","",ROW()-15)</f>
        <v/>
      </c>
      <c r="B18" s="65" t="str">
        <f aca="false">IF(入力!A33="","","宿泊")</f>
        <v/>
      </c>
      <c r="C18" s="65" t="str">
        <f aca="false">IF(入力!A33="","",入力!A33&amp;IF(入力!D33="","","("&amp;入力!D33&amp;"泊)"))</f>
        <v/>
      </c>
      <c r="D18" s="66" t="str">
        <f aca="false">IF(入力!A33="","",入力!C33)</f>
        <v/>
      </c>
      <c r="E18" s="67" t="str">
        <f aca="false">IF(OR(入力!A33="",COUNT(入力!B33,入力!D33)&lt;2),"",入力!B33*入力!D33)</f>
        <v/>
      </c>
      <c r="F18" s="50" t="str">
        <f aca="false">IF(入力!A33="","","室")</f>
        <v/>
      </c>
      <c r="G18" s="68" t="str">
        <f aca="false">IF(入力!E33="","",入力!E33)</f>
        <v/>
      </c>
    </row>
    <row r="19" customFormat="false" ht="15" hidden="false" customHeight="false" outlineLevel="0" collapsed="false">
      <c r="A19" s="64" t="str">
        <f aca="false">IF(入力!A34="","",ROW()-15)</f>
        <v/>
      </c>
      <c r="B19" s="65" t="str">
        <f aca="false">IF(入力!A34="","","宿泊")</f>
        <v/>
      </c>
      <c r="C19" s="65" t="str">
        <f aca="false">IF(入力!A34="","",入力!A34&amp;IF(入力!D34="","","("&amp;入力!D34&amp;"泊)"))</f>
        <v/>
      </c>
      <c r="D19" s="66" t="str">
        <f aca="false">IF(入力!A34="","",入力!C34)</f>
        <v/>
      </c>
      <c r="E19" s="67" t="str">
        <f aca="false">IF(OR(入力!A34="",COUNT(入力!B34,入力!D34)&lt;2),"",入力!B34*入力!D34)</f>
        <v/>
      </c>
      <c r="F19" s="50" t="str">
        <f aca="false">IF(入力!A34="","","室")</f>
        <v/>
      </c>
      <c r="G19" s="68" t="str">
        <f aca="false">IF(入力!E34="","",入力!E34)</f>
        <v/>
      </c>
    </row>
    <row r="20" customFormat="false" ht="15" hidden="false" customHeight="false" outlineLevel="0" collapsed="false">
      <c r="A20" s="64" t="str">
        <f aca="false">IF(入力!A35="","",ROW()-15)</f>
        <v/>
      </c>
      <c r="B20" s="65" t="str">
        <f aca="false">IF(入力!A35="","","宿泊")</f>
        <v/>
      </c>
      <c r="C20" s="65" t="str">
        <f aca="false">IF(入力!A35="","",入力!A35&amp;IF(入力!D35="","","("&amp;入力!D35&amp;"泊)"))</f>
        <v/>
      </c>
      <c r="D20" s="66" t="str">
        <f aca="false">IF(入力!A35="","",入力!C35)</f>
        <v/>
      </c>
      <c r="E20" s="67" t="str">
        <f aca="false">IF(OR(入力!A35="",COUNT(入力!B35,入力!D35)&lt;2),"",入力!B35*入力!D35)</f>
        <v/>
      </c>
      <c r="F20" s="50" t="str">
        <f aca="false">IF(入力!A35="","","室")</f>
        <v/>
      </c>
      <c r="G20" s="68" t="str">
        <f aca="false">IF(入力!E35="","",入力!E35)</f>
        <v/>
      </c>
    </row>
    <row r="21" customFormat="false" ht="15" hidden="false" customHeight="false" outlineLevel="0" collapsed="false">
      <c r="A21" s="64" t="str">
        <f aca="false">IF(入力!A36="","",ROW()-15)</f>
        <v/>
      </c>
      <c r="B21" s="65" t="str">
        <f aca="false">IF(入力!A36="","","宿泊")</f>
        <v/>
      </c>
      <c r="C21" s="65" t="str">
        <f aca="false">IF(入力!A36="","",入力!A36&amp;IF(入力!D36="","","("&amp;入力!D36&amp;"泊)"))</f>
        <v/>
      </c>
      <c r="D21" s="66" t="str">
        <f aca="false">IF(入力!A36="","",入力!C36)</f>
        <v/>
      </c>
      <c r="E21" s="67" t="str">
        <f aca="false">IF(OR(入力!A36="",COUNT(入力!B36,入力!D36)&lt;2),"",入力!B36*入力!D36)</f>
        <v/>
      </c>
      <c r="F21" s="50" t="str">
        <f aca="false">IF(入力!A36="","","室")</f>
        <v/>
      </c>
      <c r="G21" s="68" t="str">
        <f aca="false">IF(入力!E36="","",入力!E36)</f>
        <v/>
      </c>
    </row>
    <row r="22" customFormat="false" ht="15" hidden="false" customHeight="false" outlineLevel="0" collapsed="false">
      <c r="A22" s="64" t="str">
        <f aca="false">IF(入力!A37="","",ROW()-15)</f>
        <v/>
      </c>
      <c r="B22" s="65" t="str">
        <f aca="false">IF(入力!A37="","","宿泊")</f>
        <v/>
      </c>
      <c r="C22" s="65" t="str">
        <f aca="false">IF(入力!A37="","",入力!A37&amp;IF(入力!D37="","","("&amp;入力!D37&amp;"泊)"))</f>
        <v/>
      </c>
      <c r="D22" s="66" t="str">
        <f aca="false">IF(入力!A37="","",入力!C37)</f>
        <v/>
      </c>
      <c r="E22" s="67" t="str">
        <f aca="false">IF(OR(入力!A37="",COUNT(入力!B37,入力!D37)&lt;2),"",入力!B37*入力!D37)</f>
        <v/>
      </c>
      <c r="F22" s="50" t="str">
        <f aca="false">IF(入力!A37="","","室")</f>
        <v/>
      </c>
      <c r="G22" s="68" t="str">
        <f aca="false">IF(入力!E37="","",入力!E37)</f>
        <v/>
      </c>
    </row>
    <row r="23" customFormat="false" ht="15" hidden="false" customHeight="false" outlineLevel="0" collapsed="false">
      <c r="A23" s="64" t="str">
        <f aca="false">IF(入力!A38="","",ROW()-15)</f>
        <v/>
      </c>
      <c r="B23" s="65" t="str">
        <f aca="false">IF(入力!A38="","","宿泊")</f>
        <v/>
      </c>
      <c r="C23" s="65" t="str">
        <f aca="false">IF(入力!A38="","",入力!A38&amp;IF(入力!D38="","","("&amp;入力!D38&amp;"泊)"))</f>
        <v/>
      </c>
      <c r="D23" s="66" t="str">
        <f aca="false">IF(入力!A38="","",入力!C38)</f>
        <v/>
      </c>
      <c r="E23" s="67" t="str">
        <f aca="false">IF(OR(入力!A38="",COUNT(入力!B38,入力!D38)&lt;2),"",入力!B38*入力!D38)</f>
        <v/>
      </c>
      <c r="F23" s="50" t="str">
        <f aca="false">IF(入力!A38="","","室")</f>
        <v/>
      </c>
      <c r="G23" s="68" t="str">
        <f aca="false">IF(入力!E38="","",入力!E38)</f>
        <v/>
      </c>
    </row>
    <row r="24" customFormat="false" ht="15" hidden="false" customHeight="false" outlineLevel="0" collapsed="false">
      <c r="A24" s="64" t="str">
        <f aca="false">IF(入力!B69="","",ROW()-23)</f>
        <v/>
      </c>
      <c r="B24" s="65" t="str">
        <f aca="false">IF(入力!A69="","",入力!A69)</f>
        <v/>
      </c>
      <c r="C24" s="65" t="str">
        <f aca="false">IF(入力!B69="","",入力!B69)</f>
        <v/>
      </c>
      <c r="D24" s="66" t="str">
        <f aca="false">IF(入力!C69="","",入力!C69)</f>
        <v/>
      </c>
      <c r="E24" s="67" t="str">
        <f aca="false">IF(入力!D69="","",入力!D69)</f>
        <v/>
      </c>
      <c r="F24" s="50" t="str">
        <f aca="false">IF(入力!E69="","",入力!E69)</f>
        <v/>
      </c>
      <c r="G24" s="68" t="str">
        <f aca="false">IF(COUNT(入力!C69,入力!D69)&lt;2,"",入力!C69*入力!D69)</f>
        <v/>
      </c>
    </row>
    <row r="25" customFormat="false" ht="15" hidden="false" customHeight="false" outlineLevel="0" collapsed="false">
      <c r="A25" s="64" t="str">
        <f aca="false">IF(入力!B70="","",ROW()-23)</f>
        <v/>
      </c>
      <c r="B25" s="65" t="str">
        <f aca="false">IF(入力!A70="","",入力!A70)</f>
        <v/>
      </c>
      <c r="C25" s="65" t="str">
        <f aca="false">IF(入力!B70="","",入力!B70)</f>
        <v/>
      </c>
      <c r="D25" s="66" t="str">
        <f aca="false">IF(入力!C70="","",入力!C70)</f>
        <v/>
      </c>
      <c r="E25" s="67" t="str">
        <f aca="false">IF(入力!D70="","",入力!D70)</f>
        <v/>
      </c>
      <c r="F25" s="50" t="str">
        <f aca="false">IF(入力!E70="","",入力!E70)</f>
        <v/>
      </c>
      <c r="G25" s="68" t="str">
        <f aca="false">IF(COUNT(入力!C70,入力!D70)&lt;2,"",入力!C70*入力!D70)</f>
        <v/>
      </c>
    </row>
    <row r="26" customFormat="false" ht="15" hidden="false" customHeight="false" outlineLevel="0" collapsed="false">
      <c r="A26" s="64" t="str">
        <f aca="false">IF(入力!B71="","",ROW()-23)</f>
        <v/>
      </c>
      <c r="B26" s="65" t="str">
        <f aca="false">IF(入力!A71="","",入力!A71)</f>
        <v/>
      </c>
      <c r="C26" s="65" t="str">
        <f aca="false">IF(入力!B71="","",入力!B71)</f>
        <v/>
      </c>
      <c r="D26" s="66" t="str">
        <f aca="false">IF(入力!C71="","",入力!C71)</f>
        <v/>
      </c>
      <c r="E26" s="67" t="str">
        <f aca="false">IF(入力!D71="","",入力!D71)</f>
        <v/>
      </c>
      <c r="F26" s="50" t="str">
        <f aca="false">IF(入力!E71="","",入力!E71)</f>
        <v/>
      </c>
      <c r="G26" s="68" t="str">
        <f aca="false">IF(COUNT(入力!C71,入力!D71)&lt;2,"",入力!C71*入力!D71)</f>
        <v/>
      </c>
    </row>
    <row r="27" customFormat="false" ht="15" hidden="false" customHeight="false" outlineLevel="0" collapsed="false">
      <c r="A27" s="64" t="str">
        <f aca="false">IF(入力!B72="","",ROW()-23)</f>
        <v/>
      </c>
      <c r="B27" s="65" t="str">
        <f aca="false">IF(入力!A72="","",入力!A72)</f>
        <v/>
      </c>
      <c r="C27" s="65" t="str">
        <f aca="false">IF(入力!B72="","",入力!B72)</f>
        <v/>
      </c>
      <c r="D27" s="66" t="str">
        <f aca="false">IF(入力!C72="","",入力!C72)</f>
        <v/>
      </c>
      <c r="E27" s="67" t="str">
        <f aca="false">IF(入力!D72="","",入力!D72)</f>
        <v/>
      </c>
      <c r="F27" s="50" t="str">
        <f aca="false">IF(入力!E72="","",入力!E72)</f>
        <v/>
      </c>
      <c r="G27" s="68" t="str">
        <f aca="false">IF(COUNT(入力!C72,入力!D72)&lt;2,"",入力!C72*入力!D72)</f>
        <v/>
      </c>
    </row>
    <row r="28" customFormat="false" ht="15" hidden="false" customHeight="false" outlineLevel="0" collapsed="false">
      <c r="A28" s="64" t="str">
        <f aca="false">IF(入力!B73="","",ROW()-23)</f>
        <v/>
      </c>
      <c r="B28" s="65" t="str">
        <f aca="false">IF(入力!A73="","",入力!A73)</f>
        <v/>
      </c>
      <c r="C28" s="65" t="str">
        <f aca="false">IF(入力!B73="","",入力!B73)</f>
        <v/>
      </c>
      <c r="D28" s="66" t="str">
        <f aca="false">IF(入力!C73="","",入力!C73)</f>
        <v/>
      </c>
      <c r="E28" s="67" t="str">
        <f aca="false">IF(入力!D73="","",入力!D73)</f>
        <v/>
      </c>
      <c r="F28" s="50" t="str">
        <f aca="false">IF(入力!E73="","",入力!E73)</f>
        <v/>
      </c>
      <c r="G28" s="68" t="str">
        <f aca="false">IF(COUNT(入力!C73,入力!D73)&lt;2,"",入力!C73*入力!D73)</f>
        <v/>
      </c>
    </row>
    <row r="29" customFormat="false" ht="15" hidden="false" customHeight="false" outlineLevel="0" collapsed="false">
      <c r="A29" s="64" t="str">
        <f aca="false">IF(入力!B74="","",ROW()-23)</f>
        <v/>
      </c>
      <c r="B29" s="65" t="str">
        <f aca="false">IF(入力!A74="","",入力!A74)</f>
        <v/>
      </c>
      <c r="C29" s="65" t="str">
        <f aca="false">IF(入力!B74="","",入力!B74)</f>
        <v/>
      </c>
      <c r="D29" s="66" t="str">
        <f aca="false">IF(入力!C74="","",入力!C74)</f>
        <v/>
      </c>
      <c r="E29" s="67" t="str">
        <f aca="false">IF(入力!D74="","",入力!D74)</f>
        <v/>
      </c>
      <c r="F29" s="50" t="str">
        <f aca="false">IF(入力!E74="","",入力!E74)</f>
        <v/>
      </c>
      <c r="G29" s="68" t="str">
        <f aca="false">IF(COUNT(入力!C74,入力!D74)&lt;2,"",入力!C74*入力!D74)</f>
        <v/>
      </c>
    </row>
    <row r="30" customFormat="false" ht="15" hidden="false" customHeight="false" outlineLevel="0" collapsed="false">
      <c r="A30" s="64" t="str">
        <f aca="false">IF(入力!B75="","",ROW()-23)</f>
        <v/>
      </c>
      <c r="B30" s="65" t="str">
        <f aca="false">IF(入力!A75="","",入力!A75)</f>
        <v/>
      </c>
      <c r="C30" s="65" t="str">
        <f aca="false">IF(入力!B75="","",入力!B75)</f>
        <v/>
      </c>
      <c r="D30" s="66" t="str">
        <f aca="false">IF(入力!C75="","",入力!C75)</f>
        <v/>
      </c>
      <c r="E30" s="67" t="str">
        <f aca="false">IF(入力!D75="","",入力!D75)</f>
        <v/>
      </c>
      <c r="F30" s="50" t="str">
        <f aca="false">IF(入力!E75="","",入力!E75)</f>
        <v/>
      </c>
      <c r="G30" s="68" t="str">
        <f aca="false">IF(COUNT(入力!C75,入力!D75)&lt;2,"",入力!C75*入力!D75)</f>
        <v/>
      </c>
    </row>
    <row r="31" customFormat="false" ht="15" hidden="false" customHeight="false" outlineLevel="0" collapsed="false">
      <c r="A31" s="64" t="str">
        <f aca="false">IF(入力!B76="","",ROW()-23)</f>
        <v/>
      </c>
      <c r="B31" s="65" t="str">
        <f aca="false">IF(入力!A76="","",入力!A76)</f>
        <v/>
      </c>
      <c r="C31" s="65" t="str">
        <f aca="false">IF(入力!B76="","",入力!B76)</f>
        <v/>
      </c>
      <c r="D31" s="66" t="str">
        <f aca="false">IF(入力!C76="","",入力!C76)</f>
        <v/>
      </c>
      <c r="E31" s="67" t="str">
        <f aca="false">IF(入力!D76="","",入力!D76)</f>
        <v/>
      </c>
      <c r="F31" s="50" t="str">
        <f aca="false">IF(入力!E76="","",入力!E76)</f>
        <v/>
      </c>
      <c r="G31" s="68" t="str">
        <f aca="false">IF(COUNT(入力!C76,入力!D76)&lt;2,"",入力!C76*入力!D76)</f>
        <v/>
      </c>
    </row>
    <row r="32" customFormat="false" ht="15" hidden="false" customHeight="false" outlineLevel="0" collapsed="false">
      <c r="A32" s="64" t="str">
        <f aca="false">IF(入力!B77="","",ROW()-23)</f>
        <v/>
      </c>
      <c r="B32" s="65" t="str">
        <f aca="false">IF(入力!A77="","",入力!A77)</f>
        <v/>
      </c>
      <c r="C32" s="65" t="str">
        <f aca="false">IF(入力!B77="","",入力!B77)</f>
        <v/>
      </c>
      <c r="D32" s="66" t="str">
        <f aca="false">IF(入力!C77="","",入力!C77)</f>
        <v/>
      </c>
      <c r="E32" s="67" t="str">
        <f aca="false">IF(入力!D77="","",入力!D77)</f>
        <v/>
      </c>
      <c r="F32" s="50" t="str">
        <f aca="false">IF(入力!E77="","",入力!E77)</f>
        <v/>
      </c>
      <c r="G32" s="68" t="str">
        <f aca="false">IF(COUNT(入力!C77,入力!D77)&lt;2,"",入力!C77*入力!D77)</f>
        <v/>
      </c>
    </row>
    <row r="33" customFormat="false" ht="15" hidden="false" customHeight="false" outlineLevel="0" collapsed="false">
      <c r="A33" s="64" t="str">
        <f aca="false">IF(入力!B78="","",ROW()-23)</f>
        <v/>
      </c>
      <c r="B33" s="65" t="str">
        <f aca="false">IF(入力!A78="","",入力!A78)</f>
        <v/>
      </c>
      <c r="C33" s="65" t="str">
        <f aca="false">IF(入力!B78="","",入力!B78)</f>
        <v/>
      </c>
      <c r="D33" s="66" t="str">
        <f aca="false">IF(入力!C78="","",入力!C78)</f>
        <v/>
      </c>
      <c r="E33" s="67" t="str">
        <f aca="false">IF(入力!D78="","",入力!D78)</f>
        <v/>
      </c>
      <c r="F33" s="50" t="str">
        <f aca="false">IF(入力!E78="","",入力!E78)</f>
        <v/>
      </c>
      <c r="G33" s="68" t="str">
        <f aca="false">IF(COUNT(入力!C78,入力!D78)&lt;2,"",入力!C78*入力!D78)</f>
        <v/>
      </c>
    </row>
    <row r="34" customFormat="false" ht="15" hidden="false" customHeight="false" outlineLevel="0" collapsed="false">
      <c r="A34" s="69"/>
      <c r="B34" s="69"/>
      <c r="C34" s="69"/>
      <c r="D34" s="70" t="s">
        <v>177</v>
      </c>
      <c r="E34" s="70"/>
      <c r="F34" s="70"/>
      <c r="G34" s="71" t="n">
        <f aca="false">SUM(G16:G33)</f>
        <v>0</v>
      </c>
    </row>
    <row r="35" customFormat="false" ht="15" hidden="false" customHeight="false" outlineLevel="0" collapsed="false">
      <c r="A35" s="69"/>
      <c r="B35" s="69"/>
      <c r="C35" s="69"/>
      <c r="D35" s="70" t="s">
        <v>178</v>
      </c>
      <c r="E35" s="70"/>
      <c r="F35" s="70"/>
      <c r="G35" s="71" t="n">
        <f aca="false">ROUND(G34*0.1,0)</f>
        <v>0</v>
      </c>
    </row>
    <row r="36" customFormat="false" ht="15" hidden="false" customHeight="false" outlineLevel="0" collapsed="false">
      <c r="A36" s="69"/>
      <c r="B36" s="69"/>
      <c r="C36" s="69"/>
      <c r="D36" s="70" t="s">
        <v>179</v>
      </c>
      <c r="E36" s="70"/>
      <c r="F36" s="70"/>
      <c r="G36" s="71" t="n">
        <f aca="false">ROUND((G34+G35)*0.1,0)</f>
        <v>0</v>
      </c>
    </row>
    <row r="37" customFormat="false" ht="15" hidden="false" customHeight="false" outlineLevel="0" collapsed="false">
      <c r="A37" s="72" t="s">
        <v>180</v>
      </c>
      <c r="B37" s="72"/>
      <c r="C37" s="72"/>
      <c r="D37" s="70" t="s">
        <v>181</v>
      </c>
      <c r="E37" s="70"/>
      <c r="F37" s="70"/>
      <c r="G37" s="71" t="n">
        <f aca="false">N(入力!B79)</f>
        <v>0</v>
      </c>
    </row>
    <row r="38" customFormat="false" ht="15" hidden="false" customHeight="false" outlineLevel="0" collapsed="false">
      <c r="A38" s="69"/>
      <c r="B38" s="69"/>
      <c r="C38" s="69"/>
      <c r="D38" s="70" t="s">
        <v>182</v>
      </c>
      <c r="E38" s="70"/>
      <c r="F38" s="70"/>
      <c r="G38" s="71" t="n">
        <f aca="false">N(入力!B80)</f>
        <v>0</v>
      </c>
    </row>
    <row r="39" customFormat="false" ht="15" hidden="false" customHeight="false" outlineLevel="0" collapsed="false">
      <c r="A39" s="69"/>
      <c r="B39" s="69"/>
      <c r="C39" s="69"/>
      <c r="D39" s="60" t="s">
        <v>191</v>
      </c>
      <c r="E39" s="60"/>
      <c r="F39" s="60"/>
      <c r="G39" s="73" t="n">
        <f aca="false">G34+G35+G36+G37+G38</f>
        <v>0</v>
      </c>
    </row>
    <row r="41" customFormat="false" ht="15" hidden="false" customHeight="false" outlineLevel="0" collapsed="false">
      <c r="A41" s="7" t="s">
        <v>192</v>
      </c>
      <c r="B41" s="36" t="str">
        <f aca="false">マスタ!I6</f>
        <v>(銀行名・支店・口座種別・番号・名義)</v>
      </c>
      <c r="C41" s="36"/>
      <c r="D41" s="36"/>
      <c r="E41" s="36"/>
      <c r="F41" s="36"/>
      <c r="G41" s="36"/>
    </row>
    <row r="42" customFormat="false" ht="15" hidden="false" customHeight="false" outlineLevel="0" collapsed="false">
      <c r="A42" s="7" t="s">
        <v>184</v>
      </c>
      <c r="B42" s="29"/>
      <c r="C42" s="29"/>
      <c r="D42" s="29"/>
      <c r="E42" s="29"/>
      <c r="F42" s="29"/>
      <c r="G42" s="29"/>
    </row>
    <row r="43" customFormat="false" ht="15" hidden="false" customHeight="false" outlineLevel="0" collapsed="false">
      <c r="B43" s="29"/>
      <c r="C43" s="29"/>
      <c r="D43" s="29"/>
      <c r="E43" s="29"/>
      <c r="F43" s="29"/>
      <c r="G43" s="29"/>
    </row>
    <row r="44" customFormat="false" ht="15" hidden="false" customHeight="false" outlineLevel="0" collapsed="false">
      <c r="B44" s="29"/>
      <c r="C44" s="29"/>
      <c r="D44" s="29"/>
      <c r="E44" s="29"/>
      <c r="F44" s="29"/>
      <c r="G44" s="29"/>
    </row>
  </sheetData>
  <sheetProtection sheet="true"/>
  <mergeCells count="36">
    <mergeCell ref="B1:E2"/>
    <mergeCell ref="A4:D4"/>
    <mergeCell ref="F4:G5"/>
    <mergeCell ref="A5:D5"/>
    <mergeCell ref="A6:D6"/>
    <mergeCell ref="F6:G6"/>
    <mergeCell ref="A7:D7"/>
    <mergeCell ref="F7:G7"/>
    <mergeCell ref="A8:D8"/>
    <mergeCell ref="F8:G8"/>
    <mergeCell ref="A10:B10"/>
    <mergeCell ref="C10:E10"/>
    <mergeCell ref="F10:G10"/>
    <mergeCell ref="A11:B11"/>
    <mergeCell ref="C11:E11"/>
    <mergeCell ref="F11:G11"/>
    <mergeCell ref="A12:B12"/>
    <mergeCell ref="C12:E12"/>
    <mergeCell ref="A13:B13"/>
    <mergeCell ref="C13:E13"/>
    <mergeCell ref="F13:G13"/>
    <mergeCell ref="F14:G14"/>
    <mergeCell ref="A34:C34"/>
    <mergeCell ref="D34:F34"/>
    <mergeCell ref="A35:C35"/>
    <mergeCell ref="D35:F35"/>
    <mergeCell ref="A36:C36"/>
    <mergeCell ref="D36:F36"/>
    <mergeCell ref="A37:C37"/>
    <mergeCell ref="D37:F37"/>
    <mergeCell ref="A38:C38"/>
    <mergeCell ref="D38:F38"/>
    <mergeCell ref="A39:C39"/>
    <mergeCell ref="D39:F39"/>
    <mergeCell ref="B41:G41"/>
    <mergeCell ref="B42:G44"/>
  </mergeCells>
  <printOptions headings="false" gridLines="false" gridLinesSet="true" horizontalCentered="false" verticalCentered="false"/>
  <pageMargins left="0.4" right="0.4" top="0.5" bottom="0.5"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&amp;C印刷: &amp;D &amp;T&amp;R&amp;P /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22"/>
    <col collapsed="false" customWidth="true" hidden="false" outlineLevel="0" max="4" min="4" style="1" width="12"/>
    <col collapsed="false" customWidth="true" hidden="false" outlineLevel="0" max="5" min="5" style="1" width="10"/>
    <col collapsed="false" customWidth="true" hidden="false" outlineLevel="0" max="6" min="6" style="1" width="12"/>
    <col collapsed="false" customWidth="true" hidden="false" outlineLevel="0" max="7" min="7" style="1" width="16"/>
  </cols>
  <sheetData>
    <row r="1" customFormat="false" ht="15" hidden="false" customHeight="false" outlineLevel="0" collapsed="false">
      <c r="F1" s="49" t="s">
        <v>193</v>
      </c>
      <c r="G1" s="50" t="str">
        <f aca="false">IF(入力!B87="","",SUBSTITUTE(入力!B87,"Q-","R-"))</f>
        <v/>
      </c>
    </row>
    <row r="2" customFormat="false" ht="15" hidden="false" customHeight="false" outlineLevel="0" collapsed="false">
      <c r="B2" s="76" t="s">
        <v>194</v>
      </c>
      <c r="C2" s="76"/>
      <c r="D2" s="76"/>
      <c r="E2" s="76"/>
      <c r="F2" s="49" t="s">
        <v>120</v>
      </c>
      <c r="G2" s="74"/>
    </row>
    <row r="3" customFormat="false" ht="15" hidden="false" customHeight="false" outlineLevel="0" collapsed="false">
      <c r="B3" s="76"/>
      <c r="C3" s="76"/>
      <c r="D3" s="76"/>
      <c r="E3" s="76"/>
    </row>
    <row r="5" customFormat="false" ht="17.35" hidden="false" customHeight="false" outlineLevel="0" collapsed="false">
      <c r="A5" s="77" t="str">
        <f aca="false">IF(入力!B5="","",入力!B5&amp;"  御中")</f>
        <v/>
      </c>
      <c r="B5" s="77"/>
      <c r="C5" s="77"/>
      <c r="D5" s="77"/>
      <c r="E5" s="77"/>
    </row>
    <row r="6" customFormat="false" ht="15" hidden="false" customHeight="false" outlineLevel="0" collapsed="false">
      <c r="A6" s="54" t="str">
        <f aca="false">IF(入力!B6="","",入力!B6)</f>
        <v/>
      </c>
      <c r="B6" s="54"/>
      <c r="C6" s="54"/>
      <c r="D6" s="54"/>
      <c r="E6" s="54"/>
    </row>
    <row r="8" customFormat="false" ht="25.5" hidden="false" customHeight="true" outlineLevel="0" collapsed="false">
      <c r="B8" s="78" t="str">
        <f aca="false">IF(見積書!G39=0,"","¥ "&amp;TEXT(見積書!G39,"#,##0")&amp;" −")</f>
        <v/>
      </c>
      <c r="C8" s="78"/>
      <c r="D8" s="78"/>
      <c r="E8" s="78"/>
      <c r="F8" s="78"/>
    </row>
    <row r="9" customFormat="false" ht="15" hidden="false" customHeight="false" outlineLevel="0" collapsed="false">
      <c r="B9" s="78"/>
      <c r="C9" s="78"/>
      <c r="D9" s="78"/>
      <c r="E9" s="78"/>
      <c r="F9" s="78"/>
    </row>
    <row r="11" customFormat="false" ht="15" hidden="false" customHeight="false" outlineLevel="0" collapsed="false">
      <c r="A11" s="7" t="s">
        <v>195</v>
      </c>
      <c r="B11" s="79"/>
      <c r="C11" s="79"/>
      <c r="D11" s="79"/>
      <c r="E11" s="79"/>
      <c r="F11" s="80" t="s">
        <v>196</v>
      </c>
      <c r="G11" s="80"/>
    </row>
    <row r="12" customFormat="false" ht="15" hidden="false" customHeight="false" outlineLevel="0" collapsed="false">
      <c r="A12" s="57" t="s">
        <v>197</v>
      </c>
      <c r="B12" s="57"/>
      <c r="C12" s="57"/>
      <c r="D12" s="57"/>
      <c r="E12" s="57"/>
    </row>
    <row r="13" customFormat="false" ht="15" hidden="false" customHeight="false" outlineLevel="0" collapsed="false">
      <c r="F13" s="81" t="s">
        <v>198</v>
      </c>
      <c r="G13" s="81"/>
    </row>
    <row r="14" customFormat="false" ht="15" hidden="false" customHeight="false" outlineLevel="0" collapsed="false">
      <c r="A14" s="14" t="s">
        <v>199</v>
      </c>
      <c r="B14" s="33" t="s">
        <v>200</v>
      </c>
      <c r="C14" s="71" t="str">
        <f aca="false">IF(見積書!G39=0,"",見積書!G39)</f>
        <v/>
      </c>
      <c r="F14" s="81"/>
      <c r="G14" s="81"/>
    </row>
    <row r="15" customFormat="false" ht="15" hidden="false" customHeight="false" outlineLevel="0" collapsed="false">
      <c r="B15" s="33" t="s">
        <v>201</v>
      </c>
      <c r="C15" s="71" t="n">
        <f aca="false">IF(見積書!G36="","",見積書!G36)</f>
        <v>0</v>
      </c>
      <c r="F15" s="81"/>
      <c r="G15" s="81"/>
    </row>
    <row r="16" customFormat="false" ht="15" hidden="false" customHeight="false" outlineLevel="0" collapsed="false">
      <c r="F16" s="81"/>
      <c r="G16" s="81"/>
    </row>
    <row r="18" customFormat="false" ht="15" hidden="false" customHeight="false" outlineLevel="0" collapsed="false">
      <c r="A18" s="55" t="str">
        <f aca="false">マスタ!I2</f>
        <v>(ホテル名を入力)</v>
      </c>
      <c r="B18" s="55"/>
    </row>
    <row r="19" customFormat="false" ht="15" hidden="false" customHeight="false" outlineLevel="0" collapsed="false">
      <c r="A19" s="56" t="str">
        <f aca="false">マスタ!I3</f>
        <v>(住所・TELを入力)</v>
      </c>
      <c r="B19" s="56"/>
      <c r="C19" s="56"/>
      <c r="D19" s="56"/>
    </row>
    <row r="20" customFormat="false" ht="15" hidden="false" customHeight="false" outlineLevel="0" collapsed="false">
      <c r="A20" s="56" t="str">
        <f aca="false">"インボイス登録番号 "&amp;マスタ!I4</f>
        <v>インボイス登録番号 T0000000000000</v>
      </c>
      <c r="B20" s="56"/>
      <c r="C20" s="56"/>
      <c r="D20" s="56"/>
    </row>
  </sheetData>
  <sheetProtection sheet="true"/>
  <mergeCells count="11">
    <mergeCell ref="B2:E3"/>
    <mergeCell ref="A5:E5"/>
    <mergeCell ref="A6:E6"/>
    <mergeCell ref="B8:F9"/>
    <mergeCell ref="B11:E11"/>
    <mergeCell ref="F11:G11"/>
    <mergeCell ref="A12:E12"/>
    <mergeCell ref="F13:G16"/>
    <mergeCell ref="A18:B18"/>
    <mergeCell ref="A19:D19"/>
    <mergeCell ref="A20:D20"/>
  </mergeCells>
  <printOptions headings="false" gridLines="false" gridLinesSet="true" horizontalCentered="false" verticalCentered="false"/>
  <pageMargins left="0.4" right="0.4" top="0.5" bottom="0.5"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&amp;C印刷: &amp;D &amp;T&amp;R&amp;P /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46"/>
    <col collapsed="false" customWidth="true" hidden="false" outlineLevel="0" max="3" min="3" style="1" width="14"/>
    <col collapsed="false" customWidth="true" hidden="false" outlineLevel="0" max="4" min="4" style="1" width="12"/>
    <col collapsed="false" customWidth="true" hidden="false" outlineLevel="0" max="5" min="5" style="1" width="22"/>
  </cols>
  <sheetData>
    <row r="1" customFormat="false" ht="17.35" hidden="false" customHeight="false" outlineLevel="0" collapsed="false">
      <c r="A1" s="82" t="s">
        <v>202</v>
      </c>
      <c r="B1" s="82"/>
      <c r="C1" s="82"/>
      <c r="D1" s="33" t="s">
        <v>116</v>
      </c>
      <c r="E1" s="83" t="str">
        <f aca="false">IF(入力!B86="","",入力!B86)</f>
        <v/>
      </c>
    </row>
    <row r="2" customFormat="false" ht="15" hidden="false" customHeight="false" outlineLevel="0" collapsed="false">
      <c r="A2" s="54" t="str">
        <f aca="false">IF(入力!B7&lt;&gt;"",入力!B7,入力!B6)&amp;IF(入力!B24="","","  "&amp;入力!B24&amp;"名")</f>
        <v/>
      </c>
      <c r="B2" s="54"/>
      <c r="C2" s="54"/>
      <c r="D2" s="33" t="s">
        <v>203</v>
      </c>
      <c r="E2" s="50" t="str">
        <f aca="false">IF(入力!B14="","",TEXT(入力!B14,"m/d")&amp;"〜"&amp;TEXT(入力!B15,"m/d"))</f>
        <v/>
      </c>
    </row>
    <row r="4" customFormat="false" ht="15" hidden="false" customHeight="false" outlineLevel="0" collapsed="false">
      <c r="A4" s="7" t="s">
        <v>204</v>
      </c>
      <c r="B4" s="7" t="s">
        <v>63</v>
      </c>
      <c r="C4" s="7" t="s">
        <v>205</v>
      </c>
      <c r="D4" s="7" t="s">
        <v>206</v>
      </c>
      <c r="E4" s="7" t="s">
        <v>184</v>
      </c>
    </row>
    <row r="5" customFormat="false" ht="15" hidden="false" customHeight="false" outlineLevel="0" collapsed="false">
      <c r="A5" s="84"/>
      <c r="B5" s="65" t="str">
        <f aca="false">IF(入力!B58="","","[往路送迎] "&amp;入力!B58)</f>
        <v/>
      </c>
      <c r="C5" s="84"/>
      <c r="D5" s="84"/>
      <c r="E5" s="8"/>
    </row>
    <row r="6" customFormat="false" ht="15" hidden="false" customHeight="false" outlineLevel="0" collapsed="false">
      <c r="A6" s="84"/>
      <c r="B6" s="65" t="str">
        <f aca="false">IF(入力!B16="","","[到着] "&amp;入力!B16)</f>
        <v/>
      </c>
      <c r="C6" s="84"/>
      <c r="D6" s="84"/>
      <c r="E6" s="8"/>
    </row>
    <row r="7" customFormat="false" ht="15" hidden="false" customHeight="false" outlineLevel="0" collapsed="false">
      <c r="A7" s="84"/>
      <c r="B7" s="65" t="str">
        <f aca="false">IF(OR(入力!B18="",入力!B18="なし"),"","[お出迎え・挨拶] "&amp;入力!B18&amp;" "&amp;入力!B19)</f>
        <v/>
      </c>
      <c r="C7" s="84"/>
      <c r="D7" s="84"/>
      <c r="E7" s="8"/>
    </row>
    <row r="8" customFormat="false" ht="15" hidden="false" customHeight="false" outlineLevel="0" collapsed="false">
      <c r="A8" s="84"/>
      <c r="B8" s="65" t="str">
        <f aca="false">IF(入力!B27="","","[チェックイン] "&amp;入力!B27)</f>
        <v/>
      </c>
      <c r="C8" s="84"/>
      <c r="D8" s="84"/>
      <c r="E8" s="8"/>
    </row>
    <row r="9" customFormat="false" ht="15" hidden="false" customHeight="false" outlineLevel="0" collapsed="false">
      <c r="A9" s="84"/>
      <c r="B9" s="65" t="str">
        <f aca="false">IF(入力!B53="","","[会場設営〜撤収] "&amp;入力!B53)</f>
        <v/>
      </c>
      <c r="C9" s="50" t="str">
        <f aca="false">IF(入力!B52="","",入力!B52)</f>
        <v/>
      </c>
      <c r="D9" s="84"/>
      <c r="E9" s="8"/>
    </row>
    <row r="10" customFormat="false" ht="15" hidden="false" customHeight="false" outlineLevel="0" collapsed="false">
      <c r="A10" s="84"/>
      <c r="B10" s="65" t="str">
        <f aca="false">IF(AND(入力!B44="",入力!C44="",入力!D44=""),"","[食事] "&amp;入力!A44&amp;" "&amp;入力!D44&amp;" "&amp;入力!C44&amp;" "&amp;入力!B44)</f>
        <v/>
      </c>
      <c r="C10" s="84"/>
      <c r="D10" s="84"/>
      <c r="E10" s="8"/>
    </row>
    <row r="11" customFormat="false" ht="15" hidden="false" customHeight="false" outlineLevel="0" collapsed="false">
      <c r="A11" s="84"/>
      <c r="B11" s="65" t="str">
        <f aca="false">IF(AND(入力!B45="",入力!C45="",入力!D45=""),"","[食事] "&amp;入力!A45&amp;" "&amp;入力!D45&amp;" "&amp;入力!C45&amp;" "&amp;入力!B45)</f>
        <v/>
      </c>
      <c r="C11" s="84"/>
      <c r="D11" s="84"/>
      <c r="E11" s="8"/>
    </row>
    <row r="12" customFormat="false" ht="15" hidden="false" customHeight="false" outlineLevel="0" collapsed="false">
      <c r="A12" s="84"/>
      <c r="B12" s="65" t="str">
        <f aca="false">IF(AND(入力!B46="",入力!C46="",入力!D46=""),"","[食事] "&amp;入力!A46&amp;" "&amp;入力!D46&amp;" "&amp;入力!C46&amp;" "&amp;入力!B46)</f>
        <v/>
      </c>
      <c r="C12" s="84"/>
      <c r="D12" s="84"/>
      <c r="E12" s="8"/>
    </row>
    <row r="13" customFormat="false" ht="15" hidden="false" customHeight="false" outlineLevel="0" collapsed="false">
      <c r="A13" s="84"/>
      <c r="B13" s="65" t="str">
        <f aca="false">IF(AND(入力!B47="",入力!C47="",入力!D47=""),"","[食事] "&amp;入力!A47&amp;" "&amp;入力!D47&amp;" "&amp;入力!C47&amp;" "&amp;入力!B47)</f>
        <v/>
      </c>
      <c r="C13" s="84"/>
      <c r="D13" s="84"/>
      <c r="E13" s="8"/>
    </row>
    <row r="14" customFormat="false" ht="15" hidden="false" customHeight="false" outlineLevel="0" collapsed="false">
      <c r="A14" s="84"/>
      <c r="B14" s="65" t="str">
        <f aca="false">IF(AND(入力!B48="",入力!C48="",入力!D48=""),"","[食事] "&amp;入力!A48&amp;" "&amp;入力!D48&amp;" "&amp;入力!C48&amp;" "&amp;入力!B48)</f>
        <v/>
      </c>
      <c r="C14" s="84"/>
      <c r="D14" s="84"/>
      <c r="E14" s="8"/>
    </row>
    <row r="15" customFormat="false" ht="15" hidden="false" customHeight="false" outlineLevel="0" collapsed="false">
      <c r="A15" s="84"/>
      <c r="B15" s="65" t="str">
        <f aca="false">IF(AND(入力!B49="",入力!C49="",入力!D49=""),"","[食事] "&amp;入力!A49&amp;" "&amp;入力!D49&amp;" "&amp;入力!C49&amp;" "&amp;入力!B49)</f>
        <v/>
      </c>
      <c r="C15" s="84"/>
      <c r="D15" s="84"/>
      <c r="E15" s="8"/>
    </row>
    <row r="16" customFormat="false" ht="15" hidden="false" customHeight="false" outlineLevel="0" collapsed="false">
      <c r="A16" s="84"/>
      <c r="B16" s="65" t="str">
        <f aca="false">IF(入力!B56="","","[進行] "&amp;入力!B56)</f>
        <v/>
      </c>
      <c r="C16" s="84"/>
      <c r="D16" s="84"/>
      <c r="E16" s="8"/>
    </row>
    <row r="17" customFormat="false" ht="15" hidden="false" customHeight="false" outlineLevel="0" collapsed="false">
      <c r="A17" s="84"/>
      <c r="B17" s="65" t="str">
        <f aca="false">IF(入力!B28="","","[チェックアウト] "&amp;入力!B28)</f>
        <v/>
      </c>
      <c r="C17" s="84"/>
      <c r="D17" s="84"/>
      <c r="E17" s="8"/>
    </row>
    <row r="18" customFormat="false" ht="15" hidden="false" customHeight="false" outlineLevel="0" collapsed="false">
      <c r="A18" s="84"/>
      <c r="B18" s="65" t="str">
        <f aca="false">IF(入力!B59="","","[復路送迎] "&amp;入力!B59)</f>
        <v/>
      </c>
      <c r="C18" s="84"/>
      <c r="D18" s="84"/>
      <c r="E18" s="8"/>
    </row>
    <row r="19" customFormat="false" ht="15" hidden="false" customHeight="false" outlineLevel="0" collapsed="false">
      <c r="A19" s="84"/>
      <c r="B19" s="65" t="str">
        <f aca="false">IF(入力!B17="","","[出発] "&amp;入力!B17)</f>
        <v/>
      </c>
      <c r="C19" s="84"/>
      <c r="D19" s="84"/>
      <c r="E19" s="8"/>
    </row>
    <row r="20" customFormat="false" ht="15" hidden="false" customHeight="false" outlineLevel="0" collapsed="false">
      <c r="A20" s="84"/>
      <c r="B20" s="8"/>
      <c r="C20" s="84"/>
      <c r="D20" s="84"/>
      <c r="E20" s="8"/>
    </row>
    <row r="21" customFormat="false" ht="15" hidden="false" customHeight="false" outlineLevel="0" collapsed="false">
      <c r="A21" s="84"/>
      <c r="B21" s="8"/>
      <c r="C21" s="84"/>
      <c r="D21" s="84"/>
      <c r="E21" s="8"/>
    </row>
    <row r="22" customFormat="false" ht="15" hidden="false" customHeight="false" outlineLevel="0" collapsed="false">
      <c r="A22" s="84"/>
      <c r="B22" s="8"/>
      <c r="C22" s="84"/>
      <c r="D22" s="84"/>
      <c r="E22" s="8"/>
    </row>
    <row r="23" customFormat="false" ht="15" hidden="false" customHeight="false" outlineLevel="0" collapsed="false">
      <c r="A23" s="84"/>
      <c r="B23" s="8"/>
      <c r="C23" s="84"/>
      <c r="D23" s="84"/>
      <c r="E23" s="8"/>
    </row>
    <row r="24" customFormat="false" ht="15" hidden="false" customHeight="false" outlineLevel="0" collapsed="false">
      <c r="A24" s="84"/>
      <c r="B24" s="8"/>
      <c r="C24" s="84"/>
      <c r="D24" s="84"/>
      <c r="E24" s="8"/>
    </row>
    <row r="25" customFormat="false" ht="15" hidden="false" customHeight="false" outlineLevel="0" collapsed="false">
      <c r="A25" s="84"/>
      <c r="B25" s="8"/>
      <c r="C25" s="84"/>
      <c r="D25" s="84"/>
      <c r="E25" s="8"/>
    </row>
    <row r="26" customFormat="false" ht="15" hidden="false" customHeight="false" outlineLevel="0" collapsed="false">
      <c r="A26" s="84"/>
      <c r="B26" s="8"/>
      <c r="C26" s="84"/>
      <c r="D26" s="84"/>
      <c r="E26" s="8"/>
    </row>
    <row r="27" customFormat="false" ht="15" hidden="false" customHeight="false" outlineLevel="0" collapsed="false">
      <c r="A27" s="84"/>
      <c r="B27" s="8"/>
      <c r="C27" s="84"/>
      <c r="D27" s="84"/>
      <c r="E27" s="8"/>
    </row>
    <row r="29" customFormat="false" ht="15" hidden="false" customHeight="false" outlineLevel="0" collapsed="false">
      <c r="A29" s="85" t="s">
        <v>207</v>
      </c>
    </row>
  </sheetData>
  <sheetProtection sheet="true"/>
  <mergeCells count="2">
    <mergeCell ref="A1:C1"/>
    <mergeCell ref="A2:C2"/>
  </mergeCells>
  <printOptions headings="false" gridLines="false" gridLinesSet="true" horizontalCentered="false" verticalCentered="false"/>
  <pageMargins left="0.4" right="0.4" top="0.5" bottom="0.5"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&amp;C印刷: &amp;D &amp;T&amp;R&amp;P /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D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8" activeCellId="0" sqref="E8"/>
    </sheetView>
  </sheetViews>
  <sheetFormatPr defaultColWidth="3.12890625" defaultRowHeight="18.75" zeroHeight="false" outlineLevelRow="0" outlineLevelCol="0"/>
  <cols>
    <col collapsed="false" customWidth="false" hidden="false" outlineLevel="0" max="33" min="1" style="86" width="3.13"/>
    <col collapsed="false" customWidth="false" hidden="false" outlineLevel="0" max="34" min="34" style="87" width="3.13"/>
    <col collapsed="false" customWidth="false" hidden="false" outlineLevel="0" max="16384" min="35" style="86" width="3.13"/>
  </cols>
  <sheetData>
    <row r="1" s="86" customFormat="true" ht="18.75" hidden="false" customHeight="true" outlineLevel="0" collapsed="false">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row>
    <row r="2" s="86" customFormat="true" ht="30.75" hidden="false" customHeight="true" outlineLevel="0" collapsed="false"/>
    <row r="3" s="87" customFormat="true" ht="27.75" hidden="false" customHeight="true" outlineLevel="0" collapsed="false">
      <c r="A3" s="89" t="s">
        <v>208</v>
      </c>
      <c r="B3" s="89"/>
      <c r="C3" s="89"/>
      <c r="D3" s="89"/>
      <c r="E3" s="89"/>
      <c r="F3" s="89"/>
      <c r="G3" s="90"/>
      <c r="H3" s="90"/>
      <c r="I3" s="90"/>
      <c r="J3" s="90"/>
      <c r="K3" s="90"/>
      <c r="L3" s="90"/>
      <c r="M3" s="90"/>
      <c r="N3" s="90"/>
      <c r="O3" s="90"/>
      <c r="P3" s="90"/>
      <c r="Q3" s="90"/>
      <c r="R3" s="90"/>
      <c r="S3" s="90"/>
      <c r="T3" s="90"/>
      <c r="U3" s="90"/>
      <c r="V3" s="90"/>
      <c r="W3" s="90"/>
      <c r="X3" s="90"/>
      <c r="Y3" s="91" t="s">
        <v>209</v>
      </c>
      <c r="Z3" s="91"/>
      <c r="AA3" s="91"/>
      <c r="AB3" s="91"/>
      <c r="AC3" s="91"/>
      <c r="AD3" s="90"/>
      <c r="AE3" s="90"/>
      <c r="AF3" s="90"/>
      <c r="AG3" s="90"/>
      <c r="AH3" s="86"/>
      <c r="AI3" s="86"/>
      <c r="AJ3" s="86"/>
      <c r="AK3" s="86"/>
      <c r="AL3" s="86"/>
      <c r="AM3" s="86"/>
      <c r="AN3" s="86"/>
      <c r="AO3" s="86"/>
      <c r="AP3" s="86"/>
      <c r="AQ3" s="86"/>
      <c r="AR3" s="86"/>
      <c r="AS3" s="86"/>
      <c r="AT3" s="86"/>
      <c r="AU3" s="86"/>
      <c r="AV3" s="86"/>
      <c r="AW3" s="86"/>
      <c r="AX3" s="86"/>
      <c r="AY3" s="86"/>
      <c r="AZ3" s="86"/>
      <c r="BA3" s="86"/>
      <c r="BB3" s="86"/>
      <c r="BC3" s="86"/>
      <c r="BD3" s="86"/>
      <c r="BE3" s="86"/>
      <c r="BF3" s="86"/>
      <c r="BG3" s="86"/>
      <c r="BH3" s="86"/>
      <c r="BI3" s="86"/>
      <c r="BJ3" s="86"/>
      <c r="BK3" s="86"/>
      <c r="BL3" s="86"/>
      <c r="BM3" s="86"/>
      <c r="BN3" s="86"/>
      <c r="BO3" s="86"/>
      <c r="BP3" s="86"/>
      <c r="BQ3" s="86"/>
      <c r="BR3" s="86"/>
      <c r="BS3" s="86"/>
      <c r="BT3" s="86"/>
      <c r="BU3" s="86"/>
      <c r="BV3" s="86"/>
      <c r="BW3" s="86"/>
      <c r="BX3" s="86"/>
      <c r="BY3" s="86"/>
      <c r="BZ3" s="86"/>
      <c r="CA3" s="86"/>
      <c r="CB3" s="86"/>
      <c r="CC3" s="86"/>
      <c r="CD3" s="86"/>
      <c r="CE3" s="86"/>
      <c r="CF3" s="86"/>
      <c r="CG3" s="86"/>
      <c r="CH3" s="86"/>
      <c r="CI3" s="86"/>
      <c r="CJ3" s="86"/>
      <c r="CK3" s="86"/>
      <c r="CL3" s="86"/>
      <c r="CM3" s="86"/>
      <c r="CN3" s="86"/>
      <c r="CO3" s="86"/>
      <c r="CP3" s="86"/>
      <c r="CQ3" s="86"/>
      <c r="CR3" s="86"/>
      <c r="CS3" s="86"/>
      <c r="CT3" s="86"/>
      <c r="CU3" s="86"/>
      <c r="CV3" s="86"/>
      <c r="CW3" s="86"/>
      <c r="CX3" s="86"/>
      <c r="CY3" s="86"/>
      <c r="CZ3" s="86"/>
      <c r="DA3" s="86"/>
      <c r="DB3" s="86"/>
      <c r="DC3" s="86"/>
      <c r="DD3" s="86"/>
      <c r="DE3" s="86"/>
      <c r="DF3" s="86"/>
      <c r="DG3" s="86"/>
      <c r="DH3" s="86"/>
      <c r="DI3" s="86"/>
      <c r="DJ3" s="86"/>
      <c r="DK3" s="86"/>
      <c r="DL3" s="86"/>
      <c r="DM3" s="86"/>
      <c r="DN3" s="86"/>
      <c r="DO3" s="86"/>
      <c r="DP3" s="86"/>
      <c r="DQ3" s="86"/>
      <c r="DR3" s="86"/>
      <c r="DS3" s="86"/>
      <c r="DT3" s="86"/>
      <c r="DU3" s="86"/>
      <c r="DV3" s="86"/>
      <c r="DW3" s="86"/>
      <c r="DX3" s="86"/>
      <c r="DY3" s="86"/>
      <c r="DZ3" s="86"/>
      <c r="EA3" s="86"/>
      <c r="EB3" s="86"/>
      <c r="EC3" s="86"/>
      <c r="ED3" s="86"/>
      <c r="EE3" s="86"/>
      <c r="EF3" s="86"/>
      <c r="EG3" s="86"/>
      <c r="EH3" s="86"/>
      <c r="EI3" s="86"/>
      <c r="EJ3" s="86"/>
      <c r="EK3" s="86"/>
      <c r="EL3" s="86"/>
      <c r="EM3" s="86"/>
      <c r="EN3" s="86"/>
      <c r="EO3" s="86"/>
      <c r="EP3" s="86"/>
      <c r="EQ3" s="86"/>
      <c r="ER3" s="86"/>
      <c r="ES3" s="86"/>
      <c r="ET3" s="86"/>
      <c r="EU3" s="86"/>
      <c r="EV3" s="86"/>
      <c r="EW3" s="86"/>
      <c r="EX3" s="86"/>
      <c r="EY3" s="86"/>
      <c r="EZ3" s="86"/>
      <c r="FA3" s="86"/>
      <c r="FB3" s="86"/>
      <c r="FC3" s="86"/>
      <c r="FD3" s="86"/>
    </row>
    <row r="4" s="87" customFormat="true" ht="4.5" hidden="false" customHeight="true" outlineLevel="0" collapsed="false">
      <c r="A4" s="86"/>
      <c r="B4" s="86"/>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c r="BF4" s="86"/>
      <c r="BG4" s="86"/>
      <c r="BH4" s="86"/>
      <c r="BI4" s="86"/>
      <c r="BJ4" s="86"/>
      <c r="BK4" s="86"/>
      <c r="BL4" s="86"/>
      <c r="BM4" s="86"/>
      <c r="BN4" s="86"/>
      <c r="BO4" s="86"/>
      <c r="BP4" s="86"/>
      <c r="BQ4" s="86"/>
      <c r="BR4" s="86"/>
      <c r="BS4" s="86"/>
      <c r="BT4" s="86"/>
      <c r="BU4" s="86"/>
      <c r="BV4" s="86"/>
      <c r="BW4" s="86"/>
      <c r="BX4" s="86"/>
      <c r="BY4" s="86"/>
      <c r="BZ4" s="86"/>
      <c r="CA4" s="86"/>
      <c r="CB4" s="86"/>
      <c r="CC4" s="86"/>
      <c r="CD4" s="86"/>
      <c r="CE4" s="86"/>
      <c r="CF4" s="86"/>
      <c r="CG4" s="86"/>
      <c r="CH4" s="86"/>
      <c r="CI4" s="86"/>
      <c r="CJ4" s="86"/>
      <c r="CK4" s="86"/>
      <c r="CL4" s="86"/>
      <c r="CM4" s="86"/>
      <c r="CN4" s="86"/>
      <c r="CO4" s="86"/>
      <c r="CP4" s="86"/>
      <c r="CQ4" s="86"/>
      <c r="CR4" s="86"/>
      <c r="CS4" s="86"/>
      <c r="CT4" s="86"/>
      <c r="CU4" s="86"/>
      <c r="CV4" s="86"/>
      <c r="CW4" s="86"/>
      <c r="CX4" s="86"/>
      <c r="CY4" s="86"/>
      <c r="CZ4" s="86"/>
      <c r="DA4" s="86"/>
      <c r="DB4" s="86"/>
      <c r="DC4" s="86"/>
      <c r="DD4" s="86"/>
      <c r="DE4" s="86"/>
      <c r="DF4" s="86"/>
      <c r="DG4" s="86"/>
      <c r="DH4" s="86"/>
      <c r="DI4" s="86"/>
      <c r="DJ4" s="86"/>
      <c r="DK4" s="86"/>
      <c r="DL4" s="86"/>
      <c r="DM4" s="86"/>
      <c r="DN4" s="86"/>
      <c r="DO4" s="86"/>
      <c r="DP4" s="86"/>
      <c r="DQ4" s="86"/>
      <c r="DR4" s="86"/>
      <c r="DS4" s="86"/>
      <c r="DT4" s="86"/>
      <c r="DU4" s="86"/>
      <c r="DV4" s="86"/>
      <c r="DW4" s="86"/>
      <c r="DX4" s="86"/>
      <c r="DY4" s="86"/>
      <c r="DZ4" s="86"/>
      <c r="EA4" s="86"/>
      <c r="EB4" s="86"/>
      <c r="EC4" s="86"/>
      <c r="ED4" s="86"/>
      <c r="EE4" s="86"/>
      <c r="EF4" s="86"/>
      <c r="EG4" s="86"/>
      <c r="EH4" s="86"/>
      <c r="EI4" s="86"/>
      <c r="EJ4" s="86"/>
      <c r="EK4" s="86"/>
      <c r="EL4" s="86"/>
      <c r="EM4" s="86"/>
      <c r="EN4" s="86"/>
      <c r="EO4" s="86"/>
      <c r="EP4" s="86"/>
      <c r="EQ4" s="86"/>
      <c r="ER4" s="86"/>
      <c r="ES4" s="86"/>
      <c r="ET4" s="86"/>
      <c r="EU4" s="86"/>
      <c r="EV4" s="86"/>
      <c r="EW4" s="86"/>
      <c r="EX4" s="86"/>
      <c r="EY4" s="86"/>
      <c r="EZ4" s="86"/>
      <c r="FA4" s="86"/>
      <c r="FB4" s="86"/>
      <c r="FC4" s="86"/>
      <c r="FD4" s="86"/>
    </row>
    <row r="5" s="87" customFormat="true" ht="15" hidden="false" customHeight="true" outlineLevel="0" collapsed="false">
      <c r="A5" s="92" t="s">
        <v>210</v>
      </c>
      <c r="B5" s="86"/>
      <c r="C5" s="86"/>
      <c r="D5" s="86"/>
      <c r="E5" s="86" t="s">
        <v>211</v>
      </c>
      <c r="F5" s="86"/>
      <c r="G5" s="86"/>
      <c r="H5" s="92"/>
      <c r="I5" s="92"/>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86"/>
      <c r="DB5" s="86"/>
      <c r="DC5" s="86"/>
      <c r="DD5" s="86"/>
      <c r="DE5" s="86"/>
      <c r="DF5" s="86"/>
      <c r="DG5" s="86"/>
      <c r="DH5" s="86"/>
      <c r="DI5" s="86"/>
      <c r="DJ5" s="86"/>
      <c r="DK5" s="86"/>
      <c r="DL5" s="86"/>
      <c r="DM5" s="86"/>
      <c r="DN5" s="86"/>
      <c r="DO5" s="86"/>
      <c r="DP5" s="86"/>
      <c r="DQ5" s="86"/>
      <c r="DR5" s="86"/>
      <c r="DS5" s="86"/>
      <c r="DT5" s="86"/>
      <c r="DU5" s="86"/>
      <c r="DV5" s="86"/>
      <c r="DW5" s="86"/>
      <c r="DX5" s="86"/>
      <c r="DY5" s="86"/>
      <c r="DZ5" s="86"/>
      <c r="EA5" s="86"/>
      <c r="EB5" s="86"/>
      <c r="EC5" s="86"/>
      <c r="ED5" s="86"/>
      <c r="EE5" s="86"/>
      <c r="EF5" s="86"/>
      <c r="EG5" s="86"/>
      <c r="EH5" s="86"/>
      <c r="EI5" s="86"/>
      <c r="EJ5" s="86"/>
      <c r="EK5" s="86"/>
      <c r="EL5" s="86"/>
      <c r="EM5" s="86"/>
      <c r="EN5" s="86"/>
      <c r="EO5" s="86"/>
      <c r="EP5" s="86"/>
      <c r="EQ5" s="86"/>
      <c r="ER5" s="86"/>
      <c r="ES5" s="86"/>
      <c r="ET5" s="86"/>
      <c r="EU5" s="86"/>
      <c r="EV5" s="86"/>
      <c r="EW5" s="86"/>
      <c r="EX5" s="86"/>
      <c r="EY5" s="86"/>
      <c r="EZ5" s="86"/>
      <c r="FA5" s="86"/>
      <c r="FB5" s="86"/>
      <c r="FC5" s="86"/>
      <c r="FD5" s="86"/>
    </row>
    <row r="6" s="87" customFormat="true" ht="4.5" hidden="false" customHeight="true" outlineLevel="0" collapsed="false">
      <c r="A6" s="86"/>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6"/>
      <c r="BK6" s="86"/>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c r="CY6" s="86"/>
      <c r="CZ6" s="86"/>
      <c r="DA6" s="86"/>
      <c r="DB6" s="86"/>
      <c r="DC6" s="86"/>
      <c r="DD6" s="86"/>
      <c r="DE6" s="86"/>
      <c r="DF6" s="86"/>
      <c r="DG6" s="86"/>
      <c r="DH6" s="86"/>
      <c r="DI6" s="86"/>
      <c r="DJ6" s="86"/>
      <c r="DK6" s="86"/>
      <c r="DL6" s="86"/>
      <c r="DM6" s="86"/>
      <c r="DN6" s="86"/>
      <c r="DO6" s="86"/>
      <c r="DP6" s="86"/>
      <c r="DQ6" s="86"/>
      <c r="DR6" s="86"/>
      <c r="DS6" s="86"/>
      <c r="DT6" s="86"/>
      <c r="DU6" s="86"/>
      <c r="DV6" s="86"/>
      <c r="DW6" s="86"/>
      <c r="DX6" s="86"/>
      <c r="DY6" s="86"/>
      <c r="DZ6" s="86"/>
      <c r="EA6" s="86"/>
      <c r="EB6" s="86"/>
      <c r="EC6" s="86"/>
      <c r="ED6" s="86"/>
      <c r="EE6" s="86"/>
      <c r="EF6" s="86"/>
      <c r="EG6" s="86"/>
      <c r="EH6" s="86"/>
      <c r="EI6" s="86"/>
      <c r="EJ6" s="86"/>
      <c r="EK6" s="86"/>
      <c r="EL6" s="86"/>
      <c r="EM6" s="86"/>
      <c r="EN6" s="86"/>
      <c r="EO6" s="86"/>
      <c r="EP6" s="86"/>
      <c r="EQ6" s="86"/>
      <c r="ER6" s="86"/>
      <c r="ES6" s="86"/>
      <c r="ET6" s="86"/>
      <c r="EU6" s="86"/>
      <c r="EV6" s="86"/>
      <c r="EW6" s="86"/>
      <c r="EX6" s="86"/>
      <c r="EY6" s="86"/>
      <c r="EZ6" s="86"/>
      <c r="FA6" s="86"/>
      <c r="FB6" s="86"/>
      <c r="FC6" s="86"/>
      <c r="FD6" s="86"/>
    </row>
    <row r="7" s="87" customFormat="true" ht="19.5" hidden="false" customHeight="true" outlineLevel="0" collapsed="false">
      <c r="A7" s="93" t="s">
        <v>212</v>
      </c>
      <c r="B7" s="93"/>
      <c r="C7" s="93"/>
      <c r="D7" s="93"/>
      <c r="E7" s="94" t="s">
        <v>213</v>
      </c>
      <c r="F7" s="94"/>
      <c r="G7" s="94"/>
      <c r="H7" s="94"/>
      <c r="I7" s="94"/>
      <c r="J7" s="94"/>
      <c r="K7" s="94"/>
      <c r="L7" s="94"/>
      <c r="M7" s="94"/>
      <c r="N7" s="94"/>
      <c r="O7" s="94"/>
      <c r="P7" s="95" t="s">
        <v>205</v>
      </c>
      <c r="Q7" s="95"/>
      <c r="R7" s="95"/>
      <c r="S7" s="95"/>
      <c r="T7" s="95"/>
      <c r="U7" s="95"/>
      <c r="V7" s="93" t="s">
        <v>214</v>
      </c>
      <c r="W7" s="93"/>
      <c r="X7" s="93"/>
      <c r="Y7" s="93"/>
      <c r="Z7" s="93"/>
      <c r="AA7" s="93"/>
      <c r="AB7" s="93"/>
      <c r="AC7" s="93"/>
      <c r="AD7" s="93"/>
      <c r="AE7" s="93"/>
      <c r="AF7" s="93"/>
      <c r="AG7" s="93"/>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c r="CS7" s="86"/>
      <c r="CT7" s="86"/>
      <c r="CU7" s="86"/>
      <c r="CV7" s="86"/>
      <c r="CW7" s="86"/>
      <c r="CX7" s="86"/>
      <c r="CY7" s="86"/>
      <c r="CZ7" s="86"/>
      <c r="DA7" s="86"/>
      <c r="DB7" s="86"/>
      <c r="DC7" s="86"/>
      <c r="DD7" s="86"/>
      <c r="DE7" s="86"/>
      <c r="DF7" s="86"/>
      <c r="DG7" s="86"/>
      <c r="DH7" s="86"/>
      <c r="DI7" s="86"/>
      <c r="DJ7" s="86"/>
      <c r="DK7" s="86"/>
      <c r="DL7" s="86"/>
      <c r="DM7" s="86"/>
      <c r="DN7" s="86"/>
      <c r="DO7" s="86"/>
      <c r="DP7" s="86"/>
      <c r="DQ7" s="86"/>
      <c r="DR7" s="86"/>
      <c r="DS7" s="86"/>
      <c r="DT7" s="86"/>
      <c r="DU7" s="86"/>
      <c r="DV7" s="86"/>
      <c r="DW7" s="86"/>
      <c r="DX7" s="86"/>
      <c r="DY7" s="86"/>
      <c r="DZ7" s="86"/>
      <c r="EA7" s="86"/>
      <c r="EB7" s="86"/>
      <c r="EC7" s="86"/>
      <c r="ED7" s="86"/>
      <c r="EE7" s="86"/>
      <c r="EF7" s="86"/>
      <c r="EG7" s="86"/>
      <c r="EH7" s="86"/>
      <c r="EI7" s="86"/>
      <c r="EJ7" s="86"/>
      <c r="EK7" s="86"/>
      <c r="EL7" s="86"/>
      <c r="EM7" s="86"/>
      <c r="EN7" s="86"/>
      <c r="EO7" s="86"/>
      <c r="EP7" s="86"/>
      <c r="EQ7" s="86"/>
      <c r="ER7" s="86"/>
      <c r="ES7" s="86"/>
      <c r="ET7" s="86"/>
      <c r="EU7" s="86"/>
      <c r="EV7" s="86"/>
      <c r="EW7" s="86"/>
      <c r="EX7" s="86"/>
      <c r="EY7" s="86"/>
      <c r="EZ7" s="86"/>
      <c r="FA7" s="86"/>
      <c r="FB7" s="86"/>
      <c r="FC7" s="86"/>
      <c r="FD7" s="86"/>
    </row>
    <row r="8" s="87" customFormat="true" ht="24.75" hidden="false" customHeight="true" outlineLevel="0" collapsed="false">
      <c r="A8" s="96" t="n">
        <f aca="false">'New Booking Sheet'!D8</f>
        <v>46217</v>
      </c>
      <c r="B8" s="96"/>
      <c r="C8" s="96"/>
      <c r="D8" s="96"/>
      <c r="E8" s="97" t="s">
        <v>215</v>
      </c>
      <c r="F8" s="97"/>
      <c r="G8" s="97"/>
      <c r="H8" s="97"/>
      <c r="I8" s="97"/>
      <c r="J8" s="97"/>
      <c r="K8" s="97"/>
      <c r="L8" s="97"/>
      <c r="M8" s="97"/>
      <c r="N8" s="97"/>
      <c r="O8" s="97"/>
      <c r="P8" s="98" t="s">
        <v>216</v>
      </c>
      <c r="Q8" s="98"/>
      <c r="R8" s="98"/>
      <c r="S8" s="98"/>
      <c r="T8" s="98"/>
      <c r="U8" s="98"/>
      <c r="V8" s="99" t="n">
        <f aca="false">'New Booking Sheet'!D8</f>
        <v>46217</v>
      </c>
      <c r="W8" s="99"/>
      <c r="X8" s="99"/>
      <c r="Y8" s="99"/>
      <c r="Z8" s="99"/>
      <c r="AA8" s="99"/>
      <c r="AB8" s="99"/>
      <c r="AC8" s="99"/>
      <c r="AD8" s="100" t="s">
        <v>217</v>
      </c>
      <c r="AE8" s="100"/>
      <c r="AF8" s="100"/>
      <c r="AG8" s="100"/>
      <c r="AH8" s="101"/>
      <c r="AI8" s="101"/>
      <c r="AJ8" s="101"/>
      <c r="AK8" s="101"/>
      <c r="AL8" s="101"/>
      <c r="AM8" s="101"/>
      <c r="AN8" s="101"/>
      <c r="AO8" s="101"/>
      <c r="AP8" s="102"/>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c r="CY8" s="86"/>
      <c r="CZ8" s="86"/>
      <c r="DA8" s="86"/>
      <c r="DB8" s="86"/>
      <c r="DC8" s="86"/>
      <c r="DD8" s="86"/>
      <c r="DE8" s="86"/>
      <c r="DF8" s="86"/>
      <c r="DG8" s="86"/>
      <c r="DH8" s="86"/>
      <c r="DI8" s="86"/>
      <c r="DJ8" s="86"/>
      <c r="DK8" s="86"/>
      <c r="DL8" s="86"/>
      <c r="DM8" s="86"/>
      <c r="DN8" s="86"/>
      <c r="DO8" s="86"/>
      <c r="DP8" s="86"/>
      <c r="DQ8" s="86"/>
      <c r="DR8" s="86"/>
      <c r="DS8" s="86"/>
      <c r="DT8" s="86"/>
      <c r="DU8" s="86"/>
      <c r="DV8" s="86"/>
      <c r="DW8" s="86"/>
      <c r="DX8" s="86"/>
      <c r="DY8" s="86"/>
      <c r="DZ8" s="86"/>
      <c r="EA8" s="86"/>
      <c r="EB8" s="86"/>
      <c r="EC8" s="86"/>
      <c r="ED8" s="86"/>
      <c r="EE8" s="86"/>
      <c r="EF8" s="86"/>
      <c r="EG8" s="86"/>
      <c r="EH8" s="86"/>
      <c r="EI8" s="86"/>
      <c r="EJ8" s="86"/>
      <c r="EK8" s="86"/>
      <c r="EL8" s="86"/>
      <c r="EM8" s="86"/>
      <c r="EN8" s="86"/>
      <c r="EO8" s="86"/>
      <c r="EP8" s="86"/>
      <c r="EQ8" s="86"/>
      <c r="ER8" s="86"/>
      <c r="ES8" s="86"/>
      <c r="ET8" s="86"/>
      <c r="EU8" s="86"/>
      <c r="EV8" s="86"/>
      <c r="EW8" s="86"/>
      <c r="EX8" s="86"/>
      <c r="EY8" s="86"/>
      <c r="EZ8" s="86"/>
      <c r="FA8" s="86"/>
      <c r="FB8" s="86"/>
      <c r="FC8" s="86"/>
      <c r="FD8" s="86"/>
    </row>
    <row r="9" s="87" customFormat="true" ht="19.5"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4"/>
      <c r="W9" s="104"/>
      <c r="X9" s="104"/>
      <c r="Y9" s="104"/>
      <c r="Z9" s="104"/>
      <c r="AA9" s="104"/>
      <c r="AB9" s="104"/>
      <c r="AC9" s="104"/>
      <c r="AD9" s="104"/>
      <c r="AE9" s="104"/>
      <c r="AF9" s="104"/>
      <c r="AG9" s="104"/>
      <c r="AH9" s="105" t="s">
        <v>218</v>
      </c>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1"/>
      <c r="BK9" s="101"/>
      <c r="BL9" s="101"/>
      <c r="BM9" s="101"/>
      <c r="BN9" s="101"/>
      <c r="BO9" s="101"/>
      <c r="BP9" s="101"/>
      <c r="BQ9" s="101"/>
      <c r="BR9" s="101"/>
      <c r="BS9" s="101"/>
      <c r="BT9" s="101"/>
      <c r="BU9" s="101"/>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c r="CY9" s="86"/>
      <c r="CZ9" s="86"/>
      <c r="DA9" s="86"/>
      <c r="DB9" s="86"/>
      <c r="DC9" s="86"/>
      <c r="DD9" s="86"/>
      <c r="DE9" s="86"/>
      <c r="DF9" s="86"/>
      <c r="DG9" s="86"/>
      <c r="DH9" s="86"/>
      <c r="DI9" s="86"/>
      <c r="DJ9" s="86"/>
      <c r="DK9" s="86"/>
      <c r="DL9" s="86"/>
      <c r="DM9" s="86"/>
      <c r="DN9" s="86"/>
      <c r="DO9" s="86"/>
      <c r="DP9" s="86"/>
      <c r="DQ9" s="86"/>
      <c r="DR9" s="86"/>
      <c r="DS9" s="86"/>
      <c r="DT9" s="86"/>
      <c r="DU9" s="86"/>
      <c r="DV9" s="86"/>
      <c r="DW9" s="86"/>
      <c r="DX9" s="86"/>
      <c r="DY9" s="86"/>
      <c r="DZ9" s="86"/>
      <c r="EA9" s="86"/>
      <c r="EB9" s="86"/>
      <c r="EC9" s="86"/>
      <c r="ED9" s="86"/>
      <c r="EE9" s="86"/>
      <c r="EF9" s="86"/>
      <c r="EG9" s="86"/>
      <c r="EH9" s="86"/>
      <c r="EI9" s="86"/>
      <c r="EJ9" s="86"/>
      <c r="EK9" s="86"/>
      <c r="EL9" s="86"/>
      <c r="EM9" s="86"/>
      <c r="EN9" s="86"/>
      <c r="EO9" s="86"/>
      <c r="EP9" s="86"/>
      <c r="EQ9" s="86"/>
      <c r="ER9" s="86"/>
      <c r="ES9" s="86"/>
      <c r="ET9" s="86"/>
      <c r="EU9" s="86"/>
      <c r="EV9" s="86"/>
      <c r="EW9" s="86"/>
      <c r="EX9" s="86"/>
      <c r="EY9" s="86"/>
      <c r="EZ9" s="86"/>
      <c r="FA9" s="86"/>
      <c r="FB9" s="86"/>
      <c r="FC9" s="86"/>
      <c r="FD9" s="86"/>
    </row>
    <row r="10" s="87" customFormat="true" ht="21" hidden="false" customHeight="true" outlineLevel="0" collapsed="false">
      <c r="A10" s="92" t="s">
        <v>219</v>
      </c>
      <c r="B10" s="86"/>
      <c r="C10" s="86"/>
      <c r="D10" s="86"/>
      <c r="E10" s="86" t="s">
        <v>220</v>
      </c>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c r="CY10" s="86"/>
      <c r="CZ10" s="86"/>
      <c r="DA10" s="86"/>
      <c r="DB10" s="86"/>
      <c r="DC10" s="86"/>
      <c r="DD10" s="86"/>
      <c r="DE10" s="86"/>
      <c r="DF10" s="86"/>
      <c r="DG10" s="86"/>
      <c r="DH10" s="86"/>
      <c r="DI10" s="86"/>
      <c r="DJ10" s="86"/>
      <c r="DK10" s="86"/>
      <c r="DL10" s="86"/>
      <c r="DM10" s="86"/>
      <c r="DN10" s="86"/>
      <c r="DO10" s="86"/>
      <c r="DP10" s="86"/>
      <c r="DQ10" s="86"/>
      <c r="DR10" s="86"/>
      <c r="DS10" s="86"/>
      <c r="DT10" s="86"/>
      <c r="DU10" s="86"/>
      <c r="DV10" s="86"/>
      <c r="DW10" s="86"/>
      <c r="DX10" s="86"/>
      <c r="DY10" s="86"/>
      <c r="DZ10" s="86"/>
      <c r="EA10" s="86"/>
      <c r="EB10" s="86"/>
      <c r="EC10" s="86"/>
      <c r="ED10" s="86"/>
      <c r="EE10" s="86"/>
      <c r="EF10" s="86"/>
      <c r="EG10" s="86"/>
      <c r="EH10" s="86"/>
      <c r="EI10" s="86"/>
      <c r="EJ10" s="86"/>
      <c r="EK10" s="86"/>
      <c r="EL10" s="86"/>
      <c r="EM10" s="86"/>
      <c r="EN10" s="86"/>
      <c r="EO10" s="86"/>
      <c r="EP10" s="86"/>
      <c r="EQ10" s="86"/>
      <c r="ER10" s="86"/>
      <c r="ES10" s="86"/>
      <c r="ET10" s="86"/>
      <c r="EU10" s="86"/>
      <c r="EV10" s="86"/>
      <c r="EW10" s="86"/>
      <c r="EX10" s="86"/>
      <c r="EY10" s="86"/>
      <c r="EZ10" s="86"/>
      <c r="FA10" s="86"/>
      <c r="FB10" s="86"/>
      <c r="FC10" s="86"/>
      <c r="FD10" s="86"/>
    </row>
    <row r="11" s="87" customFormat="true" ht="19.5" hidden="false" customHeight="true" outlineLevel="0" collapsed="false">
      <c r="A11" s="93" t="s">
        <v>212</v>
      </c>
      <c r="B11" s="93"/>
      <c r="C11" s="93"/>
      <c r="D11" s="93"/>
      <c r="E11" s="94" t="s">
        <v>213</v>
      </c>
      <c r="F11" s="94"/>
      <c r="G11" s="94"/>
      <c r="H11" s="94"/>
      <c r="I11" s="94"/>
      <c r="J11" s="94"/>
      <c r="K11" s="94"/>
      <c r="L11" s="94"/>
      <c r="M11" s="94"/>
      <c r="N11" s="94"/>
      <c r="O11" s="94"/>
      <c r="P11" s="95" t="s">
        <v>205</v>
      </c>
      <c r="Q11" s="95"/>
      <c r="R11" s="95"/>
      <c r="S11" s="95"/>
      <c r="T11" s="95"/>
      <c r="U11" s="95"/>
      <c r="V11" s="93" t="s">
        <v>214</v>
      </c>
      <c r="W11" s="93"/>
      <c r="X11" s="93"/>
      <c r="Y11" s="93"/>
      <c r="Z11" s="93"/>
      <c r="AA11" s="93"/>
      <c r="AB11" s="93"/>
      <c r="AC11" s="93"/>
      <c r="AD11" s="93"/>
      <c r="AE11" s="93"/>
      <c r="AF11" s="93"/>
      <c r="AG11" s="93"/>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c r="CY11" s="86"/>
      <c r="CZ11" s="86"/>
      <c r="DA11" s="86"/>
      <c r="DB11" s="86"/>
      <c r="DC11" s="86"/>
      <c r="DD11" s="86"/>
      <c r="DE11" s="86"/>
      <c r="DF11" s="86"/>
      <c r="DG11" s="86"/>
      <c r="DH11" s="86"/>
      <c r="DI11" s="86"/>
      <c r="DJ11" s="86"/>
      <c r="DK11" s="86"/>
      <c r="DL11" s="86"/>
      <c r="DM11" s="86"/>
      <c r="DN11" s="86"/>
      <c r="DO11" s="86"/>
      <c r="DP11" s="86"/>
      <c r="DQ11" s="86"/>
      <c r="DR11" s="86"/>
      <c r="DS11" s="86"/>
      <c r="DT11" s="86"/>
      <c r="DU11" s="86"/>
      <c r="DV11" s="86"/>
      <c r="DW11" s="86"/>
      <c r="DX11" s="86"/>
      <c r="DY11" s="86"/>
      <c r="DZ11" s="86"/>
      <c r="EA11" s="86"/>
      <c r="EB11" s="86"/>
      <c r="EC11" s="86"/>
      <c r="ED11" s="86"/>
      <c r="EE11" s="86"/>
      <c r="EF11" s="86"/>
      <c r="EG11" s="86"/>
      <c r="EH11" s="86"/>
      <c r="EI11" s="86"/>
      <c r="EJ11" s="86"/>
      <c r="EK11" s="86"/>
      <c r="EL11" s="86"/>
      <c r="EM11" s="86"/>
      <c r="EN11" s="86"/>
      <c r="EO11" s="86"/>
      <c r="EP11" s="86"/>
      <c r="EQ11" s="86"/>
      <c r="ER11" s="86"/>
      <c r="ES11" s="86"/>
      <c r="ET11" s="86"/>
      <c r="EU11" s="86"/>
      <c r="EV11" s="86"/>
      <c r="EW11" s="86"/>
      <c r="EX11" s="86"/>
      <c r="EY11" s="86"/>
      <c r="EZ11" s="86"/>
      <c r="FA11" s="86"/>
      <c r="FB11" s="86"/>
      <c r="FC11" s="86"/>
      <c r="FD11" s="86"/>
    </row>
    <row r="12" s="87" customFormat="true" ht="27.75" hidden="false" customHeight="true" outlineLevel="0" collapsed="false">
      <c r="A12" s="96" t="n">
        <f aca="false">A8+1</f>
        <v>46218</v>
      </c>
      <c r="B12" s="96"/>
      <c r="C12" s="96"/>
      <c r="D12" s="96"/>
      <c r="E12" s="97" t="s">
        <v>215</v>
      </c>
      <c r="F12" s="97"/>
      <c r="G12" s="97"/>
      <c r="H12" s="97"/>
      <c r="I12" s="97"/>
      <c r="J12" s="97"/>
      <c r="K12" s="97"/>
      <c r="L12" s="97"/>
      <c r="M12" s="97"/>
      <c r="N12" s="97"/>
      <c r="O12" s="97"/>
      <c r="P12" s="98" t="s">
        <v>216</v>
      </c>
      <c r="Q12" s="98"/>
      <c r="R12" s="98"/>
      <c r="S12" s="98"/>
      <c r="T12" s="98"/>
      <c r="U12" s="98"/>
      <c r="V12" s="106" t="s">
        <v>221</v>
      </c>
      <c r="W12" s="106"/>
      <c r="X12" s="106"/>
      <c r="Y12" s="106"/>
      <c r="Z12" s="106"/>
      <c r="AA12" s="106"/>
      <c r="AB12" s="106"/>
      <c r="AC12" s="106"/>
      <c r="AD12" s="106"/>
      <c r="AE12" s="106"/>
      <c r="AF12" s="106"/>
      <c r="AG12" s="106"/>
      <c r="AH12" s="107" t="s">
        <v>222</v>
      </c>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c r="CY12" s="86"/>
      <c r="CZ12" s="86"/>
      <c r="DA12" s="86"/>
      <c r="DB12" s="86"/>
      <c r="DC12" s="86"/>
      <c r="DD12" s="86"/>
      <c r="DE12" s="86"/>
      <c r="DF12" s="86"/>
      <c r="DG12" s="86"/>
      <c r="DH12" s="86"/>
      <c r="DI12" s="86"/>
      <c r="DJ12" s="86"/>
      <c r="DK12" s="86"/>
      <c r="DL12" s="86"/>
      <c r="DM12" s="86"/>
      <c r="DN12" s="86"/>
      <c r="DO12" s="86"/>
      <c r="DP12" s="86"/>
      <c r="DQ12" s="86"/>
      <c r="DR12" s="86"/>
      <c r="DS12" s="86"/>
      <c r="DT12" s="86"/>
      <c r="DU12" s="86"/>
      <c r="DV12" s="86"/>
      <c r="DW12" s="86"/>
      <c r="DX12" s="86"/>
      <c r="DY12" s="86"/>
      <c r="DZ12" s="86"/>
      <c r="EA12" s="86"/>
      <c r="EB12" s="86"/>
      <c r="EC12" s="86"/>
      <c r="ED12" s="86"/>
      <c r="EE12" s="86"/>
      <c r="EF12" s="86"/>
      <c r="EG12" s="86"/>
      <c r="EH12" s="86"/>
      <c r="EI12" s="86"/>
      <c r="EJ12" s="86"/>
      <c r="EK12" s="86"/>
      <c r="EL12" s="86"/>
      <c r="EM12" s="86"/>
      <c r="EN12" s="86"/>
      <c r="EO12" s="86"/>
      <c r="EP12" s="86"/>
      <c r="EQ12" s="86"/>
      <c r="ER12" s="86"/>
      <c r="ES12" s="86"/>
      <c r="ET12" s="86"/>
      <c r="EU12" s="86"/>
      <c r="EV12" s="86"/>
      <c r="EW12" s="86"/>
      <c r="EX12" s="86"/>
      <c r="EY12" s="86"/>
      <c r="EZ12" s="86"/>
      <c r="FA12" s="86"/>
      <c r="FB12" s="86"/>
      <c r="FC12" s="86"/>
      <c r="FD12" s="86"/>
    </row>
    <row r="13" s="87" customFormat="true" ht="28.5" hidden="true" customHeight="true" outlineLevel="0" collapsed="false">
      <c r="A13" s="96"/>
      <c r="B13" s="96"/>
      <c r="C13" s="96"/>
      <c r="D13" s="96"/>
      <c r="E13" s="108" t="s">
        <v>223</v>
      </c>
      <c r="F13" s="108"/>
      <c r="G13" s="108"/>
      <c r="H13" s="108"/>
      <c r="I13" s="108"/>
      <c r="J13" s="108"/>
      <c r="K13" s="108"/>
      <c r="L13" s="108"/>
      <c r="M13" s="108"/>
      <c r="N13" s="108"/>
      <c r="O13" s="108"/>
      <c r="P13" s="109" t="s">
        <v>224</v>
      </c>
      <c r="Q13" s="109"/>
      <c r="R13" s="109"/>
      <c r="S13" s="109"/>
      <c r="T13" s="109"/>
      <c r="U13" s="109"/>
      <c r="V13" s="106"/>
      <c r="W13" s="106"/>
      <c r="X13" s="106"/>
      <c r="Y13" s="106"/>
      <c r="Z13" s="106"/>
      <c r="AA13" s="106"/>
      <c r="AB13" s="106"/>
      <c r="AC13" s="106"/>
      <c r="AD13" s="106"/>
      <c r="AE13" s="106"/>
      <c r="AF13" s="106"/>
      <c r="AG13" s="106"/>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c r="CY13" s="86"/>
      <c r="CZ13" s="86"/>
      <c r="DA13" s="86"/>
      <c r="DB13" s="86"/>
      <c r="DC13" s="86"/>
      <c r="DD13" s="86"/>
      <c r="DE13" s="86"/>
      <c r="DF13" s="86"/>
      <c r="DG13" s="86"/>
      <c r="DH13" s="86"/>
      <c r="DI13" s="86"/>
      <c r="DJ13" s="86"/>
      <c r="DK13" s="86"/>
      <c r="DL13" s="86"/>
      <c r="DM13" s="86"/>
      <c r="DN13" s="86"/>
      <c r="DO13" s="86"/>
      <c r="DP13" s="86"/>
      <c r="DQ13" s="86"/>
      <c r="DR13" s="86"/>
      <c r="DS13" s="86"/>
      <c r="DT13" s="86"/>
      <c r="DU13" s="86"/>
      <c r="DV13" s="86"/>
      <c r="DW13" s="86"/>
      <c r="DX13" s="86"/>
      <c r="DY13" s="86"/>
      <c r="DZ13" s="86"/>
      <c r="EA13" s="86"/>
      <c r="EB13" s="86"/>
      <c r="EC13" s="86"/>
      <c r="ED13" s="86"/>
      <c r="EE13" s="86"/>
      <c r="EF13" s="86"/>
      <c r="EG13" s="86"/>
      <c r="EH13" s="86"/>
      <c r="EI13" s="86"/>
      <c r="EJ13" s="86"/>
      <c r="EK13" s="86"/>
      <c r="EL13" s="86"/>
      <c r="EM13" s="86"/>
      <c r="EN13" s="86"/>
      <c r="EO13" s="86"/>
      <c r="EP13" s="86"/>
      <c r="EQ13" s="86"/>
      <c r="ER13" s="86"/>
      <c r="ES13" s="86"/>
      <c r="ET13" s="86"/>
      <c r="EU13" s="86"/>
      <c r="EV13" s="86"/>
      <c r="EW13" s="86"/>
      <c r="EX13" s="86"/>
      <c r="EY13" s="86"/>
      <c r="EZ13" s="86"/>
      <c r="FA13" s="86"/>
      <c r="FB13" s="86"/>
      <c r="FC13" s="86"/>
      <c r="FD13" s="86"/>
    </row>
    <row r="14" s="87" customFormat="true" ht="9.75" hidden="false" customHeight="true" outlineLevel="0" collapsed="false">
      <c r="A14" s="110"/>
      <c r="B14" s="110"/>
      <c r="C14" s="110"/>
      <c r="D14" s="110"/>
      <c r="E14" s="110"/>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c r="CY14" s="86"/>
      <c r="CZ14" s="86"/>
      <c r="DA14" s="86"/>
      <c r="DB14" s="86"/>
      <c r="DC14" s="86"/>
      <c r="DD14" s="86"/>
      <c r="DE14" s="86"/>
      <c r="DF14" s="86"/>
      <c r="DG14" s="86"/>
      <c r="DH14" s="86"/>
      <c r="DI14" s="86"/>
      <c r="DJ14" s="86"/>
      <c r="DK14" s="86"/>
      <c r="DL14" s="86"/>
      <c r="DM14" s="86"/>
      <c r="DN14" s="86"/>
      <c r="DO14" s="86"/>
      <c r="DP14" s="86"/>
      <c r="DQ14" s="86"/>
      <c r="DR14" s="86"/>
      <c r="DS14" s="86"/>
      <c r="DT14" s="86"/>
      <c r="DU14" s="86"/>
      <c r="DV14" s="86"/>
      <c r="DW14" s="86"/>
      <c r="DX14" s="86"/>
      <c r="DY14" s="86"/>
      <c r="DZ14" s="86"/>
      <c r="EA14" s="86"/>
      <c r="EB14" s="86"/>
      <c r="EC14" s="86"/>
      <c r="ED14" s="86"/>
      <c r="EE14" s="86"/>
      <c r="EF14" s="86"/>
      <c r="EG14" s="86"/>
      <c r="EH14" s="86"/>
      <c r="EI14" s="86"/>
      <c r="EJ14" s="86"/>
      <c r="EK14" s="86"/>
      <c r="EL14" s="86"/>
      <c r="EM14" s="86"/>
      <c r="EN14" s="86"/>
      <c r="EO14" s="86"/>
      <c r="EP14" s="86"/>
      <c r="EQ14" s="86"/>
      <c r="ER14" s="86"/>
      <c r="ES14" s="86"/>
      <c r="ET14" s="86"/>
      <c r="EU14" s="86"/>
      <c r="EV14" s="86"/>
      <c r="EW14" s="86"/>
      <c r="EX14" s="86"/>
      <c r="EY14" s="86"/>
      <c r="EZ14" s="86"/>
      <c r="FA14" s="86"/>
      <c r="FB14" s="86"/>
      <c r="FC14" s="86"/>
      <c r="FD14" s="86"/>
    </row>
    <row r="15" s="87" customFormat="true" ht="4.5" hidden="false" customHeight="true" outlineLevel="0" collapsed="false">
      <c r="A15" s="86"/>
      <c r="B15" s="86"/>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c r="CY15" s="86"/>
      <c r="CZ15" s="86"/>
      <c r="DA15" s="86"/>
      <c r="DB15" s="86"/>
      <c r="DC15" s="86"/>
      <c r="DD15" s="86"/>
      <c r="DE15" s="86"/>
      <c r="DF15" s="86"/>
      <c r="DG15" s="86"/>
      <c r="DH15" s="86"/>
      <c r="DI15" s="86"/>
      <c r="DJ15" s="86"/>
      <c r="DK15" s="86"/>
      <c r="DL15" s="86"/>
      <c r="DM15" s="86"/>
      <c r="DN15" s="86"/>
      <c r="DO15" s="86"/>
      <c r="DP15" s="86"/>
      <c r="DQ15" s="86"/>
      <c r="DR15" s="86"/>
      <c r="DS15" s="86"/>
      <c r="DT15" s="86"/>
      <c r="DU15" s="86"/>
      <c r="DV15" s="86"/>
      <c r="DW15" s="86"/>
      <c r="DX15" s="86"/>
      <c r="DY15" s="86"/>
      <c r="DZ15" s="86"/>
      <c r="EA15" s="86"/>
      <c r="EB15" s="86"/>
      <c r="EC15" s="86"/>
      <c r="ED15" s="86"/>
      <c r="EE15" s="86"/>
      <c r="EF15" s="86"/>
      <c r="EG15" s="86"/>
      <c r="EH15" s="86"/>
      <c r="EI15" s="86"/>
      <c r="EJ15" s="86"/>
      <c r="EK15" s="86"/>
      <c r="EL15" s="86"/>
      <c r="EM15" s="86"/>
      <c r="EN15" s="86"/>
      <c r="EO15" s="86"/>
      <c r="EP15" s="86"/>
      <c r="EQ15" s="86"/>
      <c r="ER15" s="86"/>
      <c r="ES15" s="86"/>
      <c r="ET15" s="86"/>
      <c r="EU15" s="86"/>
      <c r="EV15" s="86"/>
      <c r="EW15" s="86"/>
      <c r="EX15" s="86"/>
      <c r="EY15" s="86"/>
      <c r="EZ15" s="86"/>
      <c r="FA15" s="86"/>
      <c r="FB15" s="86"/>
      <c r="FC15" s="86"/>
      <c r="FD15" s="86"/>
    </row>
    <row r="16" s="87" customFormat="true" ht="15" hidden="false" customHeight="true" outlineLevel="0" collapsed="false">
      <c r="A16" s="92" t="s">
        <v>225</v>
      </c>
      <c r="B16" s="86"/>
      <c r="C16" s="86"/>
      <c r="D16" s="86"/>
      <c r="E16" s="86"/>
      <c r="F16" s="86"/>
      <c r="G16" s="111" t="s">
        <v>226</v>
      </c>
      <c r="H16" s="86"/>
      <c r="I16" s="92"/>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86"/>
      <c r="DB16" s="86"/>
      <c r="DC16" s="86"/>
      <c r="DD16" s="86"/>
      <c r="DE16" s="86"/>
      <c r="DF16" s="86"/>
      <c r="DG16" s="86"/>
      <c r="DH16" s="86"/>
      <c r="DI16" s="86"/>
      <c r="DJ16" s="86"/>
      <c r="DK16" s="86"/>
      <c r="DL16" s="86"/>
      <c r="DM16" s="86"/>
      <c r="DN16" s="86"/>
      <c r="DO16" s="86"/>
      <c r="DP16" s="86"/>
      <c r="DQ16" s="86"/>
      <c r="DR16" s="86"/>
      <c r="DS16" s="86"/>
      <c r="DT16" s="86"/>
      <c r="DU16" s="86"/>
      <c r="DV16" s="86"/>
      <c r="DW16" s="86"/>
      <c r="DX16" s="86"/>
      <c r="DY16" s="86"/>
      <c r="DZ16" s="86"/>
      <c r="EA16" s="86"/>
      <c r="EB16" s="86"/>
      <c r="EC16" s="86"/>
      <c r="ED16" s="86"/>
      <c r="EE16" s="86"/>
      <c r="EF16" s="86"/>
      <c r="EG16" s="86"/>
      <c r="EH16" s="86"/>
      <c r="EI16" s="86"/>
      <c r="EJ16" s="86"/>
      <c r="EK16" s="86"/>
      <c r="EL16" s="86"/>
      <c r="EM16" s="86"/>
      <c r="EN16" s="86"/>
      <c r="EO16" s="86"/>
      <c r="EP16" s="86"/>
      <c r="EQ16" s="86"/>
      <c r="ER16" s="86"/>
      <c r="ES16" s="86"/>
      <c r="ET16" s="86"/>
      <c r="EU16" s="86"/>
      <c r="EV16" s="86"/>
      <c r="EW16" s="86"/>
      <c r="EX16" s="86"/>
      <c r="EY16" s="86"/>
      <c r="EZ16" s="86"/>
      <c r="FA16" s="86"/>
      <c r="FB16" s="86"/>
      <c r="FC16" s="86"/>
      <c r="FD16" s="86"/>
    </row>
    <row r="17" s="87" customFormat="true" ht="15" hidden="false" customHeight="true" outlineLevel="0" collapsed="false">
      <c r="A17" s="86"/>
      <c r="B17" s="86"/>
      <c r="C17" s="86"/>
      <c r="D17" s="86"/>
      <c r="E17" s="86"/>
      <c r="F17" s="86"/>
      <c r="G17" s="112" t="s">
        <v>227</v>
      </c>
      <c r="H17" s="86"/>
      <c r="I17" s="92"/>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c r="CY17" s="86"/>
      <c r="CZ17" s="86"/>
      <c r="DA17" s="86"/>
      <c r="DB17" s="86"/>
      <c r="DC17" s="86"/>
      <c r="DD17" s="86"/>
      <c r="DE17" s="86"/>
      <c r="DF17" s="86"/>
      <c r="DG17" s="86"/>
      <c r="DH17" s="86"/>
      <c r="DI17" s="86"/>
      <c r="DJ17" s="86"/>
      <c r="DK17" s="86"/>
      <c r="DL17" s="86"/>
      <c r="DM17" s="86"/>
      <c r="DN17" s="86"/>
      <c r="DO17" s="86"/>
      <c r="DP17" s="86"/>
      <c r="DQ17" s="86"/>
      <c r="DR17" s="86"/>
      <c r="DS17" s="86"/>
      <c r="DT17" s="86"/>
      <c r="DU17" s="86"/>
      <c r="DV17" s="86"/>
      <c r="DW17" s="86"/>
      <c r="DX17" s="86"/>
      <c r="DY17" s="86"/>
      <c r="DZ17" s="86"/>
      <c r="EA17" s="86"/>
      <c r="EB17" s="86"/>
      <c r="EC17" s="86"/>
      <c r="ED17" s="86"/>
      <c r="EE17" s="86"/>
      <c r="EF17" s="86"/>
      <c r="EG17" s="86"/>
      <c r="EH17" s="86"/>
      <c r="EI17" s="86"/>
      <c r="EJ17" s="86"/>
      <c r="EK17" s="86"/>
      <c r="EL17" s="86"/>
      <c r="EM17" s="86"/>
      <c r="EN17" s="86"/>
      <c r="EO17" s="86"/>
      <c r="EP17" s="86"/>
      <c r="EQ17" s="86"/>
      <c r="ER17" s="86"/>
      <c r="ES17" s="86"/>
      <c r="ET17" s="86"/>
      <c r="EU17" s="86"/>
      <c r="EV17" s="86"/>
      <c r="EW17" s="86"/>
      <c r="EX17" s="86"/>
      <c r="EY17" s="86"/>
      <c r="EZ17" s="86"/>
      <c r="FA17" s="86"/>
      <c r="FB17" s="86"/>
      <c r="FC17" s="86"/>
      <c r="FD17" s="86"/>
    </row>
    <row r="18" s="87" customFormat="true" ht="15" hidden="false" customHeight="true" outlineLevel="0" collapsed="false">
      <c r="A18" s="86"/>
      <c r="B18" s="86"/>
      <c r="C18" s="86"/>
      <c r="D18" s="86"/>
      <c r="E18" s="86"/>
      <c r="F18" s="86"/>
      <c r="G18" s="113" t="s">
        <v>228</v>
      </c>
      <c r="H18" s="86"/>
      <c r="I18" s="92"/>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c r="CY18" s="86"/>
      <c r="CZ18" s="86"/>
      <c r="DA18" s="86"/>
      <c r="DB18" s="86"/>
      <c r="DC18" s="86"/>
      <c r="DD18" s="86"/>
      <c r="DE18" s="86"/>
      <c r="DF18" s="86"/>
      <c r="DG18" s="86"/>
      <c r="DH18" s="86"/>
      <c r="DI18" s="86"/>
      <c r="DJ18" s="86"/>
      <c r="DK18" s="86"/>
      <c r="DL18" s="86"/>
      <c r="DM18" s="86"/>
      <c r="DN18" s="86"/>
      <c r="DO18" s="86"/>
      <c r="DP18" s="86"/>
      <c r="DQ18" s="86"/>
      <c r="DR18" s="86"/>
      <c r="DS18" s="86"/>
      <c r="DT18" s="86"/>
      <c r="DU18" s="86"/>
      <c r="DV18" s="86"/>
      <c r="DW18" s="86"/>
      <c r="DX18" s="86"/>
      <c r="DY18" s="86"/>
      <c r="DZ18" s="86"/>
      <c r="EA18" s="86"/>
      <c r="EB18" s="86"/>
      <c r="EC18" s="86"/>
      <c r="ED18" s="86"/>
      <c r="EE18" s="86"/>
      <c r="EF18" s="86"/>
      <c r="EG18" s="86"/>
      <c r="EH18" s="86"/>
      <c r="EI18" s="86"/>
      <c r="EJ18" s="86"/>
      <c r="EK18" s="86"/>
      <c r="EL18" s="86"/>
      <c r="EM18" s="86"/>
      <c r="EN18" s="86"/>
      <c r="EO18" s="86"/>
      <c r="EP18" s="86"/>
      <c r="EQ18" s="86"/>
      <c r="ER18" s="86"/>
      <c r="ES18" s="86"/>
      <c r="ET18" s="86"/>
      <c r="EU18" s="86"/>
      <c r="EV18" s="86"/>
      <c r="EW18" s="86"/>
      <c r="EX18" s="86"/>
      <c r="EY18" s="86"/>
      <c r="EZ18" s="86"/>
      <c r="FA18" s="86"/>
      <c r="FB18" s="86"/>
      <c r="FC18" s="86"/>
      <c r="FD18" s="86"/>
    </row>
    <row r="19" s="87" customFormat="true" ht="4.5" hidden="false" customHeight="true" outlineLevel="0" collapsed="false">
      <c r="A19" s="92"/>
      <c r="B19" s="86"/>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c r="CY19" s="86"/>
      <c r="CZ19" s="86"/>
      <c r="DA19" s="86"/>
      <c r="DB19" s="86"/>
      <c r="DC19" s="86"/>
      <c r="DD19" s="86"/>
      <c r="DE19" s="86"/>
      <c r="DF19" s="86"/>
      <c r="DG19" s="86"/>
      <c r="DH19" s="86"/>
      <c r="DI19" s="86"/>
      <c r="DJ19" s="86"/>
      <c r="DK19" s="86"/>
      <c r="DL19" s="86"/>
      <c r="DM19" s="86"/>
      <c r="DN19" s="86"/>
      <c r="DO19" s="86"/>
      <c r="DP19" s="86"/>
      <c r="DQ19" s="86"/>
      <c r="DR19" s="86"/>
      <c r="DS19" s="86"/>
      <c r="DT19" s="86"/>
      <c r="DU19" s="86"/>
      <c r="DV19" s="86"/>
      <c r="DW19" s="86"/>
      <c r="DX19" s="86"/>
      <c r="DY19" s="86"/>
      <c r="DZ19" s="86"/>
      <c r="EA19" s="86"/>
      <c r="EB19" s="86"/>
      <c r="EC19" s="86"/>
      <c r="ED19" s="86"/>
      <c r="EE19" s="86"/>
      <c r="EF19" s="86"/>
      <c r="EG19" s="86"/>
      <c r="EH19" s="86"/>
      <c r="EI19" s="86"/>
      <c r="EJ19" s="86"/>
      <c r="EK19" s="86"/>
      <c r="EL19" s="86"/>
      <c r="EM19" s="86"/>
      <c r="EN19" s="86"/>
      <c r="EO19" s="86"/>
      <c r="EP19" s="86"/>
      <c r="EQ19" s="86"/>
      <c r="ER19" s="86"/>
      <c r="ES19" s="86"/>
      <c r="ET19" s="86"/>
      <c r="EU19" s="86"/>
      <c r="EV19" s="86"/>
      <c r="EW19" s="86"/>
      <c r="EX19" s="86"/>
      <c r="EY19" s="86"/>
      <c r="EZ19" s="86"/>
      <c r="FA19" s="86"/>
      <c r="FB19" s="86"/>
      <c r="FC19" s="86"/>
      <c r="FD19" s="86"/>
    </row>
    <row r="20" s="87" customFormat="true" ht="19.5" hidden="false" customHeight="true" outlineLevel="0" collapsed="false">
      <c r="A20" s="114" t="s">
        <v>213</v>
      </c>
      <c r="B20" s="114"/>
      <c r="C20" s="114"/>
      <c r="D20" s="114"/>
      <c r="E20" s="114"/>
      <c r="F20" s="114" t="s">
        <v>205</v>
      </c>
      <c r="G20" s="114"/>
      <c r="H20" s="114"/>
      <c r="I20" s="114"/>
      <c r="J20" s="114"/>
      <c r="K20" s="114"/>
      <c r="L20" s="114" t="s">
        <v>229</v>
      </c>
      <c r="M20" s="114"/>
      <c r="N20" s="114"/>
      <c r="O20" s="114"/>
      <c r="P20" s="114"/>
      <c r="Q20" s="114"/>
      <c r="R20" s="114"/>
      <c r="S20" s="114"/>
      <c r="T20" s="115" t="s">
        <v>214</v>
      </c>
      <c r="U20" s="115"/>
      <c r="V20" s="115"/>
      <c r="W20" s="115"/>
      <c r="X20" s="115"/>
      <c r="Y20" s="115"/>
      <c r="Z20" s="115"/>
      <c r="AA20" s="115"/>
      <c r="AB20" s="115"/>
      <c r="AC20" s="115"/>
      <c r="AD20" s="115"/>
      <c r="AE20" s="115"/>
      <c r="AF20" s="115"/>
      <c r="AG20" s="115"/>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c r="CY20" s="86"/>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86"/>
      <c r="EO20" s="86"/>
      <c r="EP20" s="86"/>
      <c r="EQ20" s="86"/>
      <c r="ER20" s="86"/>
      <c r="ES20" s="86"/>
      <c r="ET20" s="86"/>
      <c r="EU20" s="86"/>
      <c r="EV20" s="86"/>
      <c r="EW20" s="86"/>
      <c r="EX20" s="86"/>
      <c r="EY20" s="86"/>
      <c r="EZ20" s="86"/>
      <c r="FA20" s="86"/>
      <c r="FB20" s="86"/>
      <c r="FC20" s="86"/>
      <c r="FD20" s="86"/>
    </row>
    <row r="21" s="87" customFormat="true" ht="34.5" hidden="false" customHeight="true" outlineLevel="0" collapsed="false">
      <c r="A21" s="116" t="s">
        <v>230</v>
      </c>
      <c r="B21" s="116"/>
      <c r="C21" s="116"/>
      <c r="D21" s="116"/>
      <c r="E21" s="116"/>
      <c r="F21" s="116" t="s">
        <v>231</v>
      </c>
      <c r="G21" s="116"/>
      <c r="H21" s="116"/>
      <c r="I21" s="116"/>
      <c r="J21" s="116"/>
      <c r="K21" s="116"/>
      <c r="L21" s="117" t="s">
        <v>232</v>
      </c>
      <c r="M21" s="117"/>
      <c r="N21" s="117"/>
      <c r="O21" s="117"/>
      <c r="P21" s="117"/>
      <c r="Q21" s="117"/>
      <c r="R21" s="117"/>
      <c r="S21" s="117"/>
      <c r="T21" s="118" t="s">
        <v>233</v>
      </c>
      <c r="U21" s="118"/>
      <c r="V21" s="118"/>
      <c r="W21" s="118"/>
      <c r="X21" s="118"/>
      <c r="Y21" s="118"/>
      <c r="Z21" s="118"/>
      <c r="AA21" s="118"/>
      <c r="AB21" s="118"/>
      <c r="AC21" s="118"/>
      <c r="AD21" s="118"/>
      <c r="AE21" s="118"/>
      <c r="AF21" s="118"/>
      <c r="AG21" s="118"/>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c r="CY21" s="86"/>
      <c r="CZ21" s="86"/>
      <c r="DA21" s="86"/>
      <c r="DB21" s="86"/>
      <c r="DC21" s="86"/>
      <c r="DD21" s="86"/>
      <c r="DE21" s="86"/>
      <c r="DF21" s="86"/>
      <c r="DG21" s="86"/>
      <c r="DH21" s="86"/>
      <c r="DI21" s="86"/>
      <c r="DJ21" s="86"/>
      <c r="DK21" s="86"/>
      <c r="DL21" s="86"/>
      <c r="DM21" s="86"/>
      <c r="DN21" s="86"/>
      <c r="DO21" s="86"/>
      <c r="DP21" s="86"/>
      <c r="DQ21" s="86"/>
      <c r="DR21" s="86"/>
      <c r="DS21" s="86"/>
      <c r="DT21" s="86"/>
      <c r="DU21" s="86"/>
      <c r="DV21" s="86"/>
      <c r="DW21" s="86"/>
      <c r="DX21" s="86"/>
      <c r="DY21" s="86"/>
      <c r="DZ21" s="86"/>
      <c r="EA21" s="86"/>
      <c r="EB21" s="86"/>
      <c r="EC21" s="86"/>
      <c r="ED21" s="86"/>
      <c r="EE21" s="86"/>
      <c r="EF21" s="86"/>
      <c r="EG21" s="86"/>
      <c r="EH21" s="86"/>
      <c r="EI21" s="86"/>
      <c r="EJ21" s="86"/>
      <c r="EK21" s="86"/>
      <c r="EL21" s="86"/>
      <c r="EM21" s="86"/>
      <c r="EN21" s="86"/>
      <c r="EO21" s="86"/>
      <c r="EP21" s="86"/>
      <c r="EQ21" s="86"/>
      <c r="ER21" s="86"/>
      <c r="ES21" s="86"/>
      <c r="ET21" s="86"/>
      <c r="EU21" s="86"/>
      <c r="EV21" s="86"/>
      <c r="EW21" s="86"/>
      <c r="EX21" s="86"/>
      <c r="EY21" s="86"/>
      <c r="EZ21" s="86"/>
      <c r="FA21" s="86"/>
      <c r="FB21" s="86"/>
      <c r="FC21" s="86"/>
      <c r="FD21" s="86"/>
    </row>
    <row r="22" s="87" customFormat="true" ht="19.5" hidden="false" customHeight="true" outlineLevel="0" collapsed="false">
      <c r="A22" s="116"/>
      <c r="B22" s="116"/>
      <c r="C22" s="116"/>
      <c r="D22" s="116"/>
      <c r="E22" s="116"/>
      <c r="F22" s="116"/>
      <c r="G22" s="116"/>
      <c r="H22" s="116"/>
      <c r="I22" s="116"/>
      <c r="J22" s="116"/>
      <c r="K22" s="116"/>
      <c r="L22" s="119" t="s">
        <v>234</v>
      </c>
      <c r="M22" s="119"/>
      <c r="N22" s="119"/>
      <c r="O22" s="119"/>
      <c r="P22" s="119"/>
      <c r="Q22" s="119"/>
      <c r="R22" s="119"/>
      <c r="S22" s="119"/>
      <c r="T22" s="120" t="s">
        <v>235</v>
      </c>
      <c r="U22" s="120"/>
      <c r="V22" s="120"/>
      <c r="W22" s="120"/>
      <c r="X22" s="120"/>
      <c r="Y22" s="120"/>
      <c r="Z22" s="120"/>
      <c r="AA22" s="120"/>
      <c r="AB22" s="120"/>
      <c r="AC22" s="120"/>
      <c r="AD22" s="120"/>
      <c r="AE22" s="120"/>
      <c r="AF22" s="120"/>
      <c r="AG22" s="120"/>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86"/>
      <c r="DB22" s="86"/>
      <c r="DC22" s="86"/>
      <c r="DD22" s="86"/>
      <c r="DE22" s="86"/>
      <c r="DF22" s="86"/>
      <c r="DG22" s="86"/>
      <c r="DH22" s="86"/>
      <c r="DI22" s="86"/>
      <c r="DJ22" s="86"/>
      <c r="DK22" s="86"/>
      <c r="DL22" s="86"/>
      <c r="DM22" s="86"/>
      <c r="DN22" s="86"/>
      <c r="DO22" s="86"/>
      <c r="DP22" s="86"/>
      <c r="DQ22" s="86"/>
      <c r="DR22" s="86"/>
      <c r="DS22" s="86"/>
      <c r="DT22" s="86"/>
      <c r="DU22" s="86"/>
      <c r="DV22" s="86"/>
      <c r="DW22" s="86"/>
      <c r="DX22" s="86"/>
      <c r="DY22" s="86"/>
      <c r="DZ22" s="86"/>
      <c r="EA22" s="86"/>
      <c r="EB22" s="86"/>
      <c r="EC22" s="86"/>
      <c r="ED22" s="86"/>
      <c r="EE22" s="86"/>
      <c r="EF22" s="86"/>
      <c r="EG22" s="86"/>
      <c r="EH22" s="86"/>
      <c r="EI22" s="86"/>
      <c r="EJ22" s="86"/>
      <c r="EK22" s="86"/>
      <c r="EL22" s="86"/>
      <c r="EM22" s="86"/>
      <c r="EN22" s="86"/>
      <c r="EO22" s="86"/>
      <c r="EP22" s="86"/>
      <c r="EQ22" s="86"/>
      <c r="ER22" s="86"/>
      <c r="ES22" s="86"/>
      <c r="ET22" s="86"/>
      <c r="EU22" s="86"/>
      <c r="EV22" s="86"/>
      <c r="EW22" s="86"/>
      <c r="EX22" s="86"/>
      <c r="EY22" s="86"/>
      <c r="EZ22" s="86"/>
      <c r="FA22" s="86"/>
      <c r="FB22" s="86"/>
      <c r="FC22" s="86"/>
      <c r="FD22" s="86"/>
    </row>
    <row r="23" s="87" customFormat="true" ht="9.75" hidden="false" customHeight="true" outlineLevel="0" collapsed="false">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c r="CY23" s="86"/>
      <c r="CZ23" s="86"/>
      <c r="DA23" s="86"/>
      <c r="DB23" s="86"/>
      <c r="DC23" s="86"/>
      <c r="DD23" s="86"/>
      <c r="DE23" s="86"/>
      <c r="DF23" s="86"/>
      <c r="DG23" s="86"/>
      <c r="DH23" s="86"/>
      <c r="DI23" s="86"/>
      <c r="DJ23" s="86"/>
      <c r="DK23" s="86"/>
      <c r="DL23" s="86"/>
      <c r="DM23" s="86"/>
      <c r="DN23" s="86"/>
      <c r="DO23" s="86"/>
      <c r="DP23" s="86"/>
      <c r="DQ23" s="86"/>
      <c r="DR23" s="86"/>
      <c r="DS23" s="86"/>
      <c r="DT23" s="86"/>
      <c r="DU23" s="86"/>
      <c r="DV23" s="86"/>
      <c r="DW23" s="86"/>
      <c r="DX23" s="86"/>
      <c r="DY23" s="86"/>
      <c r="DZ23" s="86"/>
      <c r="EA23" s="86"/>
      <c r="EB23" s="86"/>
      <c r="EC23" s="86"/>
      <c r="ED23" s="86"/>
      <c r="EE23" s="86"/>
      <c r="EF23" s="86"/>
      <c r="EG23" s="86"/>
      <c r="EH23" s="86"/>
      <c r="EI23" s="86"/>
      <c r="EJ23" s="86"/>
      <c r="EK23" s="86"/>
      <c r="EL23" s="86"/>
      <c r="EM23" s="86"/>
      <c r="EN23" s="86"/>
      <c r="EO23" s="86"/>
      <c r="EP23" s="86"/>
      <c r="EQ23" s="86"/>
      <c r="ER23" s="86"/>
      <c r="ES23" s="86"/>
      <c r="ET23" s="86"/>
      <c r="EU23" s="86"/>
      <c r="EV23" s="86"/>
      <c r="EW23" s="86"/>
      <c r="EX23" s="86"/>
      <c r="EY23" s="86"/>
      <c r="EZ23" s="86"/>
      <c r="FA23" s="86"/>
      <c r="FB23" s="86"/>
      <c r="FC23" s="86"/>
      <c r="FD23" s="86"/>
    </row>
    <row r="24" s="87" customFormat="true" ht="4.5" hidden="false" customHeight="true" outlineLevel="0" collapsed="false">
      <c r="A24" s="122"/>
      <c r="B24" s="122"/>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c r="AC24" s="122"/>
      <c r="AD24" s="122"/>
      <c r="AE24" s="122"/>
      <c r="AF24" s="122"/>
      <c r="AG24" s="122"/>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c r="CY24" s="86"/>
      <c r="CZ24" s="86"/>
      <c r="DA24" s="86"/>
      <c r="DB24" s="86"/>
      <c r="DC24" s="86"/>
      <c r="DD24" s="86"/>
      <c r="DE24" s="86"/>
      <c r="DF24" s="86"/>
      <c r="DG24" s="86"/>
      <c r="DH24" s="86"/>
      <c r="DI24" s="86"/>
      <c r="DJ24" s="86"/>
      <c r="DK24" s="86"/>
      <c r="DL24" s="86"/>
      <c r="DM24" s="86"/>
      <c r="DN24" s="86"/>
      <c r="DO24" s="86"/>
      <c r="DP24" s="86"/>
      <c r="DQ24" s="86"/>
      <c r="DR24" s="86"/>
      <c r="DS24" s="86"/>
      <c r="DT24" s="86"/>
      <c r="DU24" s="86"/>
      <c r="DV24" s="86"/>
      <c r="DW24" s="86"/>
      <c r="DX24" s="86"/>
      <c r="DY24" s="86"/>
      <c r="DZ24" s="86"/>
      <c r="EA24" s="86"/>
      <c r="EB24" s="86"/>
      <c r="EC24" s="86"/>
      <c r="ED24" s="86"/>
      <c r="EE24" s="86"/>
      <c r="EF24" s="86"/>
      <c r="EG24" s="86"/>
      <c r="EH24" s="86"/>
      <c r="EI24" s="86"/>
      <c r="EJ24" s="86"/>
      <c r="EK24" s="86"/>
      <c r="EL24" s="86"/>
      <c r="EM24" s="86"/>
      <c r="EN24" s="86"/>
      <c r="EO24" s="86"/>
      <c r="EP24" s="86"/>
      <c r="EQ24" s="86"/>
      <c r="ER24" s="86"/>
      <c r="ES24" s="86"/>
      <c r="ET24" s="86"/>
      <c r="EU24" s="86"/>
      <c r="EV24" s="86"/>
      <c r="EW24" s="86"/>
      <c r="EX24" s="86"/>
      <c r="EY24" s="86"/>
      <c r="EZ24" s="86"/>
      <c r="FA24" s="86"/>
      <c r="FB24" s="86"/>
      <c r="FC24" s="86"/>
      <c r="FD24" s="86"/>
    </row>
    <row r="25" s="87" customFormat="true" ht="15" hidden="false" customHeight="true" outlineLevel="0" collapsed="false">
      <c r="A25" s="92" t="s">
        <v>236</v>
      </c>
      <c r="B25" s="86"/>
      <c r="C25" s="86"/>
      <c r="D25" s="86"/>
      <c r="E25" s="86"/>
      <c r="F25" s="86"/>
      <c r="G25" s="92"/>
      <c r="H25" s="92"/>
      <c r="I25" s="92"/>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c r="CY25" s="86"/>
      <c r="CZ25" s="86"/>
      <c r="DA25" s="86"/>
      <c r="DB25" s="86"/>
      <c r="DC25" s="86"/>
      <c r="DD25" s="86"/>
      <c r="DE25" s="86"/>
      <c r="DF25" s="86"/>
      <c r="DG25" s="86"/>
      <c r="DH25" s="86"/>
      <c r="DI25" s="86"/>
      <c r="DJ25" s="86"/>
      <c r="DK25" s="86"/>
      <c r="DL25" s="86"/>
      <c r="DM25" s="86"/>
      <c r="DN25" s="86"/>
      <c r="DO25" s="86"/>
      <c r="DP25" s="86"/>
      <c r="DQ25" s="86"/>
      <c r="DR25" s="86"/>
      <c r="DS25" s="86"/>
      <c r="DT25" s="86"/>
      <c r="DU25" s="86"/>
      <c r="DV25" s="86"/>
      <c r="DW25" s="86"/>
      <c r="DX25" s="86"/>
      <c r="DY25" s="86"/>
      <c r="DZ25" s="86"/>
      <c r="EA25" s="86"/>
      <c r="EB25" s="86"/>
      <c r="EC25" s="86"/>
      <c r="ED25" s="86"/>
      <c r="EE25" s="86"/>
      <c r="EF25" s="86"/>
      <c r="EG25" s="86"/>
      <c r="EH25" s="86"/>
      <c r="EI25" s="86"/>
      <c r="EJ25" s="86"/>
      <c r="EK25" s="86"/>
      <c r="EL25" s="86"/>
      <c r="EM25" s="86"/>
      <c r="EN25" s="86"/>
      <c r="EO25" s="86"/>
      <c r="EP25" s="86"/>
      <c r="EQ25" s="86"/>
      <c r="ER25" s="86"/>
      <c r="ES25" s="86"/>
      <c r="ET25" s="86"/>
      <c r="EU25" s="86"/>
      <c r="EV25" s="86"/>
      <c r="EW25" s="86"/>
      <c r="EX25" s="86"/>
      <c r="EY25" s="86"/>
      <c r="EZ25" s="86"/>
      <c r="FA25" s="86"/>
      <c r="FB25" s="86"/>
      <c r="FC25" s="86"/>
      <c r="FD25" s="86"/>
    </row>
    <row r="26" s="87" customFormat="true" ht="4.5" hidden="false" customHeight="true" outlineLevel="0" collapsed="false">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86"/>
      <c r="DA26" s="86"/>
      <c r="DB26" s="86"/>
      <c r="DC26" s="86"/>
      <c r="DD26" s="86"/>
      <c r="DE26" s="86"/>
      <c r="DF26" s="86"/>
      <c r="DG26" s="86"/>
      <c r="DH26" s="86"/>
      <c r="DI26" s="86"/>
      <c r="DJ26" s="86"/>
      <c r="DK26" s="86"/>
      <c r="DL26" s="86"/>
      <c r="DM26" s="86"/>
      <c r="DN26" s="86"/>
      <c r="DO26" s="86"/>
      <c r="DP26" s="86"/>
      <c r="DQ26" s="86"/>
      <c r="DR26" s="86"/>
      <c r="DS26" s="86"/>
      <c r="DT26" s="86"/>
      <c r="DU26" s="86"/>
      <c r="DV26" s="86"/>
      <c r="DW26" s="86"/>
      <c r="DX26" s="86"/>
      <c r="DY26" s="86"/>
      <c r="DZ26" s="86"/>
      <c r="EA26" s="86"/>
      <c r="EB26" s="86"/>
      <c r="EC26" s="86"/>
      <c r="ED26" s="86"/>
      <c r="EE26" s="86"/>
      <c r="EF26" s="86"/>
      <c r="EG26" s="86"/>
      <c r="EH26" s="86"/>
      <c r="EI26" s="86"/>
      <c r="EJ26" s="86"/>
      <c r="EK26" s="86"/>
      <c r="EL26" s="86"/>
      <c r="EM26" s="86"/>
      <c r="EN26" s="86"/>
      <c r="EO26" s="86"/>
      <c r="EP26" s="86"/>
      <c r="EQ26" s="86"/>
      <c r="ER26" s="86"/>
      <c r="ES26" s="86"/>
      <c r="ET26" s="86"/>
      <c r="EU26" s="86"/>
      <c r="EV26" s="86"/>
      <c r="EW26" s="86"/>
      <c r="EX26" s="86"/>
      <c r="EY26" s="86"/>
      <c r="EZ26" s="86"/>
      <c r="FA26" s="86"/>
      <c r="FB26" s="86"/>
      <c r="FC26" s="86"/>
      <c r="FD26" s="86"/>
    </row>
    <row r="27" s="87" customFormat="true" ht="19.5" hidden="false" customHeight="true" outlineLevel="0" collapsed="false">
      <c r="A27" s="93" t="s">
        <v>213</v>
      </c>
      <c r="B27" s="93"/>
      <c r="C27" s="93"/>
      <c r="D27" s="93"/>
      <c r="E27" s="93"/>
      <c r="F27" s="93"/>
      <c r="G27" s="93"/>
      <c r="H27" s="93"/>
      <c r="I27" s="93"/>
      <c r="J27" s="93"/>
      <c r="K27" s="115" t="s">
        <v>205</v>
      </c>
      <c r="L27" s="115"/>
      <c r="M27" s="115"/>
      <c r="N27" s="115"/>
      <c r="O27" s="115"/>
      <c r="P27" s="115"/>
      <c r="Q27" s="115"/>
      <c r="R27" s="115"/>
      <c r="S27" s="115"/>
      <c r="T27" s="115"/>
      <c r="U27" s="115"/>
      <c r="V27" s="93" t="s">
        <v>214</v>
      </c>
      <c r="W27" s="93"/>
      <c r="X27" s="93"/>
      <c r="Y27" s="93"/>
      <c r="Z27" s="93"/>
      <c r="AA27" s="93"/>
      <c r="AB27" s="93"/>
      <c r="AC27" s="93"/>
      <c r="AD27" s="93"/>
      <c r="AE27" s="93"/>
      <c r="AF27" s="93"/>
      <c r="AG27" s="93"/>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c r="CY27" s="86"/>
      <c r="CZ27" s="86"/>
      <c r="DA27" s="86"/>
      <c r="DB27" s="86"/>
      <c r="DC27" s="86"/>
      <c r="DD27" s="86"/>
      <c r="DE27" s="86"/>
      <c r="DF27" s="86"/>
      <c r="DG27" s="86"/>
      <c r="DH27" s="86"/>
      <c r="DI27" s="86"/>
      <c r="DJ27" s="86"/>
      <c r="DK27" s="86"/>
      <c r="DL27" s="86"/>
      <c r="DM27" s="86"/>
      <c r="DN27" s="86"/>
      <c r="DO27" s="86"/>
      <c r="DP27" s="86"/>
      <c r="DQ27" s="86"/>
      <c r="DR27" s="86"/>
      <c r="DS27" s="86"/>
      <c r="DT27" s="86"/>
      <c r="DU27" s="86"/>
      <c r="DV27" s="86"/>
      <c r="DW27" s="86"/>
      <c r="DX27" s="86"/>
      <c r="DY27" s="86"/>
      <c r="DZ27" s="86"/>
      <c r="EA27" s="86"/>
      <c r="EB27" s="86"/>
      <c r="EC27" s="86"/>
      <c r="ED27" s="86"/>
      <c r="EE27" s="86"/>
      <c r="EF27" s="86"/>
      <c r="EG27" s="86"/>
      <c r="EH27" s="86"/>
      <c r="EI27" s="86"/>
      <c r="EJ27" s="86"/>
      <c r="EK27" s="86"/>
      <c r="EL27" s="86"/>
      <c r="EM27" s="86"/>
      <c r="EN27" s="86"/>
      <c r="EO27" s="86"/>
      <c r="EP27" s="86"/>
      <c r="EQ27" s="86"/>
      <c r="ER27" s="86"/>
      <c r="ES27" s="86"/>
      <c r="ET27" s="86"/>
      <c r="EU27" s="86"/>
      <c r="EV27" s="86"/>
      <c r="EW27" s="86"/>
      <c r="EX27" s="86"/>
      <c r="EY27" s="86"/>
      <c r="EZ27" s="86"/>
      <c r="FA27" s="86"/>
      <c r="FB27" s="86"/>
      <c r="FC27" s="86"/>
      <c r="FD27" s="86"/>
    </row>
    <row r="28" s="87" customFormat="true" ht="34.5" hidden="false" customHeight="true" outlineLevel="0" collapsed="false">
      <c r="A28" s="123" t="s">
        <v>237</v>
      </c>
      <c r="B28" s="123"/>
      <c r="C28" s="123"/>
      <c r="D28" s="123"/>
      <c r="E28" s="123"/>
      <c r="F28" s="123"/>
      <c r="G28" s="123"/>
      <c r="H28" s="123"/>
      <c r="I28" s="123"/>
      <c r="J28" s="123"/>
      <c r="K28" s="124" t="s">
        <v>238</v>
      </c>
      <c r="L28" s="124"/>
      <c r="M28" s="124"/>
      <c r="N28" s="124"/>
      <c r="O28" s="124"/>
      <c r="P28" s="124"/>
      <c r="Q28" s="124"/>
      <c r="R28" s="124"/>
      <c r="S28" s="124"/>
      <c r="T28" s="124"/>
      <c r="U28" s="124"/>
      <c r="V28" s="125" t="s">
        <v>239</v>
      </c>
      <c r="W28" s="125"/>
      <c r="X28" s="125"/>
      <c r="Y28" s="125"/>
      <c r="Z28" s="125"/>
      <c r="AA28" s="125"/>
      <c r="AB28" s="125"/>
      <c r="AC28" s="125"/>
      <c r="AD28" s="125"/>
      <c r="AE28" s="125"/>
      <c r="AF28" s="125"/>
      <c r="AG28" s="125"/>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c r="CY28" s="86"/>
      <c r="CZ28" s="86"/>
      <c r="DA28" s="86"/>
      <c r="DB28" s="86"/>
      <c r="DC28" s="86"/>
      <c r="DD28" s="86"/>
      <c r="DE28" s="86"/>
      <c r="DF28" s="86"/>
      <c r="DG28" s="86"/>
      <c r="DH28" s="86"/>
      <c r="DI28" s="86"/>
      <c r="DJ28" s="86"/>
      <c r="DK28" s="86"/>
      <c r="DL28" s="86"/>
      <c r="DM28" s="86"/>
      <c r="DN28" s="86"/>
      <c r="DO28" s="86"/>
      <c r="DP28" s="86"/>
      <c r="DQ28" s="86"/>
      <c r="DR28" s="86"/>
      <c r="DS28" s="86"/>
      <c r="DT28" s="86"/>
      <c r="DU28" s="86"/>
      <c r="DV28" s="86"/>
      <c r="DW28" s="86"/>
      <c r="DX28" s="86"/>
      <c r="DY28" s="86"/>
      <c r="DZ28" s="86"/>
      <c r="EA28" s="86"/>
      <c r="EB28" s="86"/>
      <c r="EC28" s="86"/>
      <c r="ED28" s="86"/>
      <c r="EE28" s="86"/>
      <c r="EF28" s="86"/>
      <c r="EG28" s="86"/>
      <c r="EH28" s="86"/>
      <c r="EI28" s="86"/>
      <c r="EJ28" s="86"/>
      <c r="EK28" s="86"/>
      <c r="EL28" s="86"/>
      <c r="EM28" s="86"/>
      <c r="EN28" s="86"/>
      <c r="EO28" s="86"/>
      <c r="EP28" s="86"/>
      <c r="EQ28" s="86"/>
      <c r="ER28" s="86"/>
      <c r="ES28" s="86"/>
      <c r="ET28" s="86"/>
      <c r="EU28" s="86"/>
      <c r="EV28" s="86"/>
      <c r="EW28" s="86"/>
      <c r="EX28" s="86"/>
      <c r="EY28" s="86"/>
      <c r="EZ28" s="86"/>
      <c r="FA28" s="86"/>
      <c r="FB28" s="86"/>
      <c r="FC28" s="86"/>
      <c r="FD28" s="86"/>
    </row>
    <row r="29" s="87" customFormat="true" ht="24.75" hidden="false" customHeight="true" outlineLevel="0" collapsed="false">
      <c r="A29" s="123" t="s">
        <v>240</v>
      </c>
      <c r="B29" s="123"/>
      <c r="C29" s="123"/>
      <c r="D29" s="123"/>
      <c r="E29" s="123"/>
      <c r="F29" s="123"/>
      <c r="G29" s="123"/>
      <c r="H29" s="123"/>
      <c r="I29" s="123"/>
      <c r="J29" s="123"/>
      <c r="K29" s="126" t="s">
        <v>241</v>
      </c>
      <c r="L29" s="126"/>
      <c r="M29" s="126"/>
      <c r="N29" s="126"/>
      <c r="O29" s="126"/>
      <c r="P29" s="126"/>
      <c r="Q29" s="126"/>
      <c r="R29" s="126"/>
      <c r="S29" s="126"/>
      <c r="T29" s="126"/>
      <c r="U29" s="126"/>
      <c r="V29" s="103" t="s">
        <v>242</v>
      </c>
      <c r="W29" s="103"/>
      <c r="X29" s="103"/>
      <c r="Y29" s="103"/>
      <c r="Z29" s="103"/>
      <c r="AA29" s="103"/>
      <c r="AB29" s="103"/>
      <c r="AC29" s="103"/>
      <c r="AD29" s="103"/>
      <c r="AE29" s="103"/>
      <c r="AF29" s="103"/>
      <c r="AG29" s="103"/>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c r="CY29" s="86"/>
      <c r="CZ29" s="86"/>
      <c r="DA29" s="86"/>
      <c r="DB29" s="86"/>
      <c r="DC29" s="86"/>
      <c r="DD29" s="86"/>
      <c r="DE29" s="86"/>
      <c r="DF29" s="86"/>
      <c r="DG29" s="86"/>
      <c r="DH29" s="86"/>
      <c r="DI29" s="86"/>
      <c r="DJ29" s="86"/>
      <c r="DK29" s="86"/>
      <c r="DL29" s="86"/>
      <c r="DM29" s="86"/>
      <c r="DN29" s="86"/>
      <c r="DO29" s="86"/>
      <c r="DP29" s="86"/>
      <c r="DQ29" s="86"/>
      <c r="DR29" s="86"/>
      <c r="DS29" s="86"/>
      <c r="DT29" s="86"/>
      <c r="DU29" s="86"/>
      <c r="DV29" s="86"/>
      <c r="DW29" s="86"/>
      <c r="DX29" s="86"/>
      <c r="DY29" s="86"/>
      <c r="DZ29" s="86"/>
      <c r="EA29" s="86"/>
      <c r="EB29" s="86"/>
      <c r="EC29" s="86"/>
      <c r="ED29" s="86"/>
      <c r="EE29" s="86"/>
      <c r="EF29" s="86"/>
      <c r="EG29" s="86"/>
      <c r="EH29" s="86"/>
      <c r="EI29" s="86"/>
      <c r="EJ29" s="86"/>
      <c r="EK29" s="86"/>
      <c r="EL29" s="86"/>
      <c r="EM29" s="86"/>
      <c r="EN29" s="86"/>
      <c r="EO29" s="86"/>
      <c r="EP29" s="86"/>
      <c r="EQ29" s="86"/>
      <c r="ER29" s="86"/>
      <c r="ES29" s="86"/>
      <c r="ET29" s="86"/>
      <c r="EU29" s="86"/>
      <c r="EV29" s="86"/>
      <c r="EW29" s="86"/>
      <c r="EX29" s="86"/>
      <c r="EY29" s="86"/>
      <c r="EZ29" s="86"/>
      <c r="FA29" s="86"/>
      <c r="FB29" s="86"/>
      <c r="FC29" s="86"/>
      <c r="FD29" s="86"/>
    </row>
    <row r="30" s="87" customFormat="true" ht="9.75" hidden="false" customHeight="true" outlineLevel="0" collapsed="false">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c r="AA30" s="121"/>
      <c r="AB30" s="121"/>
      <c r="AC30" s="121"/>
      <c r="AD30" s="121"/>
      <c r="AE30" s="121"/>
      <c r="AF30" s="121"/>
      <c r="AG30" s="121"/>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c r="CY30" s="86"/>
      <c r="CZ30" s="86"/>
      <c r="DA30" s="86"/>
      <c r="DB30" s="86"/>
      <c r="DC30" s="86"/>
      <c r="DD30" s="86"/>
      <c r="DE30" s="86"/>
      <c r="DF30" s="86"/>
      <c r="DG30" s="86"/>
      <c r="DH30" s="86"/>
      <c r="DI30" s="86"/>
      <c r="DJ30" s="86"/>
      <c r="DK30" s="86"/>
      <c r="DL30" s="86"/>
      <c r="DM30" s="86"/>
      <c r="DN30" s="86"/>
      <c r="DO30" s="86"/>
      <c r="DP30" s="86"/>
      <c r="DQ30" s="86"/>
      <c r="DR30" s="86"/>
      <c r="DS30" s="86"/>
      <c r="DT30" s="86"/>
      <c r="DU30" s="86"/>
      <c r="DV30" s="86"/>
      <c r="DW30" s="86"/>
      <c r="DX30" s="86"/>
      <c r="DY30" s="86"/>
      <c r="DZ30" s="86"/>
      <c r="EA30" s="86"/>
      <c r="EB30" s="86"/>
      <c r="EC30" s="86"/>
      <c r="ED30" s="86"/>
      <c r="EE30" s="86"/>
      <c r="EF30" s="86"/>
      <c r="EG30" s="86"/>
      <c r="EH30" s="86"/>
      <c r="EI30" s="86"/>
      <c r="EJ30" s="86"/>
      <c r="EK30" s="86"/>
      <c r="EL30" s="86"/>
      <c r="EM30" s="86"/>
      <c r="EN30" s="86"/>
      <c r="EO30" s="86"/>
      <c r="EP30" s="86"/>
      <c r="EQ30" s="86"/>
      <c r="ER30" s="86"/>
      <c r="ES30" s="86"/>
      <c r="ET30" s="86"/>
      <c r="EU30" s="86"/>
      <c r="EV30" s="86"/>
      <c r="EW30" s="86"/>
      <c r="EX30" s="86"/>
      <c r="EY30" s="86"/>
      <c r="EZ30" s="86"/>
      <c r="FA30" s="86"/>
      <c r="FB30" s="86"/>
      <c r="FC30" s="86"/>
      <c r="FD30" s="86"/>
    </row>
    <row r="31" s="87" customFormat="true" ht="4.5" hidden="false" customHeight="true" outlineLevel="0" collapsed="false">
      <c r="A31" s="122"/>
      <c r="B31" s="122"/>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c r="AA31" s="122"/>
      <c r="AB31" s="122"/>
      <c r="AC31" s="122"/>
      <c r="AD31" s="122"/>
      <c r="AE31" s="122"/>
      <c r="AF31" s="122"/>
      <c r="AG31" s="122"/>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c r="CY31" s="86"/>
      <c r="CZ31" s="86"/>
      <c r="DA31" s="86"/>
      <c r="DB31" s="86"/>
      <c r="DC31" s="86"/>
      <c r="DD31" s="86"/>
      <c r="DE31" s="86"/>
      <c r="DF31" s="86"/>
      <c r="DG31" s="86"/>
      <c r="DH31" s="86"/>
      <c r="DI31" s="86"/>
      <c r="DJ31" s="86"/>
      <c r="DK31" s="86"/>
      <c r="DL31" s="86"/>
      <c r="DM31" s="86"/>
      <c r="DN31" s="86"/>
      <c r="DO31" s="86"/>
      <c r="DP31" s="86"/>
      <c r="DQ31" s="86"/>
      <c r="DR31" s="86"/>
      <c r="DS31" s="86"/>
      <c r="DT31" s="86"/>
      <c r="DU31" s="86"/>
      <c r="DV31" s="86"/>
      <c r="DW31" s="86"/>
      <c r="DX31" s="86"/>
      <c r="DY31" s="86"/>
      <c r="DZ31" s="86"/>
      <c r="EA31" s="86"/>
      <c r="EB31" s="86"/>
      <c r="EC31" s="86"/>
      <c r="ED31" s="86"/>
      <c r="EE31" s="86"/>
      <c r="EF31" s="86"/>
      <c r="EG31" s="86"/>
      <c r="EH31" s="86"/>
      <c r="EI31" s="86"/>
      <c r="EJ31" s="86"/>
      <c r="EK31" s="86"/>
      <c r="EL31" s="86"/>
      <c r="EM31" s="86"/>
      <c r="EN31" s="86"/>
      <c r="EO31" s="86"/>
      <c r="EP31" s="86"/>
      <c r="EQ31" s="86"/>
      <c r="ER31" s="86"/>
      <c r="ES31" s="86"/>
      <c r="ET31" s="86"/>
      <c r="EU31" s="86"/>
      <c r="EV31" s="86"/>
      <c r="EW31" s="86"/>
      <c r="EX31" s="86"/>
      <c r="EY31" s="86"/>
      <c r="EZ31" s="86"/>
      <c r="FA31" s="86"/>
      <c r="FB31" s="86"/>
      <c r="FC31" s="86"/>
      <c r="FD31" s="86"/>
    </row>
    <row r="32" customFormat="false" ht="15" hidden="false" customHeight="true" outlineLevel="0" collapsed="false">
      <c r="A32" s="92" t="s">
        <v>243</v>
      </c>
      <c r="I32" s="92"/>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c r="BM32" s="101"/>
      <c r="BN32" s="101"/>
      <c r="BO32" s="101"/>
      <c r="BP32" s="101"/>
      <c r="BQ32" s="101"/>
      <c r="BR32" s="101"/>
      <c r="BS32" s="101"/>
      <c r="BT32" s="101"/>
      <c r="BU32" s="101"/>
    </row>
    <row r="33" customFormat="false" ht="4.5" hidden="false" customHeight="true" outlineLevel="0" collapsed="false">
      <c r="A33" s="92"/>
      <c r="I33" s="92"/>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c r="BM33" s="101"/>
      <c r="BN33" s="101"/>
      <c r="BO33" s="101"/>
      <c r="BP33" s="101"/>
      <c r="BQ33" s="101"/>
      <c r="BR33" s="101"/>
      <c r="BS33" s="101"/>
      <c r="BT33" s="101"/>
      <c r="BU33" s="101"/>
    </row>
    <row r="34" customFormat="false" ht="19.5" hidden="false" customHeight="true" outlineLevel="0" collapsed="false">
      <c r="A34" s="127" t="s">
        <v>244</v>
      </c>
      <c r="B34" s="127"/>
      <c r="C34" s="127"/>
      <c r="D34" s="127"/>
      <c r="E34" s="127"/>
      <c r="F34" s="127"/>
      <c r="G34" s="128" t="s">
        <v>245</v>
      </c>
      <c r="H34" s="129"/>
      <c r="I34" s="129"/>
      <c r="J34" s="129"/>
      <c r="K34" s="129"/>
      <c r="L34" s="129"/>
      <c r="M34" s="129"/>
      <c r="N34" s="129"/>
      <c r="O34" s="129"/>
      <c r="P34" s="129"/>
      <c r="Q34" s="129"/>
      <c r="R34" s="129"/>
      <c r="S34" s="129"/>
      <c r="T34" s="129"/>
      <c r="U34" s="129"/>
      <c r="V34" s="129"/>
      <c r="W34" s="129"/>
      <c r="X34" s="129"/>
      <c r="Y34" s="129"/>
      <c r="Z34" s="129"/>
      <c r="AA34" s="129"/>
      <c r="AB34" s="129"/>
      <c r="AC34" s="129"/>
      <c r="AD34" s="129"/>
      <c r="AE34" s="129"/>
      <c r="AF34" s="129"/>
      <c r="AG34" s="130"/>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F34" s="101"/>
      <c r="BG34" s="101"/>
      <c r="BH34" s="101"/>
      <c r="BI34" s="101"/>
      <c r="BJ34" s="101"/>
      <c r="BK34" s="101"/>
      <c r="BL34" s="101"/>
      <c r="BM34" s="101"/>
      <c r="BN34" s="101"/>
      <c r="BO34" s="101"/>
      <c r="BP34" s="101"/>
      <c r="BQ34" s="101"/>
      <c r="BR34" s="101"/>
      <c r="BS34" s="101"/>
      <c r="BT34" s="101"/>
      <c r="BU34" s="101"/>
    </row>
    <row r="35" customFormat="false" ht="19.5" hidden="false" customHeight="true" outlineLevel="0" collapsed="false">
      <c r="A35" s="127"/>
      <c r="B35" s="127"/>
      <c r="C35" s="127"/>
      <c r="D35" s="127"/>
      <c r="E35" s="127"/>
      <c r="F35" s="127"/>
      <c r="G35" s="131" t="s">
        <v>246</v>
      </c>
      <c r="H35" s="132"/>
      <c r="I35" s="132"/>
      <c r="J35" s="132"/>
      <c r="K35" s="132"/>
      <c r="L35" s="132"/>
      <c r="M35" s="132"/>
      <c r="N35" s="132"/>
      <c r="O35" s="132"/>
      <c r="P35" s="132"/>
      <c r="Q35" s="132"/>
      <c r="R35" s="132"/>
      <c r="S35" s="132"/>
      <c r="T35" s="132"/>
      <c r="U35" s="132"/>
      <c r="V35" s="132"/>
      <c r="W35" s="132"/>
      <c r="X35" s="132"/>
      <c r="Y35" s="132"/>
      <c r="Z35" s="132"/>
      <c r="AA35" s="132"/>
      <c r="AB35" s="132"/>
      <c r="AC35" s="132"/>
      <c r="AD35" s="132"/>
      <c r="AE35" s="132"/>
      <c r="AF35" s="132"/>
      <c r="AG35" s="133"/>
      <c r="AH35" s="101"/>
      <c r="AI35" s="101"/>
      <c r="AJ35" s="101"/>
      <c r="AK35" s="101"/>
      <c r="AL35" s="101"/>
      <c r="AM35" s="101"/>
      <c r="AN35" s="101"/>
      <c r="AO35" s="101"/>
      <c r="AP35" s="101"/>
      <c r="AQ35" s="101"/>
      <c r="AR35" s="101"/>
      <c r="AS35" s="101"/>
      <c r="AT35" s="101"/>
      <c r="AU35" s="101"/>
      <c r="AV35" s="101"/>
      <c r="AW35" s="101"/>
      <c r="AX35" s="101"/>
      <c r="AY35" s="101"/>
      <c r="AZ35" s="101"/>
      <c r="BA35" s="101"/>
      <c r="BB35" s="101"/>
      <c r="BC35" s="101"/>
      <c r="BD35" s="101"/>
      <c r="BE35" s="101"/>
      <c r="BF35" s="101"/>
      <c r="BG35" s="101"/>
      <c r="BH35" s="101"/>
      <c r="BI35" s="101"/>
      <c r="BJ35" s="101"/>
      <c r="BK35" s="101"/>
      <c r="BL35" s="101"/>
      <c r="BM35" s="101"/>
      <c r="BN35" s="101"/>
      <c r="BO35" s="101"/>
      <c r="BP35" s="101"/>
      <c r="BQ35" s="101"/>
      <c r="BR35" s="101"/>
      <c r="BS35" s="101"/>
      <c r="BT35" s="101"/>
      <c r="BU35" s="101"/>
    </row>
    <row r="36" customFormat="false" ht="19.5" hidden="false" customHeight="true" outlineLevel="0" collapsed="false">
      <c r="A36" s="127" t="s">
        <v>247</v>
      </c>
      <c r="B36" s="127"/>
      <c r="C36" s="127"/>
      <c r="D36" s="127"/>
      <c r="E36" s="127"/>
      <c r="F36" s="127"/>
      <c r="G36" s="134" t="s">
        <v>248</v>
      </c>
      <c r="H36" s="134"/>
      <c r="I36" s="134"/>
      <c r="J36" s="134"/>
      <c r="K36" s="134"/>
      <c r="L36" s="134"/>
      <c r="M36" s="134"/>
      <c r="N36" s="134"/>
      <c r="O36" s="134"/>
      <c r="P36" s="134"/>
      <c r="Q36" s="134"/>
      <c r="R36" s="134"/>
      <c r="S36" s="134"/>
      <c r="T36" s="134"/>
      <c r="U36" s="134"/>
      <c r="V36" s="134"/>
      <c r="W36" s="134"/>
      <c r="X36" s="134"/>
      <c r="Y36" s="134"/>
      <c r="Z36" s="134"/>
      <c r="AA36" s="134"/>
      <c r="AB36" s="134"/>
      <c r="AC36" s="134"/>
      <c r="AD36" s="134"/>
      <c r="AE36" s="134"/>
      <c r="AF36" s="134"/>
      <c r="AG36" s="134"/>
      <c r="AH36" s="135" t="s">
        <v>249</v>
      </c>
      <c r="AI36" s="135"/>
      <c r="AJ36" s="135"/>
      <c r="AK36" s="135"/>
      <c r="AL36" s="135"/>
      <c r="AM36" s="135"/>
      <c r="AN36" s="135"/>
      <c r="AO36" s="135"/>
      <c r="AP36" s="135"/>
      <c r="AQ36" s="135"/>
      <c r="AR36" s="135"/>
      <c r="AS36" s="135"/>
      <c r="AT36" s="135"/>
      <c r="AU36" s="135"/>
      <c r="AV36" s="135"/>
      <c r="AW36" s="135"/>
      <c r="AX36" s="135"/>
      <c r="AY36" s="135"/>
      <c r="AZ36" s="135"/>
      <c r="BA36" s="135"/>
      <c r="BB36" s="135"/>
      <c r="BC36" s="135"/>
      <c r="BD36" s="135"/>
      <c r="BE36" s="135"/>
      <c r="BF36" s="135"/>
      <c r="BG36" s="135"/>
      <c r="BH36" s="135"/>
      <c r="BI36" s="135"/>
      <c r="BJ36" s="135"/>
      <c r="BK36" s="135"/>
      <c r="BL36" s="135"/>
      <c r="BM36" s="135"/>
      <c r="BN36" s="135"/>
      <c r="BO36" s="135"/>
      <c r="BP36" s="135"/>
      <c r="BQ36" s="135"/>
      <c r="BR36" s="135"/>
      <c r="BS36" s="135"/>
      <c r="BT36" s="135"/>
      <c r="BU36" s="135"/>
    </row>
    <row r="37" customFormat="false" ht="19.5" hidden="false" customHeight="true" outlineLevel="0" collapsed="false">
      <c r="A37" s="127"/>
      <c r="B37" s="127"/>
      <c r="C37" s="127"/>
      <c r="D37" s="127"/>
      <c r="E37" s="127"/>
      <c r="F37" s="127"/>
      <c r="G37" s="134"/>
      <c r="H37" s="134"/>
      <c r="I37" s="134"/>
      <c r="J37" s="134"/>
      <c r="K37" s="134"/>
      <c r="L37" s="134"/>
      <c r="M37" s="134"/>
      <c r="N37" s="134"/>
      <c r="O37" s="134"/>
      <c r="P37" s="134"/>
      <c r="Q37" s="134"/>
      <c r="R37" s="134"/>
      <c r="S37" s="134"/>
      <c r="T37" s="134"/>
      <c r="U37" s="134"/>
      <c r="V37" s="134"/>
      <c r="W37" s="134"/>
      <c r="X37" s="134"/>
      <c r="Y37" s="134"/>
      <c r="Z37" s="134"/>
      <c r="AA37" s="134"/>
      <c r="AB37" s="134"/>
      <c r="AC37" s="134"/>
      <c r="AD37" s="134"/>
      <c r="AE37" s="134"/>
      <c r="AF37" s="134"/>
      <c r="AG37" s="134"/>
      <c r="AH37" s="135"/>
      <c r="AI37" s="135"/>
      <c r="AJ37" s="135"/>
      <c r="AK37" s="135"/>
      <c r="AL37" s="135"/>
      <c r="AM37" s="135"/>
      <c r="AN37" s="135"/>
      <c r="AO37" s="135"/>
      <c r="AP37" s="135"/>
      <c r="AQ37" s="135"/>
      <c r="AR37" s="135"/>
      <c r="AS37" s="135"/>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5"/>
      <c r="BS37" s="135"/>
      <c r="BT37" s="135"/>
      <c r="BU37" s="135"/>
    </row>
    <row r="38" customFormat="false" ht="19.5" hidden="false" customHeight="true" outlineLevel="0" collapsed="false">
      <c r="A38" s="136" t="s">
        <v>250</v>
      </c>
      <c r="B38" s="136"/>
      <c r="C38" s="136"/>
      <c r="D38" s="136"/>
      <c r="E38" s="136"/>
      <c r="F38" s="136"/>
      <c r="G38" s="128" t="s">
        <v>251</v>
      </c>
      <c r="H38" s="137"/>
      <c r="I38" s="137"/>
      <c r="J38" s="137"/>
      <c r="K38" s="137"/>
      <c r="L38" s="137"/>
      <c r="M38" s="137"/>
      <c r="N38" s="137"/>
      <c r="O38" s="137"/>
      <c r="P38" s="137"/>
      <c r="Q38" s="137"/>
      <c r="R38" s="137"/>
      <c r="S38" s="137"/>
      <c r="T38" s="137"/>
      <c r="U38" s="137"/>
      <c r="V38" s="137"/>
      <c r="W38" s="137"/>
      <c r="X38" s="137"/>
      <c r="Y38" s="137"/>
      <c r="Z38" s="137"/>
      <c r="AA38" s="137"/>
      <c r="AB38" s="137"/>
      <c r="AC38" s="137"/>
      <c r="AD38" s="137"/>
      <c r="AE38" s="137"/>
      <c r="AF38" s="137"/>
      <c r="AG38" s="138"/>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BN38" s="101"/>
      <c r="BO38" s="101"/>
      <c r="BP38" s="101"/>
      <c r="BQ38" s="101"/>
      <c r="BR38" s="101"/>
      <c r="BS38" s="101"/>
      <c r="BT38" s="101"/>
      <c r="BU38" s="101"/>
    </row>
    <row r="39" s="86" customFormat="true" ht="19.5" hidden="false" customHeight="true" outlineLevel="0" collapsed="false">
      <c r="A39" s="136"/>
      <c r="B39" s="136"/>
      <c r="C39" s="136"/>
      <c r="D39" s="136"/>
      <c r="E39" s="136"/>
      <c r="F39" s="136"/>
      <c r="G39" s="139" t="s">
        <v>252</v>
      </c>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40"/>
    </row>
    <row r="40" s="86" customFormat="true" ht="19.5" hidden="false" customHeight="true" outlineLevel="0" collapsed="false">
      <c r="A40" s="136"/>
      <c r="B40" s="136"/>
      <c r="C40" s="136"/>
      <c r="D40" s="136"/>
      <c r="E40" s="136"/>
      <c r="F40" s="136"/>
      <c r="G40" s="141" t="s">
        <v>253</v>
      </c>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40"/>
    </row>
    <row r="41" s="86" customFormat="true" ht="30" hidden="false" customHeight="true" outlineLevel="0" collapsed="false">
      <c r="A41" s="142" t="s">
        <v>254</v>
      </c>
      <c r="B41" s="142"/>
      <c r="C41" s="142"/>
      <c r="D41" s="142"/>
      <c r="E41" s="142"/>
      <c r="F41" s="142"/>
      <c r="G41" s="143" t="s">
        <v>255</v>
      </c>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5"/>
    </row>
    <row r="42" s="86" customFormat="true" ht="19.5" hidden="false" customHeight="true" outlineLevel="0" collapsed="false">
      <c r="A42" s="146" t="s">
        <v>256</v>
      </c>
      <c r="B42" s="146"/>
      <c r="C42" s="146"/>
      <c r="D42" s="146"/>
      <c r="E42" s="146"/>
      <c r="F42" s="146"/>
      <c r="G42" s="143" t="s">
        <v>257</v>
      </c>
      <c r="H42" s="144"/>
      <c r="I42" s="144"/>
      <c r="J42" s="144"/>
      <c r="K42" s="144"/>
      <c r="L42" s="147" t="s">
        <v>258</v>
      </c>
      <c r="M42" s="144"/>
      <c r="N42" s="144"/>
      <c r="O42" s="144"/>
      <c r="P42" s="144"/>
      <c r="Q42" s="144"/>
      <c r="R42" s="144"/>
      <c r="S42" s="144"/>
      <c r="T42" s="144"/>
      <c r="U42" s="144"/>
      <c r="V42" s="144"/>
      <c r="W42" s="144"/>
      <c r="X42" s="144"/>
      <c r="Y42" s="144"/>
      <c r="Z42" s="144"/>
      <c r="AA42" s="144"/>
      <c r="AB42" s="144"/>
      <c r="AC42" s="144"/>
      <c r="AD42" s="144"/>
      <c r="AE42" s="144"/>
      <c r="AF42" s="144"/>
      <c r="AG42" s="145"/>
    </row>
    <row r="43" s="86" customFormat="true" ht="19.5" hidden="false" customHeight="true" outlineLevel="0" collapsed="false">
      <c r="A43" s="146"/>
      <c r="B43" s="146"/>
      <c r="C43" s="146"/>
      <c r="D43" s="146"/>
      <c r="E43" s="146"/>
      <c r="F43" s="146"/>
      <c r="G43" s="148" t="s">
        <v>259</v>
      </c>
      <c r="L43" s="112" t="s">
        <v>260</v>
      </c>
      <c r="AG43" s="149"/>
    </row>
    <row r="44" s="86" customFormat="true" ht="19.5" hidden="false" customHeight="true" outlineLevel="0" collapsed="false">
      <c r="A44" s="146"/>
      <c r="B44" s="146"/>
      <c r="C44" s="146"/>
      <c r="D44" s="146"/>
      <c r="E44" s="146"/>
      <c r="F44" s="146"/>
      <c r="G44" s="150" t="s">
        <v>261</v>
      </c>
      <c r="H44" s="151"/>
      <c r="I44" s="151"/>
      <c r="J44" s="151"/>
      <c r="K44" s="151"/>
      <c r="L44" s="152" t="s">
        <v>262</v>
      </c>
      <c r="M44" s="151"/>
      <c r="N44" s="151"/>
      <c r="O44" s="151"/>
      <c r="P44" s="151"/>
      <c r="Q44" s="151"/>
      <c r="R44" s="151"/>
      <c r="S44" s="151"/>
      <c r="T44" s="151"/>
      <c r="U44" s="151"/>
      <c r="V44" s="151"/>
      <c r="W44" s="151"/>
      <c r="X44" s="151"/>
      <c r="Y44" s="151"/>
      <c r="Z44" s="151"/>
      <c r="AA44" s="151"/>
      <c r="AB44" s="151"/>
      <c r="AC44" s="151"/>
      <c r="AD44" s="151"/>
      <c r="AE44" s="151"/>
      <c r="AF44" s="151"/>
      <c r="AG44" s="153"/>
    </row>
    <row r="45" s="86" customFormat="true" ht="19.5" hidden="false" customHeight="true" outlineLevel="0" collapsed="false">
      <c r="A45" s="146" t="s">
        <v>263</v>
      </c>
      <c r="B45" s="146"/>
      <c r="C45" s="146"/>
      <c r="D45" s="146"/>
      <c r="E45" s="146"/>
      <c r="F45" s="146"/>
      <c r="G45" s="154" t="s">
        <v>264</v>
      </c>
      <c r="H45" s="144"/>
      <c r="I45" s="144"/>
      <c r="J45" s="144"/>
      <c r="K45" s="144"/>
      <c r="L45" s="144" t="s">
        <v>265</v>
      </c>
      <c r="M45" s="144"/>
      <c r="N45" s="144"/>
      <c r="O45" s="144"/>
      <c r="P45" s="144"/>
      <c r="Q45" s="144"/>
      <c r="R45" s="144"/>
      <c r="S45" s="144"/>
      <c r="T45" s="144"/>
      <c r="U45" s="144"/>
      <c r="V45" s="144"/>
      <c r="W45" s="144"/>
      <c r="X45" s="144"/>
      <c r="Y45" s="144"/>
      <c r="Z45" s="144"/>
      <c r="AA45" s="144"/>
      <c r="AB45" s="144"/>
      <c r="AC45" s="144"/>
      <c r="AD45" s="144"/>
      <c r="AE45" s="144"/>
      <c r="AF45" s="144"/>
      <c r="AG45" s="145"/>
    </row>
    <row r="46" s="86" customFormat="true" ht="19.5" hidden="false" customHeight="true" outlineLevel="0" collapsed="false">
      <c r="A46" s="146"/>
      <c r="B46" s="146"/>
      <c r="C46" s="146"/>
      <c r="D46" s="146"/>
      <c r="E46" s="146"/>
      <c r="F46" s="146"/>
      <c r="G46" s="155" t="s">
        <v>266</v>
      </c>
      <c r="H46" s="151"/>
      <c r="I46" s="151"/>
      <c r="J46" s="151"/>
      <c r="K46" s="151"/>
      <c r="L46" s="151" t="s">
        <v>267</v>
      </c>
      <c r="M46" s="151"/>
      <c r="N46" s="151"/>
      <c r="O46" s="151"/>
      <c r="P46" s="151"/>
      <c r="Q46" s="151"/>
      <c r="R46" s="151"/>
      <c r="S46" s="151"/>
      <c r="T46" s="151"/>
      <c r="U46" s="151"/>
      <c r="V46" s="151"/>
      <c r="W46" s="151"/>
      <c r="X46" s="151"/>
      <c r="Y46" s="151"/>
      <c r="Z46" s="151"/>
      <c r="AA46" s="151"/>
      <c r="AB46" s="151"/>
      <c r="AC46" s="151"/>
      <c r="AD46" s="151"/>
      <c r="AE46" s="151"/>
      <c r="AF46" s="151"/>
      <c r="AG46" s="153"/>
    </row>
    <row r="47" s="86" customFormat="true" ht="19.5" hidden="false" customHeight="true" outlineLevel="0" collapsed="false">
      <c r="A47" s="146" t="s">
        <v>268</v>
      </c>
      <c r="B47" s="146"/>
      <c r="C47" s="146"/>
      <c r="D47" s="146"/>
      <c r="E47" s="146"/>
      <c r="F47" s="146"/>
      <c r="G47" s="143" t="s">
        <v>269</v>
      </c>
      <c r="H47" s="144"/>
      <c r="I47" s="144"/>
      <c r="J47" s="144"/>
      <c r="K47" s="144"/>
      <c r="L47" s="144" t="s">
        <v>270</v>
      </c>
      <c r="M47" s="144"/>
      <c r="N47" s="144"/>
      <c r="O47" s="144"/>
      <c r="P47" s="144"/>
      <c r="Q47" s="144"/>
      <c r="R47" s="144"/>
      <c r="S47" s="144"/>
      <c r="T47" s="144"/>
      <c r="U47" s="144"/>
      <c r="V47" s="144"/>
      <c r="W47" s="144"/>
      <c r="X47" s="144"/>
      <c r="Y47" s="144"/>
      <c r="Z47" s="144"/>
      <c r="AA47" s="144"/>
      <c r="AB47" s="144"/>
      <c r="AC47" s="144"/>
      <c r="AD47" s="144"/>
      <c r="AE47" s="144"/>
      <c r="AF47" s="144"/>
      <c r="AG47" s="145"/>
    </row>
    <row r="48" s="86" customFormat="true" ht="19.5" hidden="false" customHeight="true" outlineLevel="0" collapsed="false">
      <c r="A48" s="146"/>
      <c r="B48" s="146"/>
      <c r="C48" s="146"/>
      <c r="D48" s="146"/>
      <c r="E48" s="146"/>
      <c r="F48" s="146"/>
      <c r="G48" s="150" t="s">
        <v>271</v>
      </c>
      <c r="H48" s="151"/>
      <c r="I48" s="151"/>
      <c r="J48" s="151"/>
      <c r="K48" s="151"/>
      <c r="L48" s="151" t="s">
        <v>267</v>
      </c>
      <c r="M48" s="151"/>
      <c r="N48" s="151"/>
      <c r="O48" s="151"/>
      <c r="P48" s="151"/>
      <c r="Q48" s="151"/>
      <c r="R48" s="151"/>
      <c r="S48" s="151"/>
      <c r="T48" s="151"/>
      <c r="U48" s="151"/>
      <c r="V48" s="151"/>
      <c r="W48" s="151"/>
      <c r="X48" s="151"/>
      <c r="Y48" s="151"/>
      <c r="Z48" s="151"/>
      <c r="AA48" s="151"/>
      <c r="AB48" s="151"/>
      <c r="AC48" s="151"/>
      <c r="AD48" s="151"/>
      <c r="AE48" s="151"/>
      <c r="AF48" s="151"/>
      <c r="AG48" s="153"/>
    </row>
    <row r="49" s="86" customFormat="true" ht="19.5" hidden="false" customHeight="true" outlineLevel="0" collapsed="false">
      <c r="A49" s="146" t="s">
        <v>272</v>
      </c>
      <c r="B49" s="146"/>
      <c r="C49" s="146"/>
      <c r="D49" s="146"/>
      <c r="E49" s="146"/>
      <c r="F49" s="146"/>
      <c r="G49" s="143" t="s">
        <v>273</v>
      </c>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5"/>
    </row>
    <row r="50" s="86" customFormat="true" ht="19.5" hidden="false" customHeight="true" outlineLevel="0" collapsed="false">
      <c r="A50" s="146"/>
      <c r="B50" s="146"/>
      <c r="C50" s="146"/>
      <c r="D50" s="146"/>
      <c r="E50" s="146"/>
      <c r="F50" s="146"/>
      <c r="G50" s="150" t="s">
        <v>274</v>
      </c>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3"/>
    </row>
    <row r="51" customFormat="false" ht="19.5" hidden="true" customHeight="true" outlineLevel="0" collapsed="false">
      <c r="A51" s="146" t="s">
        <v>275</v>
      </c>
      <c r="B51" s="146"/>
      <c r="C51" s="146"/>
      <c r="D51" s="146"/>
      <c r="E51" s="146"/>
      <c r="F51" s="146"/>
      <c r="G51" s="143" t="s">
        <v>276</v>
      </c>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c r="AE51" s="144"/>
      <c r="AF51" s="144"/>
      <c r="AG51" s="145"/>
      <c r="AH51" s="135" t="s">
        <v>277</v>
      </c>
      <c r="AI51" s="135"/>
      <c r="AJ51" s="135"/>
      <c r="AK51" s="135"/>
      <c r="AL51" s="135"/>
      <c r="AM51" s="135"/>
      <c r="AN51" s="135"/>
      <c r="AO51" s="135"/>
      <c r="AP51" s="135"/>
      <c r="AQ51" s="135"/>
      <c r="AR51" s="135"/>
      <c r="AS51" s="135"/>
      <c r="AT51" s="135"/>
      <c r="AU51" s="135"/>
      <c r="AV51" s="135"/>
      <c r="AW51" s="135"/>
      <c r="AX51" s="135"/>
      <c r="AY51" s="135"/>
      <c r="AZ51" s="135"/>
      <c r="BA51" s="135"/>
      <c r="BB51" s="135"/>
      <c r="BC51" s="135"/>
      <c r="BD51" s="135"/>
      <c r="BE51" s="135"/>
      <c r="BF51" s="135"/>
      <c r="BG51" s="135"/>
      <c r="BH51" s="135"/>
      <c r="BI51" s="135"/>
      <c r="BJ51" s="135"/>
      <c r="BK51" s="135"/>
      <c r="BL51" s="135"/>
      <c r="BM51" s="135"/>
      <c r="BN51" s="135"/>
      <c r="BO51" s="135"/>
      <c r="BP51" s="135"/>
      <c r="BQ51" s="135"/>
      <c r="BR51" s="135"/>
      <c r="BS51" s="135"/>
      <c r="BT51" s="135"/>
      <c r="BU51" s="135"/>
    </row>
    <row r="52" customFormat="false" ht="19.5" hidden="true" customHeight="true" outlineLevel="0" collapsed="false">
      <c r="A52" s="146"/>
      <c r="B52" s="146"/>
      <c r="C52" s="146"/>
      <c r="D52" s="146"/>
      <c r="E52" s="146"/>
      <c r="F52" s="146"/>
      <c r="G52" s="150" t="s">
        <v>278</v>
      </c>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153"/>
      <c r="AH52" s="135"/>
      <c r="AI52" s="135"/>
      <c r="AJ52" s="135"/>
      <c r="AK52" s="135"/>
      <c r="AL52" s="135"/>
      <c r="AM52" s="135"/>
      <c r="AN52" s="135"/>
      <c r="AO52" s="135"/>
      <c r="AP52" s="135"/>
      <c r="AQ52" s="135"/>
      <c r="AR52" s="135"/>
      <c r="AS52" s="135"/>
      <c r="AT52" s="135"/>
      <c r="AU52" s="135"/>
      <c r="AV52" s="135"/>
      <c r="AW52" s="135"/>
      <c r="AX52" s="135"/>
      <c r="AY52" s="135"/>
      <c r="AZ52" s="135"/>
      <c r="BA52" s="135"/>
      <c r="BB52" s="135"/>
      <c r="BC52" s="135"/>
      <c r="BD52" s="135"/>
      <c r="BE52" s="135"/>
      <c r="BF52" s="135"/>
      <c r="BG52" s="135"/>
      <c r="BH52" s="135"/>
      <c r="BI52" s="135"/>
      <c r="BJ52" s="135"/>
      <c r="BK52" s="135"/>
      <c r="BL52" s="135"/>
      <c r="BM52" s="135"/>
      <c r="BN52" s="135"/>
      <c r="BO52" s="135"/>
      <c r="BP52" s="135"/>
      <c r="BQ52" s="135"/>
      <c r="BR52" s="135"/>
      <c r="BS52" s="135"/>
      <c r="BT52" s="135"/>
      <c r="BU52" s="135"/>
    </row>
    <row r="53" customFormat="false" ht="19.5" hidden="false" customHeight="true" outlineLevel="0" collapsed="false">
      <c r="B53" s="92"/>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c r="BN53" s="101"/>
      <c r="BO53" s="101"/>
      <c r="BP53" s="101"/>
      <c r="BQ53" s="101"/>
      <c r="BR53" s="101"/>
      <c r="BS53" s="101"/>
      <c r="BT53" s="101"/>
      <c r="BU53" s="101"/>
    </row>
    <row r="54" customFormat="false" ht="19.5" hidden="false" customHeight="true" outlineLevel="0" collapsed="false">
      <c r="A54" s="112" t="s">
        <v>279</v>
      </c>
      <c r="B54" s="92"/>
      <c r="F54" s="112" t="s">
        <v>280</v>
      </c>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F54" s="101"/>
      <c r="BG54" s="101"/>
      <c r="BH54" s="101"/>
      <c r="BI54" s="101"/>
      <c r="BJ54" s="101"/>
      <c r="BK54" s="101"/>
      <c r="BL54" s="101"/>
      <c r="BM54" s="101"/>
      <c r="BN54" s="101"/>
      <c r="BO54" s="101"/>
      <c r="BP54" s="101"/>
      <c r="BQ54" s="101"/>
      <c r="BR54" s="101"/>
      <c r="BS54" s="101"/>
      <c r="BT54" s="101"/>
      <c r="BU54" s="101"/>
    </row>
    <row r="55" s="86" customFormat="true" ht="19.5" hidden="false" customHeight="true" outlineLevel="0" collapsed="false">
      <c r="B55" s="156" t="s">
        <v>281</v>
      </c>
    </row>
    <row r="56" s="86" customFormat="true" ht="19.5" hidden="false" customHeight="true" outlineLevel="0" collapsed="false">
      <c r="B56" s="92" t="s">
        <v>282</v>
      </c>
    </row>
    <row r="57" s="86" customFormat="true" ht="17.25" hidden="false" customHeight="true" outlineLevel="0" collapsed="false"/>
    <row r="58" s="86" customFormat="true" ht="18.75" hidden="false" customHeight="true" outlineLevel="0" collapsed="false"/>
    <row r="59" s="86" customFormat="true" ht="18.75" hidden="false" customHeight="true" outlineLevel="0" collapsed="false"/>
    <row r="60" s="86" customFormat="true" ht="18.75" hidden="false" customHeight="true" outlineLevel="0" collapsed="false"/>
    <row r="61" s="86" customFormat="true" ht="18.75" hidden="false" customHeight="true" outlineLevel="0" collapsed="false"/>
    <row r="62" s="86" customFormat="true" ht="18.75" hidden="false" customHeight="true" outlineLevel="0" collapsed="false"/>
    <row r="63" s="86" customFormat="true" ht="18.75" hidden="false" customHeight="true" outlineLevel="0" collapsed="false"/>
    <row r="64" s="86" customFormat="true" ht="18.75" hidden="false" customHeight="true" outlineLevel="0" collapsed="false"/>
    <row r="65" s="86" customFormat="true" ht="18.75" hidden="false" customHeight="true" outlineLevel="0" collapsed="false"/>
    <row r="66" s="86" customFormat="true" ht="18.75" hidden="false" customHeight="true" outlineLevel="0" collapsed="false"/>
    <row r="67" s="86" customFormat="true" ht="18.75" hidden="false" customHeight="true" outlineLevel="0" collapsed="false"/>
    <row r="68" s="86" customFormat="true" ht="18.75" hidden="false" customHeight="true" outlineLevel="0" collapsed="false"/>
    <row r="69" s="86" customFormat="true" ht="18.75" hidden="false" customHeight="true" outlineLevel="0" collapsed="false"/>
    <row r="70" s="86" customFormat="true" ht="18.75" hidden="false" customHeight="true" outlineLevel="0" collapsed="false"/>
    <row r="71" s="86" customFormat="true" ht="18.75" hidden="false" customHeight="true" outlineLevel="0" collapsed="false"/>
    <row r="72" s="86" customFormat="true" ht="18.75" hidden="false" customHeight="true" outlineLevel="0" collapsed="false"/>
    <row r="73" s="86" customFormat="true" ht="18.75" hidden="false" customHeight="true" outlineLevel="0" collapsed="false"/>
    <row r="74" s="86" customFormat="true" ht="18.75" hidden="false" customHeight="true" outlineLevel="0" collapsed="false"/>
    <row r="75" s="86" customFormat="true" ht="18.75" hidden="false" customHeight="true" outlineLevel="0" collapsed="false"/>
    <row r="76" s="86" customFormat="true" ht="18.75" hidden="false" customHeight="true" outlineLevel="0" collapsed="false"/>
    <row r="77" s="86" customFormat="true" ht="18.75" hidden="false" customHeight="true" outlineLevel="0" collapsed="false"/>
    <row r="78" s="86" customFormat="true" ht="18.75" hidden="false" customHeight="true" outlineLevel="0" collapsed="false"/>
    <row r="79" s="86" customFormat="true" ht="18.75" hidden="false" customHeight="true" outlineLevel="0" collapsed="false"/>
    <row r="80" s="86" customFormat="true" ht="18.75" hidden="false" customHeight="true" outlineLevel="0" collapsed="false"/>
    <row r="81" s="86" customFormat="true" ht="18.75" hidden="false" customHeight="true" outlineLevel="0" collapsed="false"/>
    <row r="82" s="86" customFormat="true" ht="18.75" hidden="false" customHeight="true" outlineLevel="0" collapsed="false"/>
    <row r="83" s="86" customFormat="true" ht="18.75" hidden="false" customHeight="true" outlineLevel="0" collapsed="false"/>
    <row r="84" s="86" customFormat="true" ht="18.75" hidden="false" customHeight="true" outlineLevel="0" collapsed="false"/>
    <row r="85" s="86" customFormat="true" ht="18.75" hidden="false" customHeight="true" outlineLevel="0" collapsed="false"/>
  </sheetData>
  <mergeCells count="57">
    <mergeCell ref="A3:F3"/>
    <mergeCell ref="Y3:AC3"/>
    <mergeCell ref="A7:D7"/>
    <mergeCell ref="E7:O7"/>
    <mergeCell ref="P7:U7"/>
    <mergeCell ref="V7:AG7"/>
    <mergeCell ref="A8:D8"/>
    <mergeCell ref="E8:O8"/>
    <mergeCell ref="P8:U8"/>
    <mergeCell ref="V8:AC8"/>
    <mergeCell ref="AD8:AG8"/>
    <mergeCell ref="A9:D9"/>
    <mergeCell ref="E9:O9"/>
    <mergeCell ref="P9:U9"/>
    <mergeCell ref="V9:AG9"/>
    <mergeCell ref="A11:D11"/>
    <mergeCell ref="E11:O11"/>
    <mergeCell ref="P11:U11"/>
    <mergeCell ref="V11:AG11"/>
    <mergeCell ref="A12:D13"/>
    <mergeCell ref="E12:O12"/>
    <mergeCell ref="P12:U12"/>
    <mergeCell ref="V12:AG13"/>
    <mergeCell ref="AH12:BU13"/>
    <mergeCell ref="E13:O13"/>
    <mergeCell ref="P13:U13"/>
    <mergeCell ref="A20:E20"/>
    <mergeCell ref="F20:K20"/>
    <mergeCell ref="L20:S20"/>
    <mergeCell ref="T20:AG20"/>
    <mergeCell ref="A21:E22"/>
    <mergeCell ref="F21:K22"/>
    <mergeCell ref="L21:S21"/>
    <mergeCell ref="T21:AG21"/>
    <mergeCell ref="L22:S22"/>
    <mergeCell ref="T22:AG22"/>
    <mergeCell ref="A27:J27"/>
    <mergeCell ref="K27:U27"/>
    <mergeCell ref="V27:AG27"/>
    <mergeCell ref="A28:J28"/>
    <mergeCell ref="K28:U28"/>
    <mergeCell ref="V28:AG28"/>
    <mergeCell ref="A29:J29"/>
    <mergeCell ref="K29:U29"/>
    <mergeCell ref="V29:AG29"/>
    <mergeCell ref="A34:F35"/>
    <mergeCell ref="A36:F37"/>
    <mergeCell ref="G36:AG37"/>
    <mergeCell ref="AH36:BU37"/>
    <mergeCell ref="A38:F40"/>
    <mergeCell ref="A41:F41"/>
    <mergeCell ref="A42:F44"/>
    <mergeCell ref="A45:F46"/>
    <mergeCell ref="A47:F48"/>
    <mergeCell ref="A49:F50"/>
    <mergeCell ref="A51:F52"/>
    <mergeCell ref="AH51:BU52"/>
  </mergeCells>
  <printOptions headings="false" gridLines="false" gridLinesSet="true" horizontalCentered="true" verticalCentered="false"/>
  <pageMargins left="0.118055555555556" right="0.118055555555556" top="0.354166666666667" bottom="0" header="0.511811023622047" footer="0.315277777777778"/>
  <pageSetup paperSize="9" scale="86" fitToWidth="1" fitToHeight="1" pageOrder="downThenOver" orientation="portrait" blackAndWhite="false" draft="false" cellComments="none" horizontalDpi="300" verticalDpi="300" copies="1"/>
  <headerFooter differentFirst="false" differentOddEven="false">
    <oddHeader/>
    <oddFooter>&amp;R&amp;"BIZ UDPゴシック,Regular"&amp;8 &amp;P</oddFooter>
  </headerFooter>
  <rowBreaks count="1" manualBreakCount="1">
    <brk id="58" man="true" max="16383" min="0"/>
  </rowBreaks>
  <colBreaks count="1" manualBreakCount="1">
    <brk id="33" man="true" max="65535" min="0"/>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D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3.12890625" defaultRowHeight="18.75" zeroHeight="false" outlineLevelRow="0" outlineLevelCol="0"/>
  <cols>
    <col collapsed="false" customWidth="false" hidden="false" outlineLevel="0" max="33" min="1" style="86" width="3.13"/>
    <col collapsed="false" customWidth="false" hidden="false" outlineLevel="0" max="34" min="34" style="87" width="3.13"/>
    <col collapsed="false" customWidth="false" hidden="false" outlineLevel="0" max="16384" min="35" style="86" width="3.13"/>
  </cols>
  <sheetData>
    <row r="1" s="86" customFormat="true" ht="18.75" hidden="false" customHeight="true" outlineLevel="0" collapsed="false">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row>
    <row r="2" s="86" customFormat="true" ht="30.75" hidden="false" customHeight="true" outlineLevel="0" collapsed="false"/>
    <row r="3" s="87" customFormat="true" ht="27.75" hidden="false" customHeight="true" outlineLevel="0" collapsed="false">
      <c r="A3" s="89" t="s">
        <v>208</v>
      </c>
      <c r="B3" s="89"/>
      <c r="C3" s="89"/>
      <c r="D3" s="89"/>
      <c r="E3" s="89"/>
      <c r="F3" s="90"/>
      <c r="G3" s="90"/>
      <c r="H3" s="90"/>
      <c r="I3" s="90"/>
      <c r="J3" s="90"/>
      <c r="K3" s="90"/>
      <c r="L3" s="90"/>
      <c r="M3" s="90"/>
      <c r="N3" s="90"/>
      <c r="O3" s="90"/>
      <c r="P3" s="90"/>
      <c r="Q3" s="90"/>
      <c r="R3" s="90"/>
      <c r="S3" s="90"/>
      <c r="T3" s="90"/>
      <c r="U3" s="90"/>
      <c r="V3" s="90"/>
      <c r="W3" s="90"/>
      <c r="X3" s="90"/>
      <c r="Y3" s="91" t="s">
        <v>209</v>
      </c>
      <c r="Z3" s="91"/>
      <c r="AA3" s="91"/>
      <c r="AB3" s="91"/>
      <c r="AC3" s="91"/>
      <c r="AD3" s="90"/>
      <c r="AE3" s="90"/>
      <c r="AF3" s="90"/>
      <c r="AG3" s="90"/>
      <c r="AH3" s="86"/>
      <c r="AI3" s="86"/>
      <c r="AJ3" s="86"/>
      <c r="AK3" s="86"/>
      <c r="AL3" s="86"/>
      <c r="AM3" s="86"/>
      <c r="AN3" s="86"/>
      <c r="AO3" s="86"/>
      <c r="AP3" s="86"/>
      <c r="AQ3" s="86"/>
      <c r="AR3" s="86"/>
      <c r="AS3" s="86"/>
      <c r="AT3" s="86"/>
      <c r="AU3" s="86"/>
      <c r="AV3" s="86"/>
      <c r="AW3" s="86"/>
      <c r="AX3" s="86"/>
      <c r="AY3" s="86"/>
      <c r="AZ3" s="86"/>
      <c r="BA3" s="86"/>
      <c r="BB3" s="86"/>
      <c r="BC3" s="86"/>
      <c r="BD3" s="86"/>
      <c r="BE3" s="86"/>
      <c r="BF3" s="86"/>
      <c r="BG3" s="86"/>
      <c r="BH3" s="86"/>
      <c r="BI3" s="86"/>
      <c r="BJ3" s="86"/>
      <c r="BK3" s="86"/>
      <c r="BL3" s="86"/>
      <c r="BM3" s="86"/>
      <c r="BN3" s="86"/>
      <c r="BO3" s="86"/>
      <c r="BP3" s="86"/>
      <c r="BQ3" s="86"/>
      <c r="BR3" s="86"/>
      <c r="BS3" s="86"/>
      <c r="BT3" s="86"/>
      <c r="BU3" s="86"/>
      <c r="BV3" s="86"/>
      <c r="BW3" s="86"/>
      <c r="BX3" s="86"/>
      <c r="BY3" s="86"/>
      <c r="BZ3" s="86"/>
      <c r="CA3" s="86"/>
      <c r="CB3" s="86"/>
      <c r="CC3" s="86"/>
      <c r="CD3" s="86"/>
      <c r="CE3" s="86"/>
      <c r="CF3" s="86"/>
      <c r="CG3" s="86"/>
      <c r="CH3" s="86"/>
      <c r="CI3" s="86"/>
      <c r="CJ3" s="86"/>
      <c r="CK3" s="86"/>
      <c r="CL3" s="86"/>
      <c r="CM3" s="86"/>
      <c r="CN3" s="86"/>
      <c r="CO3" s="86"/>
      <c r="CP3" s="86"/>
      <c r="CQ3" s="86"/>
      <c r="CR3" s="86"/>
      <c r="CS3" s="86"/>
      <c r="CT3" s="86"/>
      <c r="CU3" s="86"/>
      <c r="CV3" s="86"/>
      <c r="CW3" s="86"/>
      <c r="CX3" s="86"/>
      <c r="CY3" s="86"/>
      <c r="CZ3" s="86"/>
      <c r="DA3" s="86"/>
      <c r="DB3" s="86"/>
      <c r="DC3" s="86"/>
      <c r="DD3" s="86"/>
      <c r="DE3" s="86"/>
      <c r="DF3" s="86"/>
      <c r="DG3" s="86"/>
      <c r="DH3" s="86"/>
      <c r="DI3" s="86"/>
      <c r="DJ3" s="86"/>
      <c r="DK3" s="86"/>
      <c r="DL3" s="86"/>
      <c r="DM3" s="86"/>
      <c r="DN3" s="86"/>
      <c r="DO3" s="86"/>
      <c r="DP3" s="86"/>
      <c r="DQ3" s="86"/>
      <c r="DR3" s="86"/>
      <c r="DS3" s="86"/>
      <c r="DT3" s="86"/>
      <c r="DU3" s="86"/>
      <c r="DV3" s="86"/>
      <c r="DW3" s="86"/>
      <c r="DX3" s="86"/>
      <c r="DY3" s="86"/>
      <c r="DZ3" s="86"/>
      <c r="EA3" s="86"/>
      <c r="EB3" s="86"/>
      <c r="EC3" s="86"/>
      <c r="ED3" s="86"/>
      <c r="EE3" s="86"/>
      <c r="EF3" s="86"/>
      <c r="EG3" s="86"/>
      <c r="EH3" s="86"/>
      <c r="EI3" s="86"/>
      <c r="EJ3" s="86"/>
      <c r="EK3" s="86"/>
      <c r="EL3" s="86"/>
      <c r="EM3" s="86"/>
      <c r="EN3" s="86"/>
      <c r="EO3" s="86"/>
      <c r="EP3" s="86"/>
      <c r="EQ3" s="86"/>
      <c r="ER3" s="86"/>
      <c r="ES3" s="86"/>
      <c r="ET3" s="86"/>
      <c r="EU3" s="86"/>
      <c r="EV3" s="86"/>
      <c r="EW3" s="86"/>
      <c r="EX3" s="86"/>
      <c r="EY3" s="86"/>
      <c r="EZ3" s="86"/>
      <c r="FA3" s="86"/>
      <c r="FB3" s="86"/>
      <c r="FC3" s="86"/>
      <c r="FD3" s="86"/>
    </row>
    <row r="4" s="87" customFormat="true" ht="4.5" hidden="false" customHeight="true" outlineLevel="0" collapsed="false">
      <c r="A4" s="86"/>
      <c r="B4" s="86"/>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c r="BF4" s="86"/>
      <c r="BG4" s="86"/>
      <c r="BH4" s="86"/>
      <c r="BI4" s="86"/>
      <c r="BJ4" s="86"/>
      <c r="BK4" s="86"/>
      <c r="BL4" s="86"/>
      <c r="BM4" s="86"/>
      <c r="BN4" s="86"/>
      <c r="BO4" s="86"/>
      <c r="BP4" s="86"/>
      <c r="BQ4" s="86"/>
      <c r="BR4" s="86"/>
      <c r="BS4" s="86"/>
      <c r="BT4" s="86"/>
      <c r="BU4" s="86"/>
      <c r="BV4" s="86"/>
      <c r="BW4" s="86"/>
      <c r="BX4" s="86"/>
      <c r="BY4" s="86"/>
      <c r="BZ4" s="86"/>
      <c r="CA4" s="86"/>
      <c r="CB4" s="86"/>
      <c r="CC4" s="86"/>
      <c r="CD4" s="86"/>
      <c r="CE4" s="86"/>
      <c r="CF4" s="86"/>
      <c r="CG4" s="86"/>
      <c r="CH4" s="86"/>
      <c r="CI4" s="86"/>
      <c r="CJ4" s="86"/>
      <c r="CK4" s="86"/>
      <c r="CL4" s="86"/>
      <c r="CM4" s="86"/>
      <c r="CN4" s="86"/>
      <c r="CO4" s="86"/>
      <c r="CP4" s="86"/>
      <c r="CQ4" s="86"/>
      <c r="CR4" s="86"/>
      <c r="CS4" s="86"/>
      <c r="CT4" s="86"/>
      <c r="CU4" s="86"/>
      <c r="CV4" s="86"/>
      <c r="CW4" s="86"/>
      <c r="CX4" s="86"/>
      <c r="CY4" s="86"/>
      <c r="CZ4" s="86"/>
      <c r="DA4" s="86"/>
      <c r="DB4" s="86"/>
      <c r="DC4" s="86"/>
      <c r="DD4" s="86"/>
      <c r="DE4" s="86"/>
      <c r="DF4" s="86"/>
      <c r="DG4" s="86"/>
      <c r="DH4" s="86"/>
      <c r="DI4" s="86"/>
      <c r="DJ4" s="86"/>
      <c r="DK4" s="86"/>
      <c r="DL4" s="86"/>
      <c r="DM4" s="86"/>
      <c r="DN4" s="86"/>
      <c r="DO4" s="86"/>
      <c r="DP4" s="86"/>
      <c r="DQ4" s="86"/>
      <c r="DR4" s="86"/>
      <c r="DS4" s="86"/>
      <c r="DT4" s="86"/>
      <c r="DU4" s="86"/>
      <c r="DV4" s="86"/>
      <c r="DW4" s="86"/>
      <c r="DX4" s="86"/>
      <c r="DY4" s="86"/>
      <c r="DZ4" s="86"/>
      <c r="EA4" s="86"/>
      <c r="EB4" s="86"/>
      <c r="EC4" s="86"/>
      <c r="ED4" s="86"/>
      <c r="EE4" s="86"/>
      <c r="EF4" s="86"/>
      <c r="EG4" s="86"/>
      <c r="EH4" s="86"/>
      <c r="EI4" s="86"/>
      <c r="EJ4" s="86"/>
      <c r="EK4" s="86"/>
      <c r="EL4" s="86"/>
      <c r="EM4" s="86"/>
      <c r="EN4" s="86"/>
      <c r="EO4" s="86"/>
      <c r="EP4" s="86"/>
      <c r="EQ4" s="86"/>
      <c r="ER4" s="86"/>
      <c r="ES4" s="86"/>
      <c r="ET4" s="86"/>
      <c r="EU4" s="86"/>
      <c r="EV4" s="86"/>
      <c r="EW4" s="86"/>
      <c r="EX4" s="86"/>
      <c r="EY4" s="86"/>
      <c r="EZ4" s="86"/>
      <c r="FA4" s="86"/>
      <c r="FB4" s="86"/>
      <c r="FC4" s="86"/>
      <c r="FD4" s="86"/>
    </row>
    <row r="5" s="87" customFormat="true" ht="15" hidden="false" customHeight="true" outlineLevel="0" collapsed="false">
      <c r="A5" s="92" t="s">
        <v>210</v>
      </c>
      <c r="B5" s="86"/>
      <c r="C5" s="86"/>
      <c r="D5" s="86"/>
      <c r="E5" s="86" t="s">
        <v>211</v>
      </c>
      <c r="F5" s="86"/>
      <c r="G5" s="86"/>
      <c r="H5" s="92"/>
      <c r="I5" s="92"/>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86"/>
      <c r="DB5" s="86"/>
      <c r="DC5" s="86"/>
      <c r="DD5" s="86"/>
      <c r="DE5" s="86"/>
      <c r="DF5" s="86"/>
      <c r="DG5" s="86"/>
      <c r="DH5" s="86"/>
      <c r="DI5" s="86"/>
      <c r="DJ5" s="86"/>
      <c r="DK5" s="86"/>
      <c r="DL5" s="86"/>
      <c r="DM5" s="86"/>
      <c r="DN5" s="86"/>
      <c r="DO5" s="86"/>
      <c r="DP5" s="86"/>
      <c r="DQ5" s="86"/>
      <c r="DR5" s="86"/>
      <c r="DS5" s="86"/>
      <c r="DT5" s="86"/>
      <c r="DU5" s="86"/>
      <c r="DV5" s="86"/>
      <c r="DW5" s="86"/>
      <c r="DX5" s="86"/>
      <c r="DY5" s="86"/>
      <c r="DZ5" s="86"/>
      <c r="EA5" s="86"/>
      <c r="EB5" s="86"/>
      <c r="EC5" s="86"/>
      <c r="ED5" s="86"/>
      <c r="EE5" s="86"/>
      <c r="EF5" s="86"/>
      <c r="EG5" s="86"/>
      <c r="EH5" s="86"/>
      <c r="EI5" s="86"/>
      <c r="EJ5" s="86"/>
      <c r="EK5" s="86"/>
      <c r="EL5" s="86"/>
      <c r="EM5" s="86"/>
      <c r="EN5" s="86"/>
      <c r="EO5" s="86"/>
      <c r="EP5" s="86"/>
      <c r="EQ5" s="86"/>
      <c r="ER5" s="86"/>
      <c r="ES5" s="86"/>
      <c r="ET5" s="86"/>
      <c r="EU5" s="86"/>
      <c r="EV5" s="86"/>
      <c r="EW5" s="86"/>
      <c r="EX5" s="86"/>
      <c r="EY5" s="86"/>
      <c r="EZ5" s="86"/>
      <c r="FA5" s="86"/>
      <c r="FB5" s="86"/>
      <c r="FC5" s="86"/>
      <c r="FD5" s="86"/>
    </row>
    <row r="6" s="87" customFormat="true" ht="4.5" hidden="false" customHeight="true" outlineLevel="0" collapsed="false">
      <c r="A6" s="86"/>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6"/>
      <c r="BK6" s="86"/>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c r="CY6" s="86"/>
      <c r="CZ6" s="86"/>
      <c r="DA6" s="86"/>
      <c r="DB6" s="86"/>
      <c r="DC6" s="86"/>
      <c r="DD6" s="86"/>
      <c r="DE6" s="86"/>
      <c r="DF6" s="86"/>
      <c r="DG6" s="86"/>
      <c r="DH6" s="86"/>
      <c r="DI6" s="86"/>
      <c r="DJ6" s="86"/>
      <c r="DK6" s="86"/>
      <c r="DL6" s="86"/>
      <c r="DM6" s="86"/>
      <c r="DN6" s="86"/>
      <c r="DO6" s="86"/>
      <c r="DP6" s="86"/>
      <c r="DQ6" s="86"/>
      <c r="DR6" s="86"/>
      <c r="DS6" s="86"/>
      <c r="DT6" s="86"/>
      <c r="DU6" s="86"/>
      <c r="DV6" s="86"/>
      <c r="DW6" s="86"/>
      <c r="DX6" s="86"/>
      <c r="DY6" s="86"/>
      <c r="DZ6" s="86"/>
      <c r="EA6" s="86"/>
      <c r="EB6" s="86"/>
      <c r="EC6" s="86"/>
      <c r="ED6" s="86"/>
      <c r="EE6" s="86"/>
      <c r="EF6" s="86"/>
      <c r="EG6" s="86"/>
      <c r="EH6" s="86"/>
      <c r="EI6" s="86"/>
      <c r="EJ6" s="86"/>
      <c r="EK6" s="86"/>
      <c r="EL6" s="86"/>
      <c r="EM6" s="86"/>
      <c r="EN6" s="86"/>
      <c r="EO6" s="86"/>
      <c r="EP6" s="86"/>
      <c r="EQ6" s="86"/>
      <c r="ER6" s="86"/>
      <c r="ES6" s="86"/>
      <c r="ET6" s="86"/>
      <c r="EU6" s="86"/>
      <c r="EV6" s="86"/>
      <c r="EW6" s="86"/>
      <c r="EX6" s="86"/>
      <c r="EY6" s="86"/>
      <c r="EZ6" s="86"/>
      <c r="FA6" s="86"/>
      <c r="FB6" s="86"/>
      <c r="FC6" s="86"/>
      <c r="FD6" s="86"/>
    </row>
    <row r="7" s="87" customFormat="true" ht="19.5" hidden="false" customHeight="true" outlineLevel="0" collapsed="false">
      <c r="A7" s="93" t="s">
        <v>212</v>
      </c>
      <c r="B7" s="93"/>
      <c r="C7" s="93"/>
      <c r="D7" s="93"/>
      <c r="E7" s="94" t="s">
        <v>213</v>
      </c>
      <c r="F7" s="94"/>
      <c r="G7" s="94"/>
      <c r="H7" s="94"/>
      <c r="I7" s="94"/>
      <c r="J7" s="94"/>
      <c r="K7" s="94"/>
      <c r="L7" s="94"/>
      <c r="M7" s="94"/>
      <c r="N7" s="94"/>
      <c r="O7" s="94"/>
      <c r="P7" s="95" t="s">
        <v>205</v>
      </c>
      <c r="Q7" s="95"/>
      <c r="R7" s="95"/>
      <c r="S7" s="95"/>
      <c r="T7" s="95"/>
      <c r="U7" s="95"/>
      <c r="V7" s="93" t="s">
        <v>214</v>
      </c>
      <c r="W7" s="93"/>
      <c r="X7" s="93"/>
      <c r="Y7" s="93"/>
      <c r="Z7" s="93"/>
      <c r="AA7" s="93"/>
      <c r="AB7" s="93"/>
      <c r="AC7" s="93"/>
      <c r="AD7" s="93"/>
      <c r="AE7" s="93"/>
      <c r="AF7" s="93"/>
      <c r="AG7" s="93"/>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c r="CS7" s="86"/>
      <c r="CT7" s="86"/>
      <c r="CU7" s="86"/>
      <c r="CV7" s="86"/>
      <c r="CW7" s="86"/>
      <c r="CX7" s="86"/>
      <c r="CY7" s="86"/>
      <c r="CZ7" s="86"/>
      <c r="DA7" s="86"/>
      <c r="DB7" s="86"/>
      <c r="DC7" s="86"/>
      <c r="DD7" s="86"/>
      <c r="DE7" s="86"/>
      <c r="DF7" s="86"/>
      <c r="DG7" s="86"/>
      <c r="DH7" s="86"/>
      <c r="DI7" s="86"/>
      <c r="DJ7" s="86"/>
      <c r="DK7" s="86"/>
      <c r="DL7" s="86"/>
      <c r="DM7" s="86"/>
      <c r="DN7" s="86"/>
      <c r="DO7" s="86"/>
      <c r="DP7" s="86"/>
      <c r="DQ7" s="86"/>
      <c r="DR7" s="86"/>
      <c r="DS7" s="86"/>
      <c r="DT7" s="86"/>
      <c r="DU7" s="86"/>
      <c r="DV7" s="86"/>
      <c r="DW7" s="86"/>
      <c r="DX7" s="86"/>
      <c r="DY7" s="86"/>
      <c r="DZ7" s="86"/>
      <c r="EA7" s="86"/>
      <c r="EB7" s="86"/>
      <c r="EC7" s="86"/>
      <c r="ED7" s="86"/>
      <c r="EE7" s="86"/>
      <c r="EF7" s="86"/>
      <c r="EG7" s="86"/>
      <c r="EH7" s="86"/>
      <c r="EI7" s="86"/>
      <c r="EJ7" s="86"/>
      <c r="EK7" s="86"/>
      <c r="EL7" s="86"/>
      <c r="EM7" s="86"/>
      <c r="EN7" s="86"/>
      <c r="EO7" s="86"/>
      <c r="EP7" s="86"/>
      <c r="EQ7" s="86"/>
      <c r="ER7" s="86"/>
      <c r="ES7" s="86"/>
      <c r="ET7" s="86"/>
      <c r="EU7" s="86"/>
      <c r="EV7" s="86"/>
      <c r="EW7" s="86"/>
      <c r="EX7" s="86"/>
      <c r="EY7" s="86"/>
      <c r="EZ7" s="86"/>
      <c r="FA7" s="86"/>
      <c r="FB7" s="86"/>
      <c r="FC7" s="86"/>
      <c r="FD7" s="86"/>
    </row>
    <row r="8" s="87" customFormat="true" ht="28.5" hidden="false" customHeight="true" outlineLevel="0" collapsed="false">
      <c r="A8" s="96" t="n">
        <f aca="false">'New Booking Sheet'!D8</f>
        <v>46217</v>
      </c>
      <c r="B8" s="96"/>
      <c r="C8" s="96"/>
      <c r="D8" s="96"/>
      <c r="E8" s="97" t="s">
        <v>215</v>
      </c>
      <c r="F8" s="97"/>
      <c r="G8" s="97"/>
      <c r="H8" s="97"/>
      <c r="I8" s="97"/>
      <c r="J8" s="97"/>
      <c r="K8" s="97"/>
      <c r="L8" s="97"/>
      <c r="M8" s="97"/>
      <c r="N8" s="97"/>
      <c r="O8" s="97"/>
      <c r="P8" s="98" t="s">
        <v>216</v>
      </c>
      <c r="Q8" s="98"/>
      <c r="R8" s="98"/>
      <c r="S8" s="98"/>
      <c r="T8" s="98"/>
      <c r="U8" s="98"/>
      <c r="V8" s="99" t="n">
        <f aca="false">'New Booking Sheet'!D8</f>
        <v>46217</v>
      </c>
      <c r="W8" s="99"/>
      <c r="X8" s="99"/>
      <c r="Y8" s="99"/>
      <c r="Z8" s="99"/>
      <c r="AA8" s="99"/>
      <c r="AB8" s="99"/>
      <c r="AC8" s="99"/>
      <c r="AD8" s="100" t="s">
        <v>217</v>
      </c>
      <c r="AE8" s="100"/>
      <c r="AF8" s="100"/>
      <c r="AG8" s="100"/>
      <c r="AH8" s="101"/>
      <c r="AI8" s="101"/>
      <c r="AJ8" s="101"/>
      <c r="AK8" s="101"/>
      <c r="AL8" s="101"/>
      <c r="AM8" s="101"/>
      <c r="AN8" s="101"/>
      <c r="AO8" s="101"/>
      <c r="AP8" s="102"/>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c r="CY8" s="86"/>
      <c r="CZ8" s="86"/>
      <c r="DA8" s="86"/>
      <c r="DB8" s="86"/>
      <c r="DC8" s="86"/>
      <c r="DD8" s="86"/>
      <c r="DE8" s="86"/>
      <c r="DF8" s="86"/>
      <c r="DG8" s="86"/>
      <c r="DH8" s="86"/>
      <c r="DI8" s="86"/>
      <c r="DJ8" s="86"/>
      <c r="DK8" s="86"/>
      <c r="DL8" s="86"/>
      <c r="DM8" s="86"/>
      <c r="DN8" s="86"/>
      <c r="DO8" s="86"/>
      <c r="DP8" s="86"/>
      <c r="DQ8" s="86"/>
      <c r="DR8" s="86"/>
      <c r="DS8" s="86"/>
      <c r="DT8" s="86"/>
      <c r="DU8" s="86"/>
      <c r="DV8" s="86"/>
      <c r="DW8" s="86"/>
      <c r="DX8" s="86"/>
      <c r="DY8" s="86"/>
      <c r="DZ8" s="86"/>
      <c r="EA8" s="86"/>
      <c r="EB8" s="86"/>
      <c r="EC8" s="86"/>
      <c r="ED8" s="86"/>
      <c r="EE8" s="86"/>
      <c r="EF8" s="86"/>
      <c r="EG8" s="86"/>
      <c r="EH8" s="86"/>
      <c r="EI8" s="86"/>
      <c r="EJ8" s="86"/>
      <c r="EK8" s="86"/>
      <c r="EL8" s="86"/>
      <c r="EM8" s="86"/>
      <c r="EN8" s="86"/>
      <c r="EO8" s="86"/>
      <c r="EP8" s="86"/>
      <c r="EQ8" s="86"/>
      <c r="ER8" s="86"/>
      <c r="ES8" s="86"/>
      <c r="ET8" s="86"/>
      <c r="EU8" s="86"/>
      <c r="EV8" s="86"/>
      <c r="EW8" s="86"/>
      <c r="EX8" s="86"/>
      <c r="EY8" s="86"/>
      <c r="EZ8" s="86"/>
      <c r="FA8" s="86"/>
      <c r="FB8" s="86"/>
      <c r="FC8" s="86"/>
      <c r="FD8" s="86"/>
    </row>
    <row r="9" s="87" customFormat="true" ht="24" hidden="tru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4"/>
      <c r="W9" s="104"/>
      <c r="X9" s="104"/>
      <c r="Y9" s="104"/>
      <c r="Z9" s="104"/>
      <c r="AA9" s="104"/>
      <c r="AB9" s="104"/>
      <c r="AC9" s="104"/>
      <c r="AD9" s="104"/>
      <c r="AE9" s="104"/>
      <c r="AF9" s="104"/>
      <c r="AG9" s="104"/>
      <c r="AH9" s="105" t="s">
        <v>218</v>
      </c>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1"/>
      <c r="BK9" s="101"/>
      <c r="BL9" s="101"/>
      <c r="BM9" s="101"/>
      <c r="BN9" s="101"/>
      <c r="BO9" s="101"/>
      <c r="BP9" s="101"/>
      <c r="BQ9" s="101"/>
      <c r="BR9" s="101"/>
      <c r="BS9" s="101"/>
      <c r="BT9" s="101"/>
      <c r="BU9" s="101"/>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c r="CY9" s="86"/>
      <c r="CZ9" s="86"/>
      <c r="DA9" s="86"/>
      <c r="DB9" s="86"/>
      <c r="DC9" s="86"/>
      <c r="DD9" s="86"/>
      <c r="DE9" s="86"/>
      <c r="DF9" s="86"/>
      <c r="DG9" s="86"/>
      <c r="DH9" s="86"/>
      <c r="DI9" s="86"/>
      <c r="DJ9" s="86"/>
      <c r="DK9" s="86"/>
      <c r="DL9" s="86"/>
      <c r="DM9" s="86"/>
      <c r="DN9" s="86"/>
      <c r="DO9" s="86"/>
      <c r="DP9" s="86"/>
      <c r="DQ9" s="86"/>
      <c r="DR9" s="86"/>
      <c r="DS9" s="86"/>
      <c r="DT9" s="86"/>
      <c r="DU9" s="86"/>
      <c r="DV9" s="86"/>
      <c r="DW9" s="86"/>
      <c r="DX9" s="86"/>
      <c r="DY9" s="86"/>
      <c r="DZ9" s="86"/>
      <c r="EA9" s="86"/>
      <c r="EB9" s="86"/>
      <c r="EC9" s="86"/>
      <c r="ED9" s="86"/>
      <c r="EE9" s="86"/>
      <c r="EF9" s="86"/>
      <c r="EG9" s="86"/>
      <c r="EH9" s="86"/>
      <c r="EI9" s="86"/>
      <c r="EJ9" s="86"/>
      <c r="EK9" s="86"/>
      <c r="EL9" s="86"/>
      <c r="EM9" s="86"/>
      <c r="EN9" s="86"/>
      <c r="EO9" s="86"/>
      <c r="EP9" s="86"/>
      <c r="EQ9" s="86"/>
      <c r="ER9" s="86"/>
      <c r="ES9" s="86"/>
      <c r="ET9" s="86"/>
      <c r="EU9" s="86"/>
      <c r="EV9" s="86"/>
      <c r="EW9" s="86"/>
      <c r="EX9" s="86"/>
      <c r="EY9" s="86"/>
      <c r="EZ9" s="86"/>
      <c r="FA9" s="86"/>
      <c r="FB9" s="86"/>
      <c r="FC9" s="86"/>
      <c r="FD9" s="86"/>
    </row>
    <row r="10" s="87" customFormat="true" ht="21" hidden="false" customHeight="true" outlineLevel="0" collapsed="false">
      <c r="A10" s="92" t="s">
        <v>219</v>
      </c>
      <c r="B10" s="86"/>
      <c r="C10" s="86"/>
      <c r="D10" s="86"/>
      <c r="E10" s="86" t="s">
        <v>220</v>
      </c>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c r="CY10" s="86"/>
      <c r="CZ10" s="86"/>
      <c r="DA10" s="86"/>
      <c r="DB10" s="86"/>
      <c r="DC10" s="86"/>
      <c r="DD10" s="86"/>
      <c r="DE10" s="86"/>
      <c r="DF10" s="86"/>
      <c r="DG10" s="86"/>
      <c r="DH10" s="86"/>
      <c r="DI10" s="86"/>
      <c r="DJ10" s="86"/>
      <c r="DK10" s="86"/>
      <c r="DL10" s="86"/>
      <c r="DM10" s="86"/>
      <c r="DN10" s="86"/>
      <c r="DO10" s="86"/>
      <c r="DP10" s="86"/>
      <c r="DQ10" s="86"/>
      <c r="DR10" s="86"/>
      <c r="DS10" s="86"/>
      <c r="DT10" s="86"/>
      <c r="DU10" s="86"/>
      <c r="DV10" s="86"/>
      <c r="DW10" s="86"/>
      <c r="DX10" s="86"/>
      <c r="DY10" s="86"/>
      <c r="DZ10" s="86"/>
      <c r="EA10" s="86"/>
      <c r="EB10" s="86"/>
      <c r="EC10" s="86"/>
      <c r="ED10" s="86"/>
      <c r="EE10" s="86"/>
      <c r="EF10" s="86"/>
      <c r="EG10" s="86"/>
      <c r="EH10" s="86"/>
      <c r="EI10" s="86"/>
      <c r="EJ10" s="86"/>
      <c r="EK10" s="86"/>
      <c r="EL10" s="86"/>
      <c r="EM10" s="86"/>
      <c r="EN10" s="86"/>
      <c r="EO10" s="86"/>
      <c r="EP10" s="86"/>
      <c r="EQ10" s="86"/>
      <c r="ER10" s="86"/>
      <c r="ES10" s="86"/>
      <c r="ET10" s="86"/>
      <c r="EU10" s="86"/>
      <c r="EV10" s="86"/>
      <c r="EW10" s="86"/>
      <c r="EX10" s="86"/>
      <c r="EY10" s="86"/>
      <c r="EZ10" s="86"/>
      <c r="FA10" s="86"/>
      <c r="FB10" s="86"/>
      <c r="FC10" s="86"/>
      <c r="FD10" s="86"/>
    </row>
    <row r="11" s="87" customFormat="true" ht="19.5" hidden="false" customHeight="true" outlineLevel="0" collapsed="false">
      <c r="A11" s="93" t="s">
        <v>212</v>
      </c>
      <c r="B11" s="93"/>
      <c r="C11" s="93"/>
      <c r="D11" s="93"/>
      <c r="E11" s="94" t="s">
        <v>213</v>
      </c>
      <c r="F11" s="94"/>
      <c r="G11" s="94"/>
      <c r="H11" s="94"/>
      <c r="I11" s="94"/>
      <c r="J11" s="94"/>
      <c r="K11" s="94"/>
      <c r="L11" s="94"/>
      <c r="M11" s="94"/>
      <c r="N11" s="94"/>
      <c r="O11" s="94"/>
      <c r="P11" s="95" t="s">
        <v>205</v>
      </c>
      <c r="Q11" s="95"/>
      <c r="R11" s="95"/>
      <c r="S11" s="95"/>
      <c r="T11" s="95"/>
      <c r="U11" s="95"/>
      <c r="V11" s="93" t="s">
        <v>214</v>
      </c>
      <c r="W11" s="93"/>
      <c r="X11" s="93"/>
      <c r="Y11" s="93"/>
      <c r="Z11" s="93"/>
      <c r="AA11" s="93"/>
      <c r="AB11" s="93"/>
      <c r="AC11" s="93"/>
      <c r="AD11" s="93"/>
      <c r="AE11" s="93"/>
      <c r="AF11" s="93"/>
      <c r="AG11" s="93"/>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c r="CY11" s="86"/>
      <c r="CZ11" s="86"/>
      <c r="DA11" s="86"/>
      <c r="DB11" s="86"/>
      <c r="DC11" s="86"/>
      <c r="DD11" s="86"/>
      <c r="DE11" s="86"/>
      <c r="DF11" s="86"/>
      <c r="DG11" s="86"/>
      <c r="DH11" s="86"/>
      <c r="DI11" s="86"/>
      <c r="DJ11" s="86"/>
      <c r="DK11" s="86"/>
      <c r="DL11" s="86"/>
      <c r="DM11" s="86"/>
      <c r="DN11" s="86"/>
      <c r="DO11" s="86"/>
      <c r="DP11" s="86"/>
      <c r="DQ11" s="86"/>
      <c r="DR11" s="86"/>
      <c r="DS11" s="86"/>
      <c r="DT11" s="86"/>
      <c r="DU11" s="86"/>
      <c r="DV11" s="86"/>
      <c r="DW11" s="86"/>
      <c r="DX11" s="86"/>
      <c r="DY11" s="86"/>
      <c r="DZ11" s="86"/>
      <c r="EA11" s="86"/>
      <c r="EB11" s="86"/>
      <c r="EC11" s="86"/>
      <c r="ED11" s="86"/>
      <c r="EE11" s="86"/>
      <c r="EF11" s="86"/>
      <c r="EG11" s="86"/>
      <c r="EH11" s="86"/>
      <c r="EI11" s="86"/>
      <c r="EJ11" s="86"/>
      <c r="EK11" s="86"/>
      <c r="EL11" s="86"/>
      <c r="EM11" s="86"/>
      <c r="EN11" s="86"/>
      <c r="EO11" s="86"/>
      <c r="EP11" s="86"/>
      <c r="EQ11" s="86"/>
      <c r="ER11" s="86"/>
      <c r="ES11" s="86"/>
      <c r="ET11" s="86"/>
      <c r="EU11" s="86"/>
      <c r="EV11" s="86"/>
      <c r="EW11" s="86"/>
      <c r="EX11" s="86"/>
      <c r="EY11" s="86"/>
      <c r="EZ11" s="86"/>
      <c r="FA11" s="86"/>
      <c r="FB11" s="86"/>
      <c r="FC11" s="86"/>
      <c r="FD11" s="86"/>
    </row>
    <row r="12" s="87" customFormat="true" ht="27.75" hidden="false" customHeight="true" outlineLevel="0" collapsed="false">
      <c r="A12" s="96" t="n">
        <f aca="false">A8+1</f>
        <v>46218</v>
      </c>
      <c r="B12" s="96"/>
      <c r="C12" s="96"/>
      <c r="D12" s="96"/>
      <c r="E12" s="97" t="s">
        <v>215</v>
      </c>
      <c r="F12" s="97"/>
      <c r="G12" s="97"/>
      <c r="H12" s="97"/>
      <c r="I12" s="97"/>
      <c r="J12" s="97"/>
      <c r="K12" s="97"/>
      <c r="L12" s="97"/>
      <c r="M12" s="97"/>
      <c r="N12" s="97"/>
      <c r="O12" s="97"/>
      <c r="P12" s="98" t="s">
        <v>216</v>
      </c>
      <c r="Q12" s="98"/>
      <c r="R12" s="98"/>
      <c r="S12" s="98"/>
      <c r="T12" s="98"/>
      <c r="U12" s="98"/>
      <c r="V12" s="106" t="s">
        <v>221</v>
      </c>
      <c r="W12" s="106"/>
      <c r="X12" s="106"/>
      <c r="Y12" s="106"/>
      <c r="Z12" s="106"/>
      <c r="AA12" s="106"/>
      <c r="AB12" s="106"/>
      <c r="AC12" s="106"/>
      <c r="AD12" s="106"/>
      <c r="AE12" s="106"/>
      <c r="AF12" s="106"/>
      <c r="AG12" s="106"/>
      <c r="AH12" s="107" t="s">
        <v>222</v>
      </c>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c r="CY12" s="86"/>
      <c r="CZ12" s="86"/>
      <c r="DA12" s="86"/>
      <c r="DB12" s="86"/>
      <c r="DC12" s="86"/>
      <c r="DD12" s="86"/>
      <c r="DE12" s="86"/>
      <c r="DF12" s="86"/>
      <c r="DG12" s="86"/>
      <c r="DH12" s="86"/>
      <c r="DI12" s="86"/>
      <c r="DJ12" s="86"/>
      <c r="DK12" s="86"/>
      <c r="DL12" s="86"/>
      <c r="DM12" s="86"/>
      <c r="DN12" s="86"/>
      <c r="DO12" s="86"/>
      <c r="DP12" s="86"/>
      <c r="DQ12" s="86"/>
      <c r="DR12" s="86"/>
      <c r="DS12" s="86"/>
      <c r="DT12" s="86"/>
      <c r="DU12" s="86"/>
      <c r="DV12" s="86"/>
      <c r="DW12" s="86"/>
      <c r="DX12" s="86"/>
      <c r="DY12" s="86"/>
      <c r="DZ12" s="86"/>
      <c r="EA12" s="86"/>
      <c r="EB12" s="86"/>
      <c r="EC12" s="86"/>
      <c r="ED12" s="86"/>
      <c r="EE12" s="86"/>
      <c r="EF12" s="86"/>
      <c r="EG12" s="86"/>
      <c r="EH12" s="86"/>
      <c r="EI12" s="86"/>
      <c r="EJ12" s="86"/>
      <c r="EK12" s="86"/>
      <c r="EL12" s="86"/>
      <c r="EM12" s="86"/>
      <c r="EN12" s="86"/>
      <c r="EO12" s="86"/>
      <c r="EP12" s="86"/>
      <c r="EQ12" s="86"/>
      <c r="ER12" s="86"/>
      <c r="ES12" s="86"/>
      <c r="ET12" s="86"/>
      <c r="EU12" s="86"/>
      <c r="EV12" s="86"/>
      <c r="EW12" s="86"/>
      <c r="EX12" s="86"/>
      <c r="EY12" s="86"/>
      <c r="EZ12" s="86"/>
      <c r="FA12" s="86"/>
      <c r="FB12" s="86"/>
      <c r="FC12" s="86"/>
      <c r="FD12" s="86"/>
    </row>
    <row r="13" s="87" customFormat="true" ht="28.5" hidden="true" customHeight="true" outlineLevel="0" collapsed="false">
      <c r="A13" s="96"/>
      <c r="B13" s="96"/>
      <c r="C13" s="96"/>
      <c r="D13" s="96"/>
      <c r="E13" s="108" t="s">
        <v>223</v>
      </c>
      <c r="F13" s="108"/>
      <c r="G13" s="108"/>
      <c r="H13" s="108"/>
      <c r="I13" s="108"/>
      <c r="J13" s="108"/>
      <c r="K13" s="108"/>
      <c r="L13" s="108"/>
      <c r="M13" s="108"/>
      <c r="N13" s="108"/>
      <c r="O13" s="108"/>
      <c r="P13" s="109" t="s">
        <v>224</v>
      </c>
      <c r="Q13" s="109"/>
      <c r="R13" s="109"/>
      <c r="S13" s="109"/>
      <c r="T13" s="109"/>
      <c r="U13" s="109"/>
      <c r="V13" s="106"/>
      <c r="W13" s="106"/>
      <c r="X13" s="106"/>
      <c r="Y13" s="106"/>
      <c r="Z13" s="106"/>
      <c r="AA13" s="106"/>
      <c r="AB13" s="106"/>
      <c r="AC13" s="106"/>
      <c r="AD13" s="106"/>
      <c r="AE13" s="106"/>
      <c r="AF13" s="106"/>
      <c r="AG13" s="106"/>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c r="CY13" s="86"/>
      <c r="CZ13" s="86"/>
      <c r="DA13" s="86"/>
      <c r="DB13" s="86"/>
      <c r="DC13" s="86"/>
      <c r="DD13" s="86"/>
      <c r="DE13" s="86"/>
      <c r="DF13" s="86"/>
      <c r="DG13" s="86"/>
      <c r="DH13" s="86"/>
      <c r="DI13" s="86"/>
      <c r="DJ13" s="86"/>
      <c r="DK13" s="86"/>
      <c r="DL13" s="86"/>
      <c r="DM13" s="86"/>
      <c r="DN13" s="86"/>
      <c r="DO13" s="86"/>
      <c r="DP13" s="86"/>
      <c r="DQ13" s="86"/>
      <c r="DR13" s="86"/>
      <c r="DS13" s="86"/>
      <c r="DT13" s="86"/>
      <c r="DU13" s="86"/>
      <c r="DV13" s="86"/>
      <c r="DW13" s="86"/>
      <c r="DX13" s="86"/>
      <c r="DY13" s="86"/>
      <c r="DZ13" s="86"/>
      <c r="EA13" s="86"/>
      <c r="EB13" s="86"/>
      <c r="EC13" s="86"/>
      <c r="ED13" s="86"/>
      <c r="EE13" s="86"/>
      <c r="EF13" s="86"/>
      <c r="EG13" s="86"/>
      <c r="EH13" s="86"/>
      <c r="EI13" s="86"/>
      <c r="EJ13" s="86"/>
      <c r="EK13" s="86"/>
      <c r="EL13" s="86"/>
      <c r="EM13" s="86"/>
      <c r="EN13" s="86"/>
      <c r="EO13" s="86"/>
      <c r="EP13" s="86"/>
      <c r="EQ13" s="86"/>
      <c r="ER13" s="86"/>
      <c r="ES13" s="86"/>
      <c r="ET13" s="86"/>
      <c r="EU13" s="86"/>
      <c r="EV13" s="86"/>
      <c r="EW13" s="86"/>
      <c r="EX13" s="86"/>
      <c r="EY13" s="86"/>
      <c r="EZ13" s="86"/>
      <c r="FA13" s="86"/>
      <c r="FB13" s="86"/>
      <c r="FC13" s="86"/>
      <c r="FD13" s="86"/>
    </row>
    <row r="14" s="87" customFormat="true" ht="9.75" hidden="false" customHeight="true" outlineLevel="0" collapsed="false">
      <c r="A14" s="110"/>
      <c r="B14" s="110"/>
      <c r="C14" s="110"/>
      <c r="D14" s="110"/>
      <c r="E14" s="110"/>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c r="CY14" s="86"/>
      <c r="CZ14" s="86"/>
      <c r="DA14" s="86"/>
      <c r="DB14" s="86"/>
      <c r="DC14" s="86"/>
      <c r="DD14" s="86"/>
      <c r="DE14" s="86"/>
      <c r="DF14" s="86"/>
      <c r="DG14" s="86"/>
      <c r="DH14" s="86"/>
      <c r="DI14" s="86"/>
      <c r="DJ14" s="86"/>
      <c r="DK14" s="86"/>
      <c r="DL14" s="86"/>
      <c r="DM14" s="86"/>
      <c r="DN14" s="86"/>
      <c r="DO14" s="86"/>
      <c r="DP14" s="86"/>
      <c r="DQ14" s="86"/>
      <c r="DR14" s="86"/>
      <c r="DS14" s="86"/>
      <c r="DT14" s="86"/>
      <c r="DU14" s="86"/>
      <c r="DV14" s="86"/>
      <c r="DW14" s="86"/>
      <c r="DX14" s="86"/>
      <c r="DY14" s="86"/>
      <c r="DZ14" s="86"/>
      <c r="EA14" s="86"/>
      <c r="EB14" s="86"/>
      <c r="EC14" s="86"/>
      <c r="ED14" s="86"/>
      <c r="EE14" s="86"/>
      <c r="EF14" s="86"/>
      <c r="EG14" s="86"/>
      <c r="EH14" s="86"/>
      <c r="EI14" s="86"/>
      <c r="EJ14" s="86"/>
      <c r="EK14" s="86"/>
      <c r="EL14" s="86"/>
      <c r="EM14" s="86"/>
      <c r="EN14" s="86"/>
      <c r="EO14" s="86"/>
      <c r="EP14" s="86"/>
      <c r="EQ14" s="86"/>
      <c r="ER14" s="86"/>
      <c r="ES14" s="86"/>
      <c r="ET14" s="86"/>
      <c r="EU14" s="86"/>
      <c r="EV14" s="86"/>
      <c r="EW14" s="86"/>
      <c r="EX14" s="86"/>
      <c r="EY14" s="86"/>
      <c r="EZ14" s="86"/>
      <c r="FA14" s="86"/>
      <c r="FB14" s="86"/>
      <c r="FC14" s="86"/>
      <c r="FD14" s="86"/>
    </row>
    <row r="15" s="87" customFormat="true" ht="4.5" hidden="false" customHeight="true" outlineLevel="0" collapsed="false">
      <c r="A15" s="86"/>
      <c r="B15" s="86"/>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c r="CY15" s="86"/>
      <c r="CZ15" s="86"/>
      <c r="DA15" s="86"/>
      <c r="DB15" s="86"/>
      <c r="DC15" s="86"/>
      <c r="DD15" s="86"/>
      <c r="DE15" s="86"/>
      <c r="DF15" s="86"/>
      <c r="DG15" s="86"/>
      <c r="DH15" s="86"/>
      <c r="DI15" s="86"/>
      <c r="DJ15" s="86"/>
      <c r="DK15" s="86"/>
      <c r="DL15" s="86"/>
      <c r="DM15" s="86"/>
      <c r="DN15" s="86"/>
      <c r="DO15" s="86"/>
      <c r="DP15" s="86"/>
      <c r="DQ15" s="86"/>
      <c r="DR15" s="86"/>
      <c r="DS15" s="86"/>
      <c r="DT15" s="86"/>
      <c r="DU15" s="86"/>
      <c r="DV15" s="86"/>
      <c r="DW15" s="86"/>
      <c r="DX15" s="86"/>
      <c r="DY15" s="86"/>
      <c r="DZ15" s="86"/>
      <c r="EA15" s="86"/>
      <c r="EB15" s="86"/>
      <c r="EC15" s="86"/>
      <c r="ED15" s="86"/>
      <c r="EE15" s="86"/>
      <c r="EF15" s="86"/>
      <c r="EG15" s="86"/>
      <c r="EH15" s="86"/>
      <c r="EI15" s="86"/>
      <c r="EJ15" s="86"/>
      <c r="EK15" s="86"/>
      <c r="EL15" s="86"/>
      <c r="EM15" s="86"/>
      <c r="EN15" s="86"/>
      <c r="EO15" s="86"/>
      <c r="EP15" s="86"/>
      <c r="EQ15" s="86"/>
      <c r="ER15" s="86"/>
      <c r="ES15" s="86"/>
      <c r="ET15" s="86"/>
      <c r="EU15" s="86"/>
      <c r="EV15" s="86"/>
      <c r="EW15" s="86"/>
      <c r="EX15" s="86"/>
      <c r="EY15" s="86"/>
      <c r="EZ15" s="86"/>
      <c r="FA15" s="86"/>
      <c r="FB15" s="86"/>
      <c r="FC15" s="86"/>
      <c r="FD15" s="86"/>
    </row>
    <row r="16" s="87" customFormat="true" ht="15" hidden="false" customHeight="true" outlineLevel="0" collapsed="false">
      <c r="A16" s="92" t="s">
        <v>225</v>
      </c>
      <c r="B16" s="86"/>
      <c r="C16" s="86"/>
      <c r="D16" s="86"/>
      <c r="E16" s="86"/>
      <c r="F16" s="86"/>
      <c r="G16" s="111" t="s">
        <v>226</v>
      </c>
      <c r="H16" s="86"/>
      <c r="I16" s="92"/>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86"/>
      <c r="DB16" s="86"/>
      <c r="DC16" s="86"/>
      <c r="DD16" s="86"/>
      <c r="DE16" s="86"/>
      <c r="DF16" s="86"/>
      <c r="DG16" s="86"/>
      <c r="DH16" s="86"/>
      <c r="DI16" s="86"/>
      <c r="DJ16" s="86"/>
      <c r="DK16" s="86"/>
      <c r="DL16" s="86"/>
      <c r="DM16" s="86"/>
      <c r="DN16" s="86"/>
      <c r="DO16" s="86"/>
      <c r="DP16" s="86"/>
      <c r="DQ16" s="86"/>
      <c r="DR16" s="86"/>
      <c r="DS16" s="86"/>
      <c r="DT16" s="86"/>
      <c r="DU16" s="86"/>
      <c r="DV16" s="86"/>
      <c r="DW16" s="86"/>
      <c r="DX16" s="86"/>
      <c r="DY16" s="86"/>
      <c r="DZ16" s="86"/>
      <c r="EA16" s="86"/>
      <c r="EB16" s="86"/>
      <c r="EC16" s="86"/>
      <c r="ED16" s="86"/>
      <c r="EE16" s="86"/>
      <c r="EF16" s="86"/>
      <c r="EG16" s="86"/>
      <c r="EH16" s="86"/>
      <c r="EI16" s="86"/>
      <c r="EJ16" s="86"/>
      <c r="EK16" s="86"/>
      <c r="EL16" s="86"/>
      <c r="EM16" s="86"/>
      <c r="EN16" s="86"/>
      <c r="EO16" s="86"/>
      <c r="EP16" s="86"/>
      <c r="EQ16" s="86"/>
      <c r="ER16" s="86"/>
      <c r="ES16" s="86"/>
      <c r="ET16" s="86"/>
      <c r="EU16" s="86"/>
      <c r="EV16" s="86"/>
      <c r="EW16" s="86"/>
      <c r="EX16" s="86"/>
      <c r="EY16" s="86"/>
      <c r="EZ16" s="86"/>
      <c r="FA16" s="86"/>
      <c r="FB16" s="86"/>
      <c r="FC16" s="86"/>
      <c r="FD16" s="86"/>
    </row>
    <row r="17" s="87" customFormat="true" ht="15" hidden="false" customHeight="true" outlineLevel="0" collapsed="false">
      <c r="A17" s="86"/>
      <c r="B17" s="86"/>
      <c r="C17" s="86"/>
      <c r="D17" s="86"/>
      <c r="E17" s="86"/>
      <c r="F17" s="86"/>
      <c r="G17" s="112" t="s">
        <v>227</v>
      </c>
      <c r="H17" s="86"/>
      <c r="I17" s="92"/>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c r="CY17" s="86"/>
      <c r="CZ17" s="86"/>
      <c r="DA17" s="86"/>
      <c r="DB17" s="86"/>
      <c r="DC17" s="86"/>
      <c r="DD17" s="86"/>
      <c r="DE17" s="86"/>
      <c r="DF17" s="86"/>
      <c r="DG17" s="86"/>
      <c r="DH17" s="86"/>
      <c r="DI17" s="86"/>
      <c r="DJ17" s="86"/>
      <c r="DK17" s="86"/>
      <c r="DL17" s="86"/>
      <c r="DM17" s="86"/>
      <c r="DN17" s="86"/>
      <c r="DO17" s="86"/>
      <c r="DP17" s="86"/>
      <c r="DQ17" s="86"/>
      <c r="DR17" s="86"/>
      <c r="DS17" s="86"/>
      <c r="DT17" s="86"/>
      <c r="DU17" s="86"/>
      <c r="DV17" s="86"/>
      <c r="DW17" s="86"/>
      <c r="DX17" s="86"/>
      <c r="DY17" s="86"/>
      <c r="DZ17" s="86"/>
      <c r="EA17" s="86"/>
      <c r="EB17" s="86"/>
      <c r="EC17" s="86"/>
      <c r="ED17" s="86"/>
      <c r="EE17" s="86"/>
      <c r="EF17" s="86"/>
      <c r="EG17" s="86"/>
      <c r="EH17" s="86"/>
      <c r="EI17" s="86"/>
      <c r="EJ17" s="86"/>
      <c r="EK17" s="86"/>
      <c r="EL17" s="86"/>
      <c r="EM17" s="86"/>
      <c r="EN17" s="86"/>
      <c r="EO17" s="86"/>
      <c r="EP17" s="86"/>
      <c r="EQ17" s="86"/>
      <c r="ER17" s="86"/>
      <c r="ES17" s="86"/>
      <c r="ET17" s="86"/>
      <c r="EU17" s="86"/>
      <c r="EV17" s="86"/>
      <c r="EW17" s="86"/>
      <c r="EX17" s="86"/>
      <c r="EY17" s="86"/>
      <c r="EZ17" s="86"/>
      <c r="FA17" s="86"/>
      <c r="FB17" s="86"/>
      <c r="FC17" s="86"/>
      <c r="FD17" s="86"/>
    </row>
    <row r="18" s="87" customFormat="true" ht="15" hidden="false" customHeight="true" outlineLevel="0" collapsed="false">
      <c r="A18" s="86"/>
      <c r="B18" s="86"/>
      <c r="C18" s="86"/>
      <c r="D18" s="86"/>
      <c r="E18" s="86"/>
      <c r="F18" s="86"/>
      <c r="G18" s="113" t="s">
        <v>228</v>
      </c>
      <c r="H18" s="86"/>
      <c r="I18" s="92"/>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c r="CY18" s="86"/>
      <c r="CZ18" s="86"/>
      <c r="DA18" s="86"/>
      <c r="DB18" s="86"/>
      <c r="DC18" s="86"/>
      <c r="DD18" s="86"/>
      <c r="DE18" s="86"/>
      <c r="DF18" s="86"/>
      <c r="DG18" s="86"/>
      <c r="DH18" s="86"/>
      <c r="DI18" s="86"/>
      <c r="DJ18" s="86"/>
      <c r="DK18" s="86"/>
      <c r="DL18" s="86"/>
      <c r="DM18" s="86"/>
      <c r="DN18" s="86"/>
      <c r="DO18" s="86"/>
      <c r="DP18" s="86"/>
      <c r="DQ18" s="86"/>
      <c r="DR18" s="86"/>
      <c r="DS18" s="86"/>
      <c r="DT18" s="86"/>
      <c r="DU18" s="86"/>
      <c r="DV18" s="86"/>
      <c r="DW18" s="86"/>
      <c r="DX18" s="86"/>
      <c r="DY18" s="86"/>
      <c r="DZ18" s="86"/>
      <c r="EA18" s="86"/>
      <c r="EB18" s="86"/>
      <c r="EC18" s="86"/>
      <c r="ED18" s="86"/>
      <c r="EE18" s="86"/>
      <c r="EF18" s="86"/>
      <c r="EG18" s="86"/>
      <c r="EH18" s="86"/>
      <c r="EI18" s="86"/>
      <c r="EJ18" s="86"/>
      <c r="EK18" s="86"/>
      <c r="EL18" s="86"/>
      <c r="EM18" s="86"/>
      <c r="EN18" s="86"/>
      <c r="EO18" s="86"/>
      <c r="EP18" s="86"/>
      <c r="EQ18" s="86"/>
      <c r="ER18" s="86"/>
      <c r="ES18" s="86"/>
      <c r="ET18" s="86"/>
      <c r="EU18" s="86"/>
      <c r="EV18" s="86"/>
      <c r="EW18" s="86"/>
      <c r="EX18" s="86"/>
      <c r="EY18" s="86"/>
      <c r="EZ18" s="86"/>
      <c r="FA18" s="86"/>
      <c r="FB18" s="86"/>
      <c r="FC18" s="86"/>
      <c r="FD18" s="86"/>
    </row>
    <row r="19" s="87" customFormat="true" ht="4.5" hidden="false" customHeight="true" outlineLevel="0" collapsed="false">
      <c r="A19" s="92"/>
      <c r="B19" s="86"/>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c r="CY19" s="86"/>
      <c r="CZ19" s="86"/>
      <c r="DA19" s="86"/>
      <c r="DB19" s="86"/>
      <c r="DC19" s="86"/>
      <c r="DD19" s="86"/>
      <c r="DE19" s="86"/>
      <c r="DF19" s="86"/>
      <c r="DG19" s="86"/>
      <c r="DH19" s="86"/>
      <c r="DI19" s="86"/>
      <c r="DJ19" s="86"/>
      <c r="DK19" s="86"/>
      <c r="DL19" s="86"/>
      <c r="DM19" s="86"/>
      <c r="DN19" s="86"/>
      <c r="DO19" s="86"/>
      <c r="DP19" s="86"/>
      <c r="DQ19" s="86"/>
      <c r="DR19" s="86"/>
      <c r="DS19" s="86"/>
      <c r="DT19" s="86"/>
      <c r="DU19" s="86"/>
      <c r="DV19" s="86"/>
      <c r="DW19" s="86"/>
      <c r="DX19" s="86"/>
      <c r="DY19" s="86"/>
      <c r="DZ19" s="86"/>
      <c r="EA19" s="86"/>
      <c r="EB19" s="86"/>
      <c r="EC19" s="86"/>
      <c r="ED19" s="86"/>
      <c r="EE19" s="86"/>
      <c r="EF19" s="86"/>
      <c r="EG19" s="86"/>
      <c r="EH19" s="86"/>
      <c r="EI19" s="86"/>
      <c r="EJ19" s="86"/>
      <c r="EK19" s="86"/>
      <c r="EL19" s="86"/>
      <c r="EM19" s="86"/>
      <c r="EN19" s="86"/>
      <c r="EO19" s="86"/>
      <c r="EP19" s="86"/>
      <c r="EQ19" s="86"/>
      <c r="ER19" s="86"/>
      <c r="ES19" s="86"/>
      <c r="ET19" s="86"/>
      <c r="EU19" s="86"/>
      <c r="EV19" s="86"/>
      <c r="EW19" s="86"/>
      <c r="EX19" s="86"/>
      <c r="EY19" s="86"/>
      <c r="EZ19" s="86"/>
      <c r="FA19" s="86"/>
      <c r="FB19" s="86"/>
      <c r="FC19" s="86"/>
      <c r="FD19" s="86"/>
    </row>
    <row r="20" s="87" customFormat="true" ht="19.5" hidden="false" customHeight="true" outlineLevel="0" collapsed="false">
      <c r="A20" s="114" t="s">
        <v>213</v>
      </c>
      <c r="B20" s="114"/>
      <c r="C20" s="114"/>
      <c r="D20" s="114"/>
      <c r="E20" s="114"/>
      <c r="F20" s="114" t="s">
        <v>205</v>
      </c>
      <c r="G20" s="114"/>
      <c r="H20" s="114"/>
      <c r="I20" s="114"/>
      <c r="J20" s="114"/>
      <c r="K20" s="114"/>
      <c r="L20" s="114" t="s">
        <v>229</v>
      </c>
      <c r="M20" s="114"/>
      <c r="N20" s="114"/>
      <c r="O20" s="114"/>
      <c r="P20" s="114"/>
      <c r="Q20" s="114"/>
      <c r="R20" s="114"/>
      <c r="S20" s="114"/>
      <c r="T20" s="115" t="s">
        <v>214</v>
      </c>
      <c r="U20" s="115"/>
      <c r="V20" s="115"/>
      <c r="W20" s="115"/>
      <c r="X20" s="115"/>
      <c r="Y20" s="115"/>
      <c r="Z20" s="115"/>
      <c r="AA20" s="115"/>
      <c r="AB20" s="115"/>
      <c r="AC20" s="115"/>
      <c r="AD20" s="115"/>
      <c r="AE20" s="115"/>
      <c r="AF20" s="115"/>
      <c r="AG20" s="115"/>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c r="CY20" s="86"/>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86"/>
      <c r="EO20" s="86"/>
      <c r="EP20" s="86"/>
      <c r="EQ20" s="86"/>
      <c r="ER20" s="86"/>
      <c r="ES20" s="86"/>
      <c r="ET20" s="86"/>
      <c r="EU20" s="86"/>
      <c r="EV20" s="86"/>
      <c r="EW20" s="86"/>
      <c r="EX20" s="86"/>
      <c r="EY20" s="86"/>
      <c r="EZ20" s="86"/>
      <c r="FA20" s="86"/>
      <c r="FB20" s="86"/>
      <c r="FC20" s="86"/>
      <c r="FD20" s="86"/>
    </row>
    <row r="21" s="87" customFormat="true" ht="34.5" hidden="false" customHeight="true" outlineLevel="0" collapsed="false">
      <c r="A21" s="116" t="s">
        <v>230</v>
      </c>
      <c r="B21" s="116"/>
      <c r="C21" s="116"/>
      <c r="D21" s="116"/>
      <c r="E21" s="116"/>
      <c r="F21" s="116" t="s">
        <v>231</v>
      </c>
      <c r="G21" s="116"/>
      <c r="H21" s="116"/>
      <c r="I21" s="116"/>
      <c r="J21" s="116"/>
      <c r="K21" s="116"/>
      <c r="L21" s="117" t="s">
        <v>232</v>
      </c>
      <c r="M21" s="117"/>
      <c r="N21" s="117"/>
      <c r="O21" s="117"/>
      <c r="P21" s="117"/>
      <c r="Q21" s="117"/>
      <c r="R21" s="117"/>
      <c r="S21" s="117"/>
      <c r="T21" s="118" t="s">
        <v>233</v>
      </c>
      <c r="U21" s="118"/>
      <c r="V21" s="118"/>
      <c r="W21" s="118"/>
      <c r="X21" s="118"/>
      <c r="Y21" s="118"/>
      <c r="Z21" s="118"/>
      <c r="AA21" s="118"/>
      <c r="AB21" s="118"/>
      <c r="AC21" s="118"/>
      <c r="AD21" s="118"/>
      <c r="AE21" s="118"/>
      <c r="AF21" s="118"/>
      <c r="AG21" s="118"/>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c r="CY21" s="86"/>
      <c r="CZ21" s="86"/>
      <c r="DA21" s="86"/>
      <c r="DB21" s="86"/>
      <c r="DC21" s="86"/>
      <c r="DD21" s="86"/>
      <c r="DE21" s="86"/>
      <c r="DF21" s="86"/>
      <c r="DG21" s="86"/>
      <c r="DH21" s="86"/>
      <c r="DI21" s="86"/>
      <c r="DJ21" s="86"/>
      <c r="DK21" s="86"/>
      <c r="DL21" s="86"/>
      <c r="DM21" s="86"/>
      <c r="DN21" s="86"/>
      <c r="DO21" s="86"/>
      <c r="DP21" s="86"/>
      <c r="DQ21" s="86"/>
      <c r="DR21" s="86"/>
      <c r="DS21" s="86"/>
      <c r="DT21" s="86"/>
      <c r="DU21" s="86"/>
      <c r="DV21" s="86"/>
      <c r="DW21" s="86"/>
      <c r="DX21" s="86"/>
      <c r="DY21" s="86"/>
      <c r="DZ21" s="86"/>
      <c r="EA21" s="86"/>
      <c r="EB21" s="86"/>
      <c r="EC21" s="86"/>
      <c r="ED21" s="86"/>
      <c r="EE21" s="86"/>
      <c r="EF21" s="86"/>
      <c r="EG21" s="86"/>
      <c r="EH21" s="86"/>
      <c r="EI21" s="86"/>
      <c r="EJ21" s="86"/>
      <c r="EK21" s="86"/>
      <c r="EL21" s="86"/>
      <c r="EM21" s="86"/>
      <c r="EN21" s="86"/>
      <c r="EO21" s="86"/>
      <c r="EP21" s="86"/>
      <c r="EQ21" s="86"/>
      <c r="ER21" s="86"/>
      <c r="ES21" s="86"/>
      <c r="ET21" s="86"/>
      <c r="EU21" s="86"/>
      <c r="EV21" s="86"/>
      <c r="EW21" s="86"/>
      <c r="EX21" s="86"/>
      <c r="EY21" s="86"/>
      <c r="EZ21" s="86"/>
      <c r="FA21" s="86"/>
      <c r="FB21" s="86"/>
      <c r="FC21" s="86"/>
      <c r="FD21" s="86"/>
    </row>
    <row r="22" s="87" customFormat="true" ht="19.5" hidden="false" customHeight="true" outlineLevel="0" collapsed="false">
      <c r="A22" s="116"/>
      <c r="B22" s="116"/>
      <c r="C22" s="116"/>
      <c r="D22" s="116"/>
      <c r="E22" s="116"/>
      <c r="F22" s="116"/>
      <c r="G22" s="116"/>
      <c r="H22" s="116"/>
      <c r="I22" s="116"/>
      <c r="J22" s="116"/>
      <c r="K22" s="116"/>
      <c r="L22" s="119" t="s">
        <v>234</v>
      </c>
      <c r="M22" s="119"/>
      <c r="N22" s="119"/>
      <c r="O22" s="119"/>
      <c r="P22" s="119"/>
      <c r="Q22" s="119"/>
      <c r="R22" s="119"/>
      <c r="S22" s="119"/>
      <c r="T22" s="120" t="s">
        <v>235</v>
      </c>
      <c r="U22" s="120"/>
      <c r="V22" s="120"/>
      <c r="W22" s="120"/>
      <c r="X22" s="120"/>
      <c r="Y22" s="120"/>
      <c r="Z22" s="120"/>
      <c r="AA22" s="120"/>
      <c r="AB22" s="120"/>
      <c r="AC22" s="120"/>
      <c r="AD22" s="120"/>
      <c r="AE22" s="120"/>
      <c r="AF22" s="120"/>
      <c r="AG22" s="120"/>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86"/>
      <c r="DB22" s="86"/>
      <c r="DC22" s="86"/>
      <c r="DD22" s="86"/>
      <c r="DE22" s="86"/>
      <c r="DF22" s="86"/>
      <c r="DG22" s="86"/>
      <c r="DH22" s="86"/>
      <c r="DI22" s="86"/>
      <c r="DJ22" s="86"/>
      <c r="DK22" s="86"/>
      <c r="DL22" s="86"/>
      <c r="DM22" s="86"/>
      <c r="DN22" s="86"/>
      <c r="DO22" s="86"/>
      <c r="DP22" s="86"/>
      <c r="DQ22" s="86"/>
      <c r="DR22" s="86"/>
      <c r="DS22" s="86"/>
      <c r="DT22" s="86"/>
      <c r="DU22" s="86"/>
      <c r="DV22" s="86"/>
      <c r="DW22" s="86"/>
      <c r="DX22" s="86"/>
      <c r="DY22" s="86"/>
      <c r="DZ22" s="86"/>
      <c r="EA22" s="86"/>
      <c r="EB22" s="86"/>
      <c r="EC22" s="86"/>
      <c r="ED22" s="86"/>
      <c r="EE22" s="86"/>
      <c r="EF22" s="86"/>
      <c r="EG22" s="86"/>
      <c r="EH22" s="86"/>
      <c r="EI22" s="86"/>
      <c r="EJ22" s="86"/>
      <c r="EK22" s="86"/>
      <c r="EL22" s="86"/>
      <c r="EM22" s="86"/>
      <c r="EN22" s="86"/>
      <c r="EO22" s="86"/>
      <c r="EP22" s="86"/>
      <c r="EQ22" s="86"/>
      <c r="ER22" s="86"/>
      <c r="ES22" s="86"/>
      <c r="ET22" s="86"/>
      <c r="EU22" s="86"/>
      <c r="EV22" s="86"/>
      <c r="EW22" s="86"/>
      <c r="EX22" s="86"/>
      <c r="EY22" s="86"/>
      <c r="EZ22" s="86"/>
      <c r="FA22" s="86"/>
      <c r="FB22" s="86"/>
      <c r="FC22" s="86"/>
      <c r="FD22" s="86"/>
    </row>
    <row r="23" s="87" customFormat="true" ht="9.75" hidden="false" customHeight="true" outlineLevel="0" collapsed="false">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c r="CY23" s="86"/>
      <c r="CZ23" s="86"/>
      <c r="DA23" s="86"/>
      <c r="DB23" s="86"/>
      <c r="DC23" s="86"/>
      <c r="DD23" s="86"/>
      <c r="DE23" s="86"/>
      <c r="DF23" s="86"/>
      <c r="DG23" s="86"/>
      <c r="DH23" s="86"/>
      <c r="DI23" s="86"/>
      <c r="DJ23" s="86"/>
      <c r="DK23" s="86"/>
      <c r="DL23" s="86"/>
      <c r="DM23" s="86"/>
      <c r="DN23" s="86"/>
      <c r="DO23" s="86"/>
      <c r="DP23" s="86"/>
      <c r="DQ23" s="86"/>
      <c r="DR23" s="86"/>
      <c r="DS23" s="86"/>
      <c r="DT23" s="86"/>
      <c r="DU23" s="86"/>
      <c r="DV23" s="86"/>
      <c r="DW23" s="86"/>
      <c r="DX23" s="86"/>
      <c r="DY23" s="86"/>
      <c r="DZ23" s="86"/>
      <c r="EA23" s="86"/>
      <c r="EB23" s="86"/>
      <c r="EC23" s="86"/>
      <c r="ED23" s="86"/>
      <c r="EE23" s="86"/>
      <c r="EF23" s="86"/>
      <c r="EG23" s="86"/>
      <c r="EH23" s="86"/>
      <c r="EI23" s="86"/>
      <c r="EJ23" s="86"/>
      <c r="EK23" s="86"/>
      <c r="EL23" s="86"/>
      <c r="EM23" s="86"/>
      <c r="EN23" s="86"/>
      <c r="EO23" s="86"/>
      <c r="EP23" s="86"/>
      <c r="EQ23" s="86"/>
      <c r="ER23" s="86"/>
      <c r="ES23" s="86"/>
      <c r="ET23" s="86"/>
      <c r="EU23" s="86"/>
      <c r="EV23" s="86"/>
      <c r="EW23" s="86"/>
      <c r="EX23" s="86"/>
      <c r="EY23" s="86"/>
      <c r="EZ23" s="86"/>
      <c r="FA23" s="86"/>
      <c r="FB23" s="86"/>
      <c r="FC23" s="86"/>
      <c r="FD23" s="86"/>
    </row>
    <row r="24" s="87" customFormat="true" ht="4.5" hidden="false" customHeight="true" outlineLevel="0" collapsed="false">
      <c r="A24" s="122"/>
      <c r="B24" s="122"/>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c r="AC24" s="122"/>
      <c r="AD24" s="122"/>
      <c r="AE24" s="122"/>
      <c r="AF24" s="122"/>
      <c r="AG24" s="122"/>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c r="CY24" s="86"/>
      <c r="CZ24" s="86"/>
      <c r="DA24" s="86"/>
      <c r="DB24" s="86"/>
      <c r="DC24" s="86"/>
      <c r="DD24" s="86"/>
      <c r="DE24" s="86"/>
      <c r="DF24" s="86"/>
      <c r="DG24" s="86"/>
      <c r="DH24" s="86"/>
      <c r="DI24" s="86"/>
      <c r="DJ24" s="86"/>
      <c r="DK24" s="86"/>
      <c r="DL24" s="86"/>
      <c r="DM24" s="86"/>
      <c r="DN24" s="86"/>
      <c r="DO24" s="86"/>
      <c r="DP24" s="86"/>
      <c r="DQ24" s="86"/>
      <c r="DR24" s="86"/>
      <c r="DS24" s="86"/>
      <c r="DT24" s="86"/>
      <c r="DU24" s="86"/>
      <c r="DV24" s="86"/>
      <c r="DW24" s="86"/>
      <c r="DX24" s="86"/>
      <c r="DY24" s="86"/>
      <c r="DZ24" s="86"/>
      <c r="EA24" s="86"/>
      <c r="EB24" s="86"/>
      <c r="EC24" s="86"/>
      <c r="ED24" s="86"/>
      <c r="EE24" s="86"/>
      <c r="EF24" s="86"/>
      <c r="EG24" s="86"/>
      <c r="EH24" s="86"/>
      <c r="EI24" s="86"/>
      <c r="EJ24" s="86"/>
      <c r="EK24" s="86"/>
      <c r="EL24" s="86"/>
      <c r="EM24" s="86"/>
      <c r="EN24" s="86"/>
      <c r="EO24" s="86"/>
      <c r="EP24" s="86"/>
      <c r="EQ24" s="86"/>
      <c r="ER24" s="86"/>
      <c r="ES24" s="86"/>
      <c r="ET24" s="86"/>
      <c r="EU24" s="86"/>
      <c r="EV24" s="86"/>
      <c r="EW24" s="86"/>
      <c r="EX24" s="86"/>
      <c r="EY24" s="86"/>
      <c r="EZ24" s="86"/>
      <c r="FA24" s="86"/>
      <c r="FB24" s="86"/>
      <c r="FC24" s="86"/>
      <c r="FD24" s="86"/>
    </row>
    <row r="25" s="87" customFormat="true" ht="15" hidden="false" customHeight="true" outlineLevel="0" collapsed="false">
      <c r="A25" s="92" t="s">
        <v>236</v>
      </c>
      <c r="B25" s="86"/>
      <c r="C25" s="86"/>
      <c r="D25" s="86"/>
      <c r="E25" s="86"/>
      <c r="F25" s="86"/>
      <c r="G25" s="92"/>
      <c r="H25" s="92"/>
      <c r="I25" s="92"/>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c r="CY25" s="86"/>
      <c r="CZ25" s="86"/>
      <c r="DA25" s="86"/>
      <c r="DB25" s="86"/>
      <c r="DC25" s="86"/>
      <c r="DD25" s="86"/>
      <c r="DE25" s="86"/>
      <c r="DF25" s="86"/>
      <c r="DG25" s="86"/>
      <c r="DH25" s="86"/>
      <c r="DI25" s="86"/>
      <c r="DJ25" s="86"/>
      <c r="DK25" s="86"/>
      <c r="DL25" s="86"/>
      <c r="DM25" s="86"/>
      <c r="DN25" s="86"/>
      <c r="DO25" s="86"/>
      <c r="DP25" s="86"/>
      <c r="DQ25" s="86"/>
      <c r="DR25" s="86"/>
      <c r="DS25" s="86"/>
      <c r="DT25" s="86"/>
      <c r="DU25" s="86"/>
      <c r="DV25" s="86"/>
      <c r="DW25" s="86"/>
      <c r="DX25" s="86"/>
      <c r="DY25" s="86"/>
      <c r="DZ25" s="86"/>
      <c r="EA25" s="86"/>
      <c r="EB25" s="86"/>
      <c r="EC25" s="86"/>
      <c r="ED25" s="86"/>
      <c r="EE25" s="86"/>
      <c r="EF25" s="86"/>
      <c r="EG25" s="86"/>
      <c r="EH25" s="86"/>
      <c r="EI25" s="86"/>
      <c r="EJ25" s="86"/>
      <c r="EK25" s="86"/>
      <c r="EL25" s="86"/>
      <c r="EM25" s="86"/>
      <c r="EN25" s="86"/>
      <c r="EO25" s="86"/>
      <c r="EP25" s="86"/>
      <c r="EQ25" s="86"/>
      <c r="ER25" s="86"/>
      <c r="ES25" s="86"/>
      <c r="ET25" s="86"/>
      <c r="EU25" s="86"/>
      <c r="EV25" s="86"/>
      <c r="EW25" s="86"/>
      <c r="EX25" s="86"/>
      <c r="EY25" s="86"/>
      <c r="EZ25" s="86"/>
      <c r="FA25" s="86"/>
      <c r="FB25" s="86"/>
      <c r="FC25" s="86"/>
      <c r="FD25" s="86"/>
    </row>
    <row r="26" s="87" customFormat="true" ht="4.5" hidden="false" customHeight="true" outlineLevel="0" collapsed="false">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86"/>
      <c r="DA26" s="86"/>
      <c r="DB26" s="86"/>
      <c r="DC26" s="86"/>
      <c r="DD26" s="86"/>
      <c r="DE26" s="86"/>
      <c r="DF26" s="86"/>
      <c r="DG26" s="86"/>
      <c r="DH26" s="86"/>
      <c r="DI26" s="86"/>
      <c r="DJ26" s="86"/>
      <c r="DK26" s="86"/>
      <c r="DL26" s="86"/>
      <c r="DM26" s="86"/>
      <c r="DN26" s="86"/>
      <c r="DO26" s="86"/>
      <c r="DP26" s="86"/>
      <c r="DQ26" s="86"/>
      <c r="DR26" s="86"/>
      <c r="DS26" s="86"/>
      <c r="DT26" s="86"/>
      <c r="DU26" s="86"/>
      <c r="DV26" s="86"/>
      <c r="DW26" s="86"/>
      <c r="DX26" s="86"/>
      <c r="DY26" s="86"/>
      <c r="DZ26" s="86"/>
      <c r="EA26" s="86"/>
      <c r="EB26" s="86"/>
      <c r="EC26" s="86"/>
      <c r="ED26" s="86"/>
      <c r="EE26" s="86"/>
      <c r="EF26" s="86"/>
      <c r="EG26" s="86"/>
      <c r="EH26" s="86"/>
      <c r="EI26" s="86"/>
      <c r="EJ26" s="86"/>
      <c r="EK26" s="86"/>
      <c r="EL26" s="86"/>
      <c r="EM26" s="86"/>
      <c r="EN26" s="86"/>
      <c r="EO26" s="86"/>
      <c r="EP26" s="86"/>
      <c r="EQ26" s="86"/>
      <c r="ER26" s="86"/>
      <c r="ES26" s="86"/>
      <c r="ET26" s="86"/>
      <c r="EU26" s="86"/>
      <c r="EV26" s="86"/>
      <c r="EW26" s="86"/>
      <c r="EX26" s="86"/>
      <c r="EY26" s="86"/>
      <c r="EZ26" s="86"/>
      <c r="FA26" s="86"/>
      <c r="FB26" s="86"/>
      <c r="FC26" s="86"/>
      <c r="FD26" s="86"/>
    </row>
    <row r="27" s="87" customFormat="true" ht="19.5" hidden="false" customHeight="true" outlineLevel="0" collapsed="false">
      <c r="A27" s="93" t="s">
        <v>213</v>
      </c>
      <c r="B27" s="93"/>
      <c r="C27" s="93"/>
      <c r="D27" s="93"/>
      <c r="E27" s="93"/>
      <c r="F27" s="93"/>
      <c r="G27" s="93"/>
      <c r="H27" s="93"/>
      <c r="I27" s="93"/>
      <c r="J27" s="93"/>
      <c r="K27" s="115" t="s">
        <v>205</v>
      </c>
      <c r="L27" s="115"/>
      <c r="M27" s="115"/>
      <c r="N27" s="115"/>
      <c r="O27" s="115"/>
      <c r="P27" s="115"/>
      <c r="Q27" s="115"/>
      <c r="R27" s="115"/>
      <c r="S27" s="115"/>
      <c r="T27" s="115"/>
      <c r="U27" s="115"/>
      <c r="V27" s="93" t="s">
        <v>214</v>
      </c>
      <c r="W27" s="93"/>
      <c r="X27" s="93"/>
      <c r="Y27" s="93"/>
      <c r="Z27" s="93"/>
      <c r="AA27" s="93"/>
      <c r="AB27" s="93"/>
      <c r="AC27" s="93"/>
      <c r="AD27" s="93"/>
      <c r="AE27" s="93"/>
      <c r="AF27" s="93"/>
      <c r="AG27" s="93"/>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c r="CY27" s="86"/>
      <c r="CZ27" s="86"/>
      <c r="DA27" s="86"/>
      <c r="DB27" s="86"/>
      <c r="DC27" s="86"/>
      <c r="DD27" s="86"/>
      <c r="DE27" s="86"/>
      <c r="DF27" s="86"/>
      <c r="DG27" s="86"/>
      <c r="DH27" s="86"/>
      <c r="DI27" s="86"/>
      <c r="DJ27" s="86"/>
      <c r="DK27" s="86"/>
      <c r="DL27" s="86"/>
      <c r="DM27" s="86"/>
      <c r="DN27" s="86"/>
      <c r="DO27" s="86"/>
      <c r="DP27" s="86"/>
      <c r="DQ27" s="86"/>
      <c r="DR27" s="86"/>
      <c r="DS27" s="86"/>
      <c r="DT27" s="86"/>
      <c r="DU27" s="86"/>
      <c r="DV27" s="86"/>
      <c r="DW27" s="86"/>
      <c r="DX27" s="86"/>
      <c r="DY27" s="86"/>
      <c r="DZ27" s="86"/>
      <c r="EA27" s="86"/>
      <c r="EB27" s="86"/>
      <c r="EC27" s="86"/>
      <c r="ED27" s="86"/>
      <c r="EE27" s="86"/>
      <c r="EF27" s="86"/>
      <c r="EG27" s="86"/>
      <c r="EH27" s="86"/>
      <c r="EI27" s="86"/>
      <c r="EJ27" s="86"/>
      <c r="EK27" s="86"/>
      <c r="EL27" s="86"/>
      <c r="EM27" s="86"/>
      <c r="EN27" s="86"/>
      <c r="EO27" s="86"/>
      <c r="EP27" s="86"/>
      <c r="EQ27" s="86"/>
      <c r="ER27" s="86"/>
      <c r="ES27" s="86"/>
      <c r="ET27" s="86"/>
      <c r="EU27" s="86"/>
      <c r="EV27" s="86"/>
      <c r="EW27" s="86"/>
      <c r="EX27" s="86"/>
      <c r="EY27" s="86"/>
      <c r="EZ27" s="86"/>
      <c r="FA27" s="86"/>
      <c r="FB27" s="86"/>
      <c r="FC27" s="86"/>
      <c r="FD27" s="86"/>
    </row>
    <row r="28" s="87" customFormat="true" ht="34.5" hidden="false" customHeight="true" outlineLevel="0" collapsed="false">
      <c r="A28" s="123" t="s">
        <v>237</v>
      </c>
      <c r="B28" s="123"/>
      <c r="C28" s="123"/>
      <c r="D28" s="123"/>
      <c r="E28" s="123"/>
      <c r="F28" s="123"/>
      <c r="G28" s="123"/>
      <c r="H28" s="123"/>
      <c r="I28" s="123"/>
      <c r="J28" s="123"/>
      <c r="K28" s="124" t="s">
        <v>238</v>
      </c>
      <c r="L28" s="124"/>
      <c r="M28" s="124"/>
      <c r="N28" s="124"/>
      <c r="O28" s="124"/>
      <c r="P28" s="124"/>
      <c r="Q28" s="124"/>
      <c r="R28" s="124"/>
      <c r="S28" s="124"/>
      <c r="T28" s="124"/>
      <c r="U28" s="124"/>
      <c r="V28" s="125" t="s">
        <v>239</v>
      </c>
      <c r="W28" s="125"/>
      <c r="X28" s="125"/>
      <c r="Y28" s="125"/>
      <c r="Z28" s="125"/>
      <c r="AA28" s="125"/>
      <c r="AB28" s="125"/>
      <c r="AC28" s="125"/>
      <c r="AD28" s="125"/>
      <c r="AE28" s="125"/>
      <c r="AF28" s="125"/>
      <c r="AG28" s="125"/>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c r="CY28" s="86"/>
      <c r="CZ28" s="86"/>
      <c r="DA28" s="86"/>
      <c r="DB28" s="86"/>
      <c r="DC28" s="86"/>
      <c r="DD28" s="86"/>
      <c r="DE28" s="86"/>
      <c r="DF28" s="86"/>
      <c r="DG28" s="86"/>
      <c r="DH28" s="86"/>
      <c r="DI28" s="86"/>
      <c r="DJ28" s="86"/>
      <c r="DK28" s="86"/>
      <c r="DL28" s="86"/>
      <c r="DM28" s="86"/>
      <c r="DN28" s="86"/>
      <c r="DO28" s="86"/>
      <c r="DP28" s="86"/>
      <c r="DQ28" s="86"/>
      <c r="DR28" s="86"/>
      <c r="DS28" s="86"/>
      <c r="DT28" s="86"/>
      <c r="DU28" s="86"/>
      <c r="DV28" s="86"/>
      <c r="DW28" s="86"/>
      <c r="DX28" s="86"/>
      <c r="DY28" s="86"/>
      <c r="DZ28" s="86"/>
      <c r="EA28" s="86"/>
      <c r="EB28" s="86"/>
      <c r="EC28" s="86"/>
      <c r="ED28" s="86"/>
      <c r="EE28" s="86"/>
      <c r="EF28" s="86"/>
      <c r="EG28" s="86"/>
      <c r="EH28" s="86"/>
      <c r="EI28" s="86"/>
      <c r="EJ28" s="86"/>
      <c r="EK28" s="86"/>
      <c r="EL28" s="86"/>
      <c r="EM28" s="86"/>
      <c r="EN28" s="86"/>
      <c r="EO28" s="86"/>
      <c r="EP28" s="86"/>
      <c r="EQ28" s="86"/>
      <c r="ER28" s="86"/>
      <c r="ES28" s="86"/>
      <c r="ET28" s="86"/>
      <c r="EU28" s="86"/>
      <c r="EV28" s="86"/>
      <c r="EW28" s="86"/>
      <c r="EX28" s="86"/>
      <c r="EY28" s="86"/>
      <c r="EZ28" s="86"/>
      <c r="FA28" s="86"/>
      <c r="FB28" s="86"/>
      <c r="FC28" s="86"/>
      <c r="FD28" s="86"/>
    </row>
    <row r="29" s="87" customFormat="true" ht="24.75" hidden="false" customHeight="true" outlineLevel="0" collapsed="false">
      <c r="A29" s="123" t="s">
        <v>240</v>
      </c>
      <c r="B29" s="123"/>
      <c r="C29" s="123"/>
      <c r="D29" s="123"/>
      <c r="E29" s="123"/>
      <c r="F29" s="123"/>
      <c r="G29" s="123"/>
      <c r="H29" s="123"/>
      <c r="I29" s="123"/>
      <c r="J29" s="123"/>
      <c r="K29" s="126" t="s">
        <v>241</v>
      </c>
      <c r="L29" s="126"/>
      <c r="M29" s="126"/>
      <c r="N29" s="126"/>
      <c r="O29" s="126"/>
      <c r="P29" s="126"/>
      <c r="Q29" s="126"/>
      <c r="R29" s="126"/>
      <c r="S29" s="126"/>
      <c r="T29" s="126"/>
      <c r="U29" s="126"/>
      <c r="V29" s="103" t="s">
        <v>242</v>
      </c>
      <c r="W29" s="103"/>
      <c r="X29" s="103"/>
      <c r="Y29" s="103"/>
      <c r="Z29" s="103"/>
      <c r="AA29" s="103"/>
      <c r="AB29" s="103"/>
      <c r="AC29" s="103"/>
      <c r="AD29" s="103"/>
      <c r="AE29" s="103"/>
      <c r="AF29" s="103"/>
      <c r="AG29" s="103"/>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c r="CY29" s="86"/>
      <c r="CZ29" s="86"/>
      <c r="DA29" s="86"/>
      <c r="DB29" s="86"/>
      <c r="DC29" s="86"/>
      <c r="DD29" s="86"/>
      <c r="DE29" s="86"/>
      <c r="DF29" s="86"/>
      <c r="DG29" s="86"/>
      <c r="DH29" s="86"/>
      <c r="DI29" s="86"/>
      <c r="DJ29" s="86"/>
      <c r="DK29" s="86"/>
      <c r="DL29" s="86"/>
      <c r="DM29" s="86"/>
      <c r="DN29" s="86"/>
      <c r="DO29" s="86"/>
      <c r="DP29" s="86"/>
      <c r="DQ29" s="86"/>
      <c r="DR29" s="86"/>
      <c r="DS29" s="86"/>
      <c r="DT29" s="86"/>
      <c r="DU29" s="86"/>
      <c r="DV29" s="86"/>
      <c r="DW29" s="86"/>
      <c r="DX29" s="86"/>
      <c r="DY29" s="86"/>
      <c r="DZ29" s="86"/>
      <c r="EA29" s="86"/>
      <c r="EB29" s="86"/>
      <c r="EC29" s="86"/>
      <c r="ED29" s="86"/>
      <c r="EE29" s="86"/>
      <c r="EF29" s="86"/>
      <c r="EG29" s="86"/>
      <c r="EH29" s="86"/>
      <c r="EI29" s="86"/>
      <c r="EJ29" s="86"/>
      <c r="EK29" s="86"/>
      <c r="EL29" s="86"/>
      <c r="EM29" s="86"/>
      <c r="EN29" s="86"/>
      <c r="EO29" s="86"/>
      <c r="EP29" s="86"/>
      <c r="EQ29" s="86"/>
      <c r="ER29" s="86"/>
      <c r="ES29" s="86"/>
      <c r="ET29" s="86"/>
      <c r="EU29" s="86"/>
      <c r="EV29" s="86"/>
      <c r="EW29" s="86"/>
      <c r="EX29" s="86"/>
      <c r="EY29" s="86"/>
      <c r="EZ29" s="86"/>
      <c r="FA29" s="86"/>
      <c r="FB29" s="86"/>
      <c r="FC29" s="86"/>
      <c r="FD29" s="86"/>
    </row>
    <row r="30" s="87" customFormat="true" ht="9.75" hidden="false" customHeight="true" outlineLevel="0" collapsed="false">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c r="AA30" s="121"/>
      <c r="AB30" s="121"/>
      <c r="AC30" s="121"/>
      <c r="AD30" s="121"/>
      <c r="AE30" s="121"/>
      <c r="AF30" s="121"/>
      <c r="AG30" s="121"/>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c r="CY30" s="86"/>
      <c r="CZ30" s="86"/>
      <c r="DA30" s="86"/>
      <c r="DB30" s="86"/>
      <c r="DC30" s="86"/>
      <c r="DD30" s="86"/>
      <c r="DE30" s="86"/>
      <c r="DF30" s="86"/>
      <c r="DG30" s="86"/>
      <c r="DH30" s="86"/>
      <c r="DI30" s="86"/>
      <c r="DJ30" s="86"/>
      <c r="DK30" s="86"/>
      <c r="DL30" s="86"/>
      <c r="DM30" s="86"/>
      <c r="DN30" s="86"/>
      <c r="DO30" s="86"/>
      <c r="DP30" s="86"/>
      <c r="DQ30" s="86"/>
      <c r="DR30" s="86"/>
      <c r="DS30" s="86"/>
      <c r="DT30" s="86"/>
      <c r="DU30" s="86"/>
      <c r="DV30" s="86"/>
      <c r="DW30" s="86"/>
      <c r="DX30" s="86"/>
      <c r="DY30" s="86"/>
      <c r="DZ30" s="86"/>
      <c r="EA30" s="86"/>
      <c r="EB30" s="86"/>
      <c r="EC30" s="86"/>
      <c r="ED30" s="86"/>
      <c r="EE30" s="86"/>
      <c r="EF30" s="86"/>
      <c r="EG30" s="86"/>
      <c r="EH30" s="86"/>
      <c r="EI30" s="86"/>
      <c r="EJ30" s="86"/>
      <c r="EK30" s="86"/>
      <c r="EL30" s="86"/>
      <c r="EM30" s="86"/>
      <c r="EN30" s="86"/>
      <c r="EO30" s="86"/>
      <c r="EP30" s="86"/>
      <c r="EQ30" s="86"/>
      <c r="ER30" s="86"/>
      <c r="ES30" s="86"/>
      <c r="ET30" s="86"/>
      <c r="EU30" s="86"/>
      <c r="EV30" s="86"/>
      <c r="EW30" s="86"/>
      <c r="EX30" s="86"/>
      <c r="EY30" s="86"/>
      <c r="EZ30" s="86"/>
      <c r="FA30" s="86"/>
      <c r="FB30" s="86"/>
      <c r="FC30" s="86"/>
      <c r="FD30" s="86"/>
    </row>
    <row r="31" s="87" customFormat="true" ht="4.5" hidden="false" customHeight="true" outlineLevel="0" collapsed="false">
      <c r="A31" s="122"/>
      <c r="B31" s="122"/>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c r="AA31" s="122"/>
      <c r="AB31" s="122"/>
      <c r="AC31" s="122"/>
      <c r="AD31" s="122"/>
      <c r="AE31" s="122"/>
      <c r="AF31" s="122"/>
      <c r="AG31" s="122"/>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c r="CY31" s="86"/>
      <c r="CZ31" s="86"/>
      <c r="DA31" s="86"/>
      <c r="DB31" s="86"/>
      <c r="DC31" s="86"/>
      <c r="DD31" s="86"/>
      <c r="DE31" s="86"/>
      <c r="DF31" s="86"/>
      <c r="DG31" s="86"/>
      <c r="DH31" s="86"/>
      <c r="DI31" s="86"/>
      <c r="DJ31" s="86"/>
      <c r="DK31" s="86"/>
      <c r="DL31" s="86"/>
      <c r="DM31" s="86"/>
      <c r="DN31" s="86"/>
      <c r="DO31" s="86"/>
      <c r="DP31" s="86"/>
      <c r="DQ31" s="86"/>
      <c r="DR31" s="86"/>
      <c r="DS31" s="86"/>
      <c r="DT31" s="86"/>
      <c r="DU31" s="86"/>
      <c r="DV31" s="86"/>
      <c r="DW31" s="86"/>
      <c r="DX31" s="86"/>
      <c r="DY31" s="86"/>
      <c r="DZ31" s="86"/>
      <c r="EA31" s="86"/>
      <c r="EB31" s="86"/>
      <c r="EC31" s="86"/>
      <c r="ED31" s="86"/>
      <c r="EE31" s="86"/>
      <c r="EF31" s="86"/>
      <c r="EG31" s="86"/>
      <c r="EH31" s="86"/>
      <c r="EI31" s="86"/>
      <c r="EJ31" s="86"/>
      <c r="EK31" s="86"/>
      <c r="EL31" s="86"/>
      <c r="EM31" s="86"/>
      <c r="EN31" s="86"/>
      <c r="EO31" s="86"/>
      <c r="EP31" s="86"/>
      <c r="EQ31" s="86"/>
      <c r="ER31" s="86"/>
      <c r="ES31" s="86"/>
      <c r="ET31" s="86"/>
      <c r="EU31" s="86"/>
      <c r="EV31" s="86"/>
      <c r="EW31" s="86"/>
      <c r="EX31" s="86"/>
      <c r="EY31" s="86"/>
      <c r="EZ31" s="86"/>
      <c r="FA31" s="86"/>
      <c r="FB31" s="86"/>
      <c r="FC31" s="86"/>
      <c r="FD31" s="86"/>
    </row>
    <row r="32" customFormat="false" ht="15" hidden="false" customHeight="true" outlineLevel="0" collapsed="false">
      <c r="A32" s="92" t="s">
        <v>243</v>
      </c>
      <c r="I32" s="92"/>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c r="BM32" s="101"/>
      <c r="BN32" s="101"/>
      <c r="BO32" s="101"/>
      <c r="BP32" s="101"/>
      <c r="BQ32" s="101"/>
      <c r="BR32" s="101"/>
      <c r="BS32" s="101"/>
      <c r="BT32" s="101"/>
      <c r="BU32" s="101"/>
    </row>
    <row r="33" customFormat="false" ht="4.5" hidden="false" customHeight="true" outlineLevel="0" collapsed="false">
      <c r="A33" s="92"/>
      <c r="I33" s="92"/>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c r="BM33" s="101"/>
      <c r="BN33" s="101"/>
      <c r="BO33" s="101"/>
      <c r="BP33" s="101"/>
      <c r="BQ33" s="101"/>
      <c r="BR33" s="101"/>
      <c r="BS33" s="101"/>
      <c r="BT33" s="101"/>
      <c r="BU33" s="101"/>
    </row>
    <row r="34" customFormat="false" ht="19.5" hidden="false" customHeight="true" outlineLevel="0" collapsed="false">
      <c r="A34" s="127" t="s">
        <v>244</v>
      </c>
      <c r="B34" s="127"/>
      <c r="C34" s="127"/>
      <c r="D34" s="127"/>
      <c r="E34" s="127"/>
      <c r="F34" s="127"/>
      <c r="G34" s="128" t="s">
        <v>245</v>
      </c>
      <c r="H34" s="129"/>
      <c r="I34" s="129"/>
      <c r="J34" s="129"/>
      <c r="K34" s="129"/>
      <c r="L34" s="129"/>
      <c r="M34" s="129"/>
      <c r="N34" s="129"/>
      <c r="O34" s="129"/>
      <c r="P34" s="129"/>
      <c r="Q34" s="129"/>
      <c r="R34" s="129"/>
      <c r="S34" s="129"/>
      <c r="T34" s="129"/>
      <c r="U34" s="129"/>
      <c r="V34" s="129"/>
      <c r="W34" s="129"/>
      <c r="X34" s="129"/>
      <c r="Y34" s="129"/>
      <c r="Z34" s="129"/>
      <c r="AA34" s="129"/>
      <c r="AB34" s="129"/>
      <c r="AC34" s="129"/>
      <c r="AD34" s="129"/>
      <c r="AE34" s="129"/>
      <c r="AF34" s="129"/>
      <c r="AG34" s="130"/>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F34" s="101"/>
      <c r="BG34" s="101"/>
      <c r="BH34" s="101"/>
      <c r="BI34" s="101"/>
      <c r="BJ34" s="101"/>
      <c r="BK34" s="101"/>
      <c r="BL34" s="101"/>
      <c r="BM34" s="101"/>
      <c r="BN34" s="101"/>
      <c r="BO34" s="101"/>
      <c r="BP34" s="101"/>
      <c r="BQ34" s="101"/>
      <c r="BR34" s="101"/>
      <c r="BS34" s="101"/>
      <c r="BT34" s="101"/>
      <c r="BU34" s="101"/>
    </row>
    <row r="35" customFormat="false" ht="19.5" hidden="false" customHeight="true" outlineLevel="0" collapsed="false">
      <c r="A35" s="127"/>
      <c r="B35" s="127"/>
      <c r="C35" s="127"/>
      <c r="D35" s="127"/>
      <c r="E35" s="127"/>
      <c r="F35" s="127"/>
      <c r="G35" s="131" t="s">
        <v>246</v>
      </c>
      <c r="H35" s="132"/>
      <c r="I35" s="132"/>
      <c r="J35" s="132"/>
      <c r="K35" s="132"/>
      <c r="L35" s="132"/>
      <c r="M35" s="132"/>
      <c r="N35" s="132"/>
      <c r="O35" s="132"/>
      <c r="P35" s="132"/>
      <c r="Q35" s="132"/>
      <c r="R35" s="132"/>
      <c r="S35" s="132"/>
      <c r="T35" s="132"/>
      <c r="U35" s="132"/>
      <c r="V35" s="132"/>
      <c r="W35" s="132"/>
      <c r="X35" s="132"/>
      <c r="Y35" s="132"/>
      <c r="Z35" s="132"/>
      <c r="AA35" s="132"/>
      <c r="AB35" s="132"/>
      <c r="AC35" s="132"/>
      <c r="AD35" s="132"/>
      <c r="AE35" s="132"/>
      <c r="AF35" s="132"/>
      <c r="AG35" s="133"/>
      <c r="AH35" s="101"/>
      <c r="AI35" s="101"/>
      <c r="AJ35" s="101"/>
      <c r="AK35" s="101"/>
      <c r="AL35" s="101"/>
      <c r="AM35" s="101"/>
      <c r="AN35" s="101"/>
      <c r="AO35" s="101"/>
      <c r="AP35" s="101"/>
      <c r="AQ35" s="101"/>
      <c r="AR35" s="101"/>
      <c r="AS35" s="101"/>
      <c r="AT35" s="101"/>
      <c r="AU35" s="101"/>
      <c r="AV35" s="101"/>
      <c r="AW35" s="101"/>
      <c r="AX35" s="101"/>
      <c r="AY35" s="101"/>
      <c r="AZ35" s="101"/>
      <c r="BA35" s="101"/>
      <c r="BB35" s="101"/>
      <c r="BC35" s="101"/>
      <c r="BD35" s="101"/>
      <c r="BE35" s="101"/>
      <c r="BF35" s="101"/>
      <c r="BG35" s="101"/>
      <c r="BH35" s="101"/>
      <c r="BI35" s="101"/>
      <c r="BJ35" s="101"/>
      <c r="BK35" s="101"/>
      <c r="BL35" s="101"/>
      <c r="BM35" s="101"/>
      <c r="BN35" s="101"/>
      <c r="BO35" s="101"/>
      <c r="BP35" s="101"/>
      <c r="BQ35" s="101"/>
      <c r="BR35" s="101"/>
      <c r="BS35" s="101"/>
      <c r="BT35" s="101"/>
      <c r="BU35" s="101"/>
    </row>
    <row r="36" customFormat="false" ht="19.5" hidden="true" customHeight="true" outlineLevel="0" collapsed="false">
      <c r="A36" s="127" t="s">
        <v>247</v>
      </c>
      <c r="B36" s="127"/>
      <c r="C36" s="127"/>
      <c r="D36" s="127"/>
      <c r="E36" s="127"/>
      <c r="F36" s="127"/>
      <c r="G36" s="134" t="s">
        <v>248</v>
      </c>
      <c r="H36" s="134"/>
      <c r="I36" s="134"/>
      <c r="J36" s="134"/>
      <c r="K36" s="134"/>
      <c r="L36" s="134"/>
      <c r="M36" s="134"/>
      <c r="N36" s="134"/>
      <c r="O36" s="134"/>
      <c r="P36" s="134"/>
      <c r="Q36" s="134"/>
      <c r="R36" s="134"/>
      <c r="S36" s="134"/>
      <c r="T36" s="134"/>
      <c r="U36" s="134"/>
      <c r="V36" s="134"/>
      <c r="W36" s="134"/>
      <c r="X36" s="134"/>
      <c r="Y36" s="134"/>
      <c r="Z36" s="134"/>
      <c r="AA36" s="134"/>
      <c r="AB36" s="134"/>
      <c r="AC36" s="134"/>
      <c r="AD36" s="134"/>
      <c r="AE36" s="134"/>
      <c r="AF36" s="134"/>
      <c r="AG36" s="134"/>
      <c r="AH36" s="135" t="s">
        <v>249</v>
      </c>
      <c r="AI36" s="135"/>
      <c r="AJ36" s="135"/>
      <c r="AK36" s="135"/>
      <c r="AL36" s="135"/>
      <c r="AM36" s="135"/>
      <c r="AN36" s="135"/>
      <c r="AO36" s="135"/>
      <c r="AP36" s="135"/>
      <c r="AQ36" s="135"/>
      <c r="AR36" s="135"/>
      <c r="AS36" s="135"/>
      <c r="AT36" s="135"/>
      <c r="AU36" s="135"/>
      <c r="AV36" s="135"/>
      <c r="AW36" s="135"/>
      <c r="AX36" s="135"/>
      <c r="AY36" s="135"/>
      <c r="AZ36" s="135"/>
      <c r="BA36" s="135"/>
      <c r="BB36" s="135"/>
      <c r="BC36" s="135"/>
      <c r="BD36" s="135"/>
      <c r="BE36" s="135"/>
      <c r="BF36" s="135"/>
      <c r="BG36" s="135"/>
      <c r="BH36" s="135"/>
      <c r="BI36" s="135"/>
      <c r="BJ36" s="135"/>
      <c r="BK36" s="135"/>
      <c r="BL36" s="135"/>
      <c r="BM36" s="135"/>
      <c r="BN36" s="135"/>
      <c r="BO36" s="135"/>
      <c r="BP36" s="135"/>
      <c r="BQ36" s="135"/>
      <c r="BR36" s="135"/>
      <c r="BS36" s="135"/>
      <c r="BT36" s="135"/>
      <c r="BU36" s="135"/>
    </row>
    <row r="37" customFormat="false" ht="19.5" hidden="true" customHeight="true" outlineLevel="0" collapsed="false">
      <c r="A37" s="127"/>
      <c r="B37" s="127"/>
      <c r="C37" s="127"/>
      <c r="D37" s="127"/>
      <c r="E37" s="127"/>
      <c r="F37" s="127"/>
      <c r="G37" s="134"/>
      <c r="H37" s="134"/>
      <c r="I37" s="134"/>
      <c r="J37" s="134"/>
      <c r="K37" s="134"/>
      <c r="L37" s="134"/>
      <c r="M37" s="134"/>
      <c r="N37" s="134"/>
      <c r="O37" s="134"/>
      <c r="P37" s="134"/>
      <c r="Q37" s="134"/>
      <c r="R37" s="134"/>
      <c r="S37" s="134"/>
      <c r="T37" s="134"/>
      <c r="U37" s="134"/>
      <c r="V37" s="134"/>
      <c r="W37" s="134"/>
      <c r="X37" s="134"/>
      <c r="Y37" s="134"/>
      <c r="Z37" s="134"/>
      <c r="AA37" s="134"/>
      <c r="AB37" s="134"/>
      <c r="AC37" s="134"/>
      <c r="AD37" s="134"/>
      <c r="AE37" s="134"/>
      <c r="AF37" s="134"/>
      <c r="AG37" s="134"/>
      <c r="AH37" s="135"/>
      <c r="AI37" s="135"/>
      <c r="AJ37" s="135"/>
      <c r="AK37" s="135"/>
      <c r="AL37" s="135"/>
      <c r="AM37" s="135"/>
      <c r="AN37" s="135"/>
      <c r="AO37" s="135"/>
      <c r="AP37" s="135"/>
      <c r="AQ37" s="135"/>
      <c r="AR37" s="135"/>
      <c r="AS37" s="135"/>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5"/>
      <c r="BS37" s="135"/>
      <c r="BT37" s="135"/>
      <c r="BU37" s="135"/>
    </row>
    <row r="38" customFormat="false" ht="19.5" hidden="false" customHeight="true" outlineLevel="0" collapsed="false">
      <c r="A38" s="136" t="s">
        <v>250</v>
      </c>
      <c r="B38" s="136"/>
      <c r="C38" s="136"/>
      <c r="D38" s="136"/>
      <c r="E38" s="136"/>
      <c r="F38" s="136"/>
      <c r="G38" s="128" t="s">
        <v>251</v>
      </c>
      <c r="H38" s="137"/>
      <c r="I38" s="137"/>
      <c r="J38" s="137"/>
      <c r="K38" s="137"/>
      <c r="L38" s="137"/>
      <c r="M38" s="137"/>
      <c r="N38" s="137"/>
      <c r="O38" s="137"/>
      <c r="P38" s="137"/>
      <c r="Q38" s="137"/>
      <c r="R38" s="137"/>
      <c r="S38" s="137"/>
      <c r="T38" s="137"/>
      <c r="U38" s="137"/>
      <c r="V38" s="137"/>
      <c r="W38" s="137"/>
      <c r="X38" s="137"/>
      <c r="Y38" s="137"/>
      <c r="Z38" s="137"/>
      <c r="AA38" s="137"/>
      <c r="AB38" s="137"/>
      <c r="AC38" s="137"/>
      <c r="AD38" s="137"/>
      <c r="AE38" s="137"/>
      <c r="AF38" s="137"/>
      <c r="AG38" s="138"/>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BN38" s="101"/>
      <c r="BO38" s="101"/>
      <c r="BP38" s="101"/>
      <c r="BQ38" s="101"/>
      <c r="BR38" s="101"/>
      <c r="BS38" s="101"/>
      <c r="BT38" s="101"/>
      <c r="BU38" s="101"/>
    </row>
    <row r="39" s="86" customFormat="true" ht="19.5" hidden="false" customHeight="true" outlineLevel="0" collapsed="false">
      <c r="A39" s="136"/>
      <c r="B39" s="136"/>
      <c r="C39" s="136"/>
      <c r="D39" s="136"/>
      <c r="E39" s="136"/>
      <c r="F39" s="136"/>
      <c r="G39" s="139" t="s">
        <v>252</v>
      </c>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40"/>
    </row>
    <row r="40" s="86" customFormat="true" ht="19.5" hidden="false" customHeight="true" outlineLevel="0" collapsed="false">
      <c r="A40" s="136"/>
      <c r="B40" s="136"/>
      <c r="C40" s="136"/>
      <c r="D40" s="136"/>
      <c r="E40" s="136"/>
      <c r="F40" s="136"/>
      <c r="G40" s="141" t="s">
        <v>253</v>
      </c>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40"/>
    </row>
    <row r="41" s="86" customFormat="true" ht="30" hidden="false" customHeight="true" outlineLevel="0" collapsed="false">
      <c r="A41" s="142" t="s">
        <v>254</v>
      </c>
      <c r="B41" s="142"/>
      <c r="C41" s="142"/>
      <c r="D41" s="142"/>
      <c r="E41" s="142"/>
      <c r="F41" s="142"/>
      <c r="G41" s="143" t="s">
        <v>255</v>
      </c>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5"/>
    </row>
    <row r="42" s="86" customFormat="true" ht="19.5" hidden="false" customHeight="true" outlineLevel="0" collapsed="false">
      <c r="A42" s="146" t="s">
        <v>256</v>
      </c>
      <c r="B42" s="146"/>
      <c r="C42" s="146"/>
      <c r="D42" s="146"/>
      <c r="E42" s="146"/>
      <c r="F42" s="146"/>
      <c r="G42" s="143" t="s">
        <v>257</v>
      </c>
      <c r="H42" s="144"/>
      <c r="I42" s="144"/>
      <c r="J42" s="144"/>
      <c r="K42" s="144"/>
      <c r="L42" s="147" t="s">
        <v>258</v>
      </c>
      <c r="M42" s="144"/>
      <c r="N42" s="144"/>
      <c r="O42" s="144"/>
      <c r="P42" s="144"/>
      <c r="Q42" s="144"/>
      <c r="R42" s="144"/>
      <c r="S42" s="144"/>
      <c r="T42" s="144"/>
      <c r="U42" s="144"/>
      <c r="V42" s="144"/>
      <c r="W42" s="144"/>
      <c r="X42" s="144"/>
      <c r="Y42" s="144"/>
      <c r="Z42" s="144"/>
      <c r="AA42" s="144"/>
      <c r="AB42" s="144"/>
      <c r="AC42" s="144"/>
      <c r="AD42" s="144"/>
      <c r="AE42" s="144"/>
      <c r="AF42" s="144"/>
      <c r="AG42" s="145"/>
    </row>
    <row r="43" s="86" customFormat="true" ht="19.5" hidden="false" customHeight="true" outlineLevel="0" collapsed="false">
      <c r="A43" s="146"/>
      <c r="B43" s="146"/>
      <c r="C43" s="146"/>
      <c r="D43" s="146"/>
      <c r="E43" s="146"/>
      <c r="F43" s="146"/>
      <c r="G43" s="148" t="s">
        <v>259</v>
      </c>
      <c r="L43" s="112" t="s">
        <v>260</v>
      </c>
      <c r="AG43" s="149"/>
    </row>
    <row r="44" s="86" customFormat="true" ht="19.5" hidden="false" customHeight="true" outlineLevel="0" collapsed="false">
      <c r="A44" s="146"/>
      <c r="B44" s="146"/>
      <c r="C44" s="146"/>
      <c r="D44" s="146"/>
      <c r="E44" s="146"/>
      <c r="F44" s="146"/>
      <c r="G44" s="150" t="s">
        <v>261</v>
      </c>
      <c r="H44" s="151"/>
      <c r="I44" s="151"/>
      <c r="J44" s="151"/>
      <c r="K44" s="151"/>
      <c r="L44" s="152" t="s">
        <v>262</v>
      </c>
      <c r="M44" s="151"/>
      <c r="N44" s="151"/>
      <c r="O44" s="151"/>
      <c r="P44" s="151"/>
      <c r="Q44" s="151"/>
      <c r="R44" s="151"/>
      <c r="S44" s="151"/>
      <c r="T44" s="151"/>
      <c r="U44" s="151"/>
      <c r="V44" s="151"/>
      <c r="W44" s="151"/>
      <c r="X44" s="151"/>
      <c r="Y44" s="151"/>
      <c r="Z44" s="151"/>
      <c r="AA44" s="151"/>
      <c r="AB44" s="151"/>
      <c r="AC44" s="151"/>
      <c r="AD44" s="151"/>
      <c r="AE44" s="151"/>
      <c r="AF44" s="151"/>
      <c r="AG44" s="153"/>
    </row>
    <row r="45" s="86" customFormat="true" ht="19.5" hidden="false" customHeight="true" outlineLevel="0" collapsed="false">
      <c r="A45" s="146" t="s">
        <v>263</v>
      </c>
      <c r="B45" s="146"/>
      <c r="C45" s="146"/>
      <c r="D45" s="146"/>
      <c r="E45" s="146"/>
      <c r="F45" s="146"/>
      <c r="G45" s="154" t="s">
        <v>264</v>
      </c>
      <c r="H45" s="144"/>
      <c r="I45" s="144"/>
      <c r="J45" s="144"/>
      <c r="K45" s="144"/>
      <c r="L45" s="144" t="s">
        <v>265</v>
      </c>
      <c r="M45" s="144"/>
      <c r="N45" s="144"/>
      <c r="O45" s="144"/>
      <c r="P45" s="144"/>
      <c r="Q45" s="144"/>
      <c r="R45" s="144"/>
      <c r="S45" s="144"/>
      <c r="T45" s="144"/>
      <c r="U45" s="144"/>
      <c r="V45" s="144"/>
      <c r="W45" s="144"/>
      <c r="X45" s="144"/>
      <c r="Y45" s="144"/>
      <c r="Z45" s="144"/>
      <c r="AA45" s="144"/>
      <c r="AB45" s="144"/>
      <c r="AC45" s="144"/>
      <c r="AD45" s="144"/>
      <c r="AE45" s="144"/>
      <c r="AF45" s="144"/>
      <c r="AG45" s="145"/>
    </row>
    <row r="46" s="86" customFormat="true" ht="19.5" hidden="false" customHeight="true" outlineLevel="0" collapsed="false">
      <c r="A46" s="146"/>
      <c r="B46" s="146"/>
      <c r="C46" s="146"/>
      <c r="D46" s="146"/>
      <c r="E46" s="146"/>
      <c r="F46" s="146"/>
      <c r="G46" s="155" t="s">
        <v>266</v>
      </c>
      <c r="H46" s="151"/>
      <c r="I46" s="151"/>
      <c r="J46" s="151"/>
      <c r="K46" s="151"/>
      <c r="L46" s="151" t="s">
        <v>267</v>
      </c>
      <c r="M46" s="151"/>
      <c r="N46" s="151"/>
      <c r="O46" s="151"/>
      <c r="P46" s="151"/>
      <c r="Q46" s="151"/>
      <c r="R46" s="151"/>
      <c r="S46" s="151"/>
      <c r="T46" s="151"/>
      <c r="U46" s="151"/>
      <c r="V46" s="151"/>
      <c r="W46" s="151"/>
      <c r="X46" s="151"/>
      <c r="Y46" s="151"/>
      <c r="Z46" s="151"/>
      <c r="AA46" s="151"/>
      <c r="AB46" s="151"/>
      <c r="AC46" s="151"/>
      <c r="AD46" s="151"/>
      <c r="AE46" s="151"/>
      <c r="AF46" s="151"/>
      <c r="AG46" s="153"/>
    </row>
    <row r="47" s="86" customFormat="true" ht="19.5" hidden="false" customHeight="true" outlineLevel="0" collapsed="false">
      <c r="A47" s="146" t="s">
        <v>268</v>
      </c>
      <c r="B47" s="146"/>
      <c r="C47" s="146"/>
      <c r="D47" s="146"/>
      <c r="E47" s="146"/>
      <c r="F47" s="146"/>
      <c r="G47" s="143" t="s">
        <v>269</v>
      </c>
      <c r="H47" s="144"/>
      <c r="I47" s="144"/>
      <c r="J47" s="144"/>
      <c r="K47" s="144"/>
      <c r="L47" s="144" t="s">
        <v>270</v>
      </c>
      <c r="M47" s="144"/>
      <c r="N47" s="144"/>
      <c r="O47" s="144"/>
      <c r="P47" s="144"/>
      <c r="Q47" s="144"/>
      <c r="R47" s="144"/>
      <c r="S47" s="144"/>
      <c r="T47" s="144"/>
      <c r="U47" s="144"/>
      <c r="V47" s="144"/>
      <c r="W47" s="144"/>
      <c r="X47" s="144"/>
      <c r="Y47" s="144"/>
      <c r="Z47" s="144"/>
      <c r="AA47" s="144"/>
      <c r="AB47" s="144"/>
      <c r="AC47" s="144"/>
      <c r="AD47" s="144"/>
      <c r="AE47" s="144"/>
      <c r="AF47" s="144"/>
      <c r="AG47" s="145"/>
    </row>
    <row r="48" s="86" customFormat="true" ht="19.5" hidden="false" customHeight="true" outlineLevel="0" collapsed="false">
      <c r="A48" s="146"/>
      <c r="B48" s="146"/>
      <c r="C48" s="146"/>
      <c r="D48" s="146"/>
      <c r="E48" s="146"/>
      <c r="F48" s="146"/>
      <c r="G48" s="150" t="s">
        <v>271</v>
      </c>
      <c r="H48" s="151"/>
      <c r="I48" s="151"/>
      <c r="J48" s="151"/>
      <c r="K48" s="151"/>
      <c r="L48" s="151" t="s">
        <v>267</v>
      </c>
      <c r="M48" s="151"/>
      <c r="N48" s="151"/>
      <c r="O48" s="151"/>
      <c r="P48" s="151"/>
      <c r="Q48" s="151"/>
      <c r="R48" s="151"/>
      <c r="S48" s="151"/>
      <c r="T48" s="151"/>
      <c r="U48" s="151"/>
      <c r="V48" s="151"/>
      <c r="W48" s="151"/>
      <c r="X48" s="151"/>
      <c r="Y48" s="151"/>
      <c r="Z48" s="151"/>
      <c r="AA48" s="151"/>
      <c r="AB48" s="151"/>
      <c r="AC48" s="151"/>
      <c r="AD48" s="151"/>
      <c r="AE48" s="151"/>
      <c r="AF48" s="151"/>
      <c r="AG48" s="153"/>
    </row>
    <row r="49" s="86" customFormat="true" ht="19.5" hidden="false" customHeight="true" outlineLevel="0" collapsed="false">
      <c r="A49" s="146" t="s">
        <v>272</v>
      </c>
      <c r="B49" s="146"/>
      <c r="C49" s="146"/>
      <c r="D49" s="146"/>
      <c r="E49" s="146"/>
      <c r="F49" s="146"/>
      <c r="G49" s="143" t="s">
        <v>273</v>
      </c>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5"/>
    </row>
    <row r="50" s="86" customFormat="true" ht="19.5" hidden="false" customHeight="true" outlineLevel="0" collapsed="false">
      <c r="A50" s="146"/>
      <c r="B50" s="146"/>
      <c r="C50" s="146"/>
      <c r="D50" s="146"/>
      <c r="E50" s="146"/>
      <c r="F50" s="146"/>
      <c r="G50" s="150" t="s">
        <v>274</v>
      </c>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3"/>
    </row>
    <row r="51" customFormat="false" ht="19.5" hidden="false" customHeight="true" outlineLevel="0" collapsed="false">
      <c r="A51" s="146" t="s">
        <v>275</v>
      </c>
      <c r="B51" s="146"/>
      <c r="C51" s="146"/>
      <c r="D51" s="146"/>
      <c r="E51" s="146"/>
      <c r="F51" s="146"/>
      <c r="G51" s="143" t="s">
        <v>276</v>
      </c>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c r="AE51" s="144"/>
      <c r="AF51" s="144"/>
      <c r="AG51" s="145"/>
      <c r="AH51" s="135" t="s">
        <v>277</v>
      </c>
      <c r="AI51" s="135"/>
      <c r="AJ51" s="135"/>
      <c r="AK51" s="135"/>
      <c r="AL51" s="135"/>
      <c r="AM51" s="135"/>
      <c r="AN51" s="135"/>
      <c r="AO51" s="135"/>
      <c r="AP51" s="135"/>
      <c r="AQ51" s="135"/>
      <c r="AR51" s="135"/>
      <c r="AS51" s="135"/>
      <c r="AT51" s="135"/>
      <c r="AU51" s="135"/>
      <c r="AV51" s="135"/>
      <c r="AW51" s="135"/>
      <c r="AX51" s="135"/>
      <c r="AY51" s="135"/>
      <c r="AZ51" s="135"/>
      <c r="BA51" s="135"/>
      <c r="BB51" s="135"/>
      <c r="BC51" s="135"/>
      <c r="BD51" s="135"/>
      <c r="BE51" s="135"/>
      <c r="BF51" s="135"/>
      <c r="BG51" s="135"/>
      <c r="BH51" s="135"/>
      <c r="BI51" s="135"/>
      <c r="BJ51" s="135"/>
      <c r="BK51" s="135"/>
      <c r="BL51" s="135"/>
      <c r="BM51" s="135"/>
      <c r="BN51" s="135"/>
      <c r="BO51" s="135"/>
      <c r="BP51" s="135"/>
      <c r="BQ51" s="135"/>
      <c r="BR51" s="135"/>
      <c r="BS51" s="135"/>
      <c r="BT51" s="135"/>
      <c r="BU51" s="135"/>
    </row>
    <row r="52" customFormat="false" ht="19.5" hidden="false" customHeight="true" outlineLevel="0" collapsed="false">
      <c r="A52" s="146"/>
      <c r="B52" s="146"/>
      <c r="C52" s="146"/>
      <c r="D52" s="146"/>
      <c r="E52" s="146"/>
      <c r="F52" s="146"/>
      <c r="G52" s="150" t="s">
        <v>278</v>
      </c>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153"/>
      <c r="AH52" s="135"/>
      <c r="AI52" s="135"/>
      <c r="AJ52" s="135"/>
      <c r="AK52" s="135"/>
      <c r="AL52" s="135"/>
      <c r="AM52" s="135"/>
      <c r="AN52" s="135"/>
      <c r="AO52" s="135"/>
      <c r="AP52" s="135"/>
      <c r="AQ52" s="135"/>
      <c r="AR52" s="135"/>
      <c r="AS52" s="135"/>
      <c r="AT52" s="135"/>
      <c r="AU52" s="135"/>
      <c r="AV52" s="135"/>
      <c r="AW52" s="135"/>
      <c r="AX52" s="135"/>
      <c r="AY52" s="135"/>
      <c r="AZ52" s="135"/>
      <c r="BA52" s="135"/>
      <c r="BB52" s="135"/>
      <c r="BC52" s="135"/>
      <c r="BD52" s="135"/>
      <c r="BE52" s="135"/>
      <c r="BF52" s="135"/>
      <c r="BG52" s="135"/>
      <c r="BH52" s="135"/>
      <c r="BI52" s="135"/>
      <c r="BJ52" s="135"/>
      <c r="BK52" s="135"/>
      <c r="BL52" s="135"/>
      <c r="BM52" s="135"/>
      <c r="BN52" s="135"/>
      <c r="BO52" s="135"/>
      <c r="BP52" s="135"/>
      <c r="BQ52" s="135"/>
      <c r="BR52" s="135"/>
      <c r="BS52" s="135"/>
      <c r="BT52" s="135"/>
      <c r="BU52" s="135"/>
    </row>
    <row r="53" customFormat="false" ht="19.5" hidden="false" customHeight="true" outlineLevel="0" collapsed="false">
      <c r="B53" s="92"/>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c r="BN53" s="101"/>
      <c r="BO53" s="101"/>
      <c r="BP53" s="101"/>
      <c r="BQ53" s="101"/>
      <c r="BR53" s="101"/>
      <c r="BS53" s="101"/>
      <c r="BT53" s="101"/>
      <c r="BU53" s="101"/>
    </row>
    <row r="54" customFormat="false" ht="19.5" hidden="false" customHeight="true" outlineLevel="0" collapsed="false">
      <c r="A54" s="112" t="s">
        <v>279</v>
      </c>
      <c r="B54" s="92"/>
      <c r="F54" s="112" t="s">
        <v>280</v>
      </c>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F54" s="101"/>
      <c r="BG54" s="101"/>
      <c r="BH54" s="101"/>
      <c r="BI54" s="101"/>
      <c r="BJ54" s="101"/>
      <c r="BK54" s="101"/>
      <c r="BL54" s="101"/>
      <c r="BM54" s="101"/>
      <c r="BN54" s="101"/>
      <c r="BO54" s="101"/>
      <c r="BP54" s="101"/>
      <c r="BQ54" s="101"/>
      <c r="BR54" s="101"/>
      <c r="BS54" s="101"/>
      <c r="BT54" s="101"/>
      <c r="BU54" s="101"/>
    </row>
    <row r="55" s="86" customFormat="true" ht="19.5" hidden="false" customHeight="true" outlineLevel="0" collapsed="false">
      <c r="B55" s="156" t="s">
        <v>281</v>
      </c>
    </row>
    <row r="56" s="86" customFormat="true" ht="19.5" hidden="false" customHeight="true" outlineLevel="0" collapsed="false">
      <c r="B56" s="92" t="s">
        <v>282</v>
      </c>
    </row>
    <row r="57" s="86" customFormat="true" ht="17.25" hidden="false" customHeight="true" outlineLevel="0" collapsed="false"/>
    <row r="58" s="86" customFormat="true" ht="18.75" hidden="false" customHeight="true" outlineLevel="0" collapsed="false"/>
    <row r="59" s="86" customFormat="true" ht="18.75" hidden="false" customHeight="true" outlineLevel="0" collapsed="false"/>
    <row r="60" s="86" customFormat="true" ht="18.75" hidden="false" customHeight="true" outlineLevel="0" collapsed="false"/>
    <row r="61" s="86" customFormat="true" ht="18.75" hidden="false" customHeight="true" outlineLevel="0" collapsed="false"/>
    <row r="62" s="86" customFormat="true" ht="18.75" hidden="false" customHeight="true" outlineLevel="0" collapsed="false"/>
    <row r="63" s="86" customFormat="true" ht="18.75" hidden="false" customHeight="true" outlineLevel="0" collapsed="false"/>
    <row r="64" s="86" customFormat="true" ht="18.75" hidden="false" customHeight="true" outlineLevel="0" collapsed="false"/>
    <row r="65" s="86" customFormat="true" ht="18.75" hidden="false" customHeight="true" outlineLevel="0" collapsed="false"/>
    <row r="66" s="86" customFormat="true" ht="18.75" hidden="false" customHeight="true" outlineLevel="0" collapsed="false"/>
    <row r="67" s="86" customFormat="true" ht="18.75" hidden="false" customHeight="true" outlineLevel="0" collapsed="false"/>
    <row r="68" s="86" customFormat="true" ht="18.75" hidden="false" customHeight="true" outlineLevel="0" collapsed="false"/>
    <row r="69" s="86" customFormat="true" ht="18.75" hidden="false" customHeight="true" outlineLevel="0" collapsed="false"/>
    <row r="70" s="86" customFormat="true" ht="18.75" hidden="false" customHeight="true" outlineLevel="0" collapsed="false"/>
    <row r="71" s="86" customFormat="true" ht="18.75" hidden="false" customHeight="true" outlineLevel="0" collapsed="false"/>
    <row r="72" s="86" customFormat="true" ht="18.75" hidden="false" customHeight="true" outlineLevel="0" collapsed="false"/>
    <row r="73" s="86" customFormat="true" ht="18.75" hidden="false" customHeight="true" outlineLevel="0" collapsed="false"/>
    <row r="74" s="86" customFormat="true" ht="18.75" hidden="false" customHeight="true" outlineLevel="0" collapsed="false"/>
    <row r="75" s="86" customFormat="true" ht="18.75" hidden="false" customHeight="true" outlineLevel="0" collapsed="false"/>
    <row r="76" s="86" customFormat="true" ht="18.75" hidden="false" customHeight="true" outlineLevel="0" collapsed="false"/>
    <row r="77" s="86" customFormat="true" ht="18.75" hidden="false" customHeight="true" outlineLevel="0" collapsed="false"/>
    <row r="78" s="86" customFormat="true" ht="18.75" hidden="false" customHeight="true" outlineLevel="0" collapsed="false"/>
    <row r="79" s="86" customFormat="true" ht="18.75" hidden="false" customHeight="true" outlineLevel="0" collapsed="false"/>
    <row r="80" s="86" customFormat="true" ht="18.75" hidden="false" customHeight="true" outlineLevel="0" collapsed="false"/>
    <row r="81" s="86" customFormat="true" ht="18.75" hidden="false" customHeight="true" outlineLevel="0" collapsed="false"/>
    <row r="82" s="86" customFormat="true" ht="18.75" hidden="false" customHeight="true" outlineLevel="0" collapsed="false"/>
    <row r="83" s="86" customFormat="true" ht="18.75" hidden="false" customHeight="true" outlineLevel="0" collapsed="false"/>
    <row r="84" s="86" customFormat="true" ht="18.75" hidden="false" customHeight="true" outlineLevel="0" collapsed="false"/>
    <row r="85" s="86" customFormat="true" ht="18.75" hidden="false" customHeight="true" outlineLevel="0" collapsed="false"/>
  </sheetData>
  <mergeCells count="57">
    <mergeCell ref="A3:E3"/>
    <mergeCell ref="Y3:AC3"/>
    <mergeCell ref="A7:D7"/>
    <mergeCell ref="E7:O7"/>
    <mergeCell ref="P7:U7"/>
    <mergeCell ref="V7:AG7"/>
    <mergeCell ref="A8:D8"/>
    <mergeCell ref="E8:O8"/>
    <mergeCell ref="P8:U8"/>
    <mergeCell ref="V8:AC8"/>
    <mergeCell ref="AD8:AG8"/>
    <mergeCell ref="A9:D9"/>
    <mergeCell ref="E9:O9"/>
    <mergeCell ref="P9:U9"/>
    <mergeCell ref="V9:AG9"/>
    <mergeCell ref="A11:D11"/>
    <mergeCell ref="E11:O11"/>
    <mergeCell ref="P11:U11"/>
    <mergeCell ref="V11:AG11"/>
    <mergeCell ref="A12:D13"/>
    <mergeCell ref="E12:O12"/>
    <mergeCell ref="P12:U12"/>
    <mergeCell ref="V12:AG13"/>
    <mergeCell ref="AH12:BU13"/>
    <mergeCell ref="E13:O13"/>
    <mergeCell ref="P13:U13"/>
    <mergeCell ref="A20:E20"/>
    <mergeCell ref="F20:K20"/>
    <mergeCell ref="L20:S20"/>
    <mergeCell ref="T20:AG20"/>
    <mergeCell ref="A21:E22"/>
    <mergeCell ref="F21:K22"/>
    <mergeCell ref="L21:S21"/>
    <mergeCell ref="T21:AG21"/>
    <mergeCell ref="L22:S22"/>
    <mergeCell ref="T22:AG22"/>
    <mergeCell ref="A27:J27"/>
    <mergeCell ref="K27:U27"/>
    <mergeCell ref="V27:AG27"/>
    <mergeCell ref="A28:J28"/>
    <mergeCell ref="K28:U28"/>
    <mergeCell ref="V28:AG28"/>
    <mergeCell ref="A29:J29"/>
    <mergeCell ref="K29:U29"/>
    <mergeCell ref="V29:AG29"/>
    <mergeCell ref="A34:F35"/>
    <mergeCell ref="A36:F37"/>
    <mergeCell ref="G36:AG37"/>
    <mergeCell ref="AH36:BU37"/>
    <mergeCell ref="A38:F40"/>
    <mergeCell ref="A41:F41"/>
    <mergeCell ref="A42:F44"/>
    <mergeCell ref="A45:F46"/>
    <mergeCell ref="A47:F48"/>
    <mergeCell ref="A49:F50"/>
    <mergeCell ref="A51:F52"/>
    <mergeCell ref="AH51:BU52"/>
  </mergeCells>
  <printOptions headings="false" gridLines="false" gridLinesSet="true" horizontalCentered="true" verticalCentered="false"/>
  <pageMargins left="0.118055555555556" right="0.118055555555556" top="0.354166666666667" bottom="0" header="0.511811023622047" footer="0.315277777777778"/>
  <pageSetup paperSize="9" scale="86" fitToWidth="1" fitToHeight="1" pageOrder="downThenOver" orientation="portrait" blackAndWhite="false" draft="false" cellComments="none" horizontalDpi="300" verticalDpi="300" copies="1"/>
  <headerFooter differentFirst="false" differentOddEven="false">
    <oddHeader/>
    <oddFooter>&amp;R&amp;"BIZ UDPゴシック,Regular"&amp;8 &amp;P</oddFooter>
  </headerFooter>
  <rowBreaks count="1" manualBreakCount="1">
    <brk id="58" man="true" max="16383" min="0"/>
  </rowBreaks>
  <colBreaks count="1" manualBreakCount="1">
    <brk id="33" man="true" max="65535" min="0"/>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8.5390625" defaultRowHeight="13.5" zeroHeight="false" outlineLevelRow="0" outlineLevelCol="0"/>
  <cols>
    <col collapsed="false" customWidth="true" hidden="false" outlineLevel="0" max="1" min="1" style="1" width="10.88"/>
    <col collapsed="false" customWidth="true" hidden="false" outlineLevel="0" max="2" min="2" style="1" width="15.5"/>
    <col collapsed="false" customWidth="true" hidden="false" outlineLevel="0" max="4" min="4" style="1" width="12.75"/>
    <col collapsed="false" customWidth="true" hidden="false" outlineLevel="0" max="5" min="5" style="1" width="10.25"/>
    <col collapsed="false" customWidth="true" hidden="false" outlineLevel="0" max="6" min="6" style="1" width="16.25"/>
  </cols>
  <sheetData>
    <row r="2" customFormat="false" ht="33.75" hidden="false" customHeight="true" outlineLevel="0" collapsed="false">
      <c r="A2" s="157" t="s">
        <v>283</v>
      </c>
    </row>
    <row r="3" customFormat="false" ht="15" hidden="false" customHeight="true" outlineLevel="0" collapsed="false">
      <c r="A3" s="158"/>
    </row>
    <row r="4" s="159" customFormat="true" ht="18" hidden="false" customHeight="true" outlineLevel="0" collapsed="false">
      <c r="E4" s="160" t="s">
        <v>284</v>
      </c>
      <c r="F4" s="161" t="n">
        <f aca="true">TODAY()</f>
        <v>46221</v>
      </c>
    </row>
    <row r="5" s="159" customFormat="true" ht="18" hidden="false" customHeight="true" outlineLevel="0" collapsed="false">
      <c r="E5" s="160" t="s">
        <v>285</v>
      </c>
      <c r="F5" s="162" t="s">
        <v>286</v>
      </c>
    </row>
    <row r="7" customFormat="false" ht="21.75" hidden="false" customHeight="true" outlineLevel="0" collapsed="false">
      <c r="A7" s="163" t="s">
        <v>287</v>
      </c>
      <c r="E7" s="163" t="s">
        <v>288</v>
      </c>
    </row>
    <row r="8" customFormat="false" ht="21.75" hidden="false" customHeight="true" outlineLevel="0" collapsed="false">
      <c r="A8" s="163" t="s">
        <v>289</v>
      </c>
      <c r="C8" s="164" t="s">
        <v>290</v>
      </c>
      <c r="E8" s="163" t="s">
        <v>291</v>
      </c>
    </row>
    <row r="9" customFormat="false" ht="21.75" hidden="false" customHeight="true" outlineLevel="0" collapsed="false">
      <c r="A9" s="163" t="s">
        <v>137</v>
      </c>
      <c r="C9" s="164" t="s">
        <v>292</v>
      </c>
      <c r="E9" s="163" t="s">
        <v>293</v>
      </c>
    </row>
    <row r="10" customFormat="false" ht="21.75" hidden="false" customHeight="true" outlineLevel="0" collapsed="false">
      <c r="A10" s="165" t="s">
        <v>294</v>
      </c>
      <c r="E10" s="166" t="s">
        <v>295</v>
      </c>
    </row>
    <row r="11" customFormat="false" ht="21.75" hidden="false" customHeight="true" outlineLevel="0" collapsed="false">
      <c r="A11" s="165" t="s">
        <v>296</v>
      </c>
      <c r="E11" s="166" t="s">
        <v>297</v>
      </c>
    </row>
  </sheetData>
  <dataValidations count="1">
    <dataValidation allowBlank="true" errorStyle="stop" operator="between" showDropDown="false" showErrorMessage="true" showInputMessage="true" sqref="F5" type="list">
      <formula1>FAX枚数</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88888"/>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7" min="1" style="1" width="14"/>
    <col collapsed="false" customWidth="true" hidden="false" outlineLevel="0" max="8" min="8" style="1" width="16"/>
    <col collapsed="false" customWidth="true" hidden="false" outlineLevel="0" max="9" min="9" style="1" width="40"/>
    <col collapsed="false" customWidth="true" hidden="false" outlineLevel="0" max="10" min="10" style="1" width="10"/>
    <col collapsed="false" customWidth="true" hidden="false" outlineLevel="0" max="11" min="11" style="1" width="14"/>
  </cols>
  <sheetData>
    <row r="1" customFormat="false" ht="15" hidden="false" customHeight="false" outlineLevel="0" collapsed="false">
      <c r="A1" s="7" t="s">
        <v>128</v>
      </c>
      <c r="B1" s="7" t="s">
        <v>136</v>
      </c>
      <c r="C1" s="7" t="s">
        <v>148</v>
      </c>
      <c r="D1" s="7" t="s">
        <v>150</v>
      </c>
      <c r="E1" s="7" t="s">
        <v>298</v>
      </c>
      <c r="F1" s="7" t="s">
        <v>176</v>
      </c>
      <c r="G1" s="7" t="s">
        <v>299</v>
      </c>
      <c r="H1" s="167" t="s">
        <v>300</v>
      </c>
      <c r="J1" s="7" t="s">
        <v>301</v>
      </c>
      <c r="K1" s="7" t="s">
        <v>302</v>
      </c>
    </row>
    <row r="2" customFormat="false" ht="15" hidden="false" customHeight="false" outlineLevel="0" collapsed="false">
      <c r="A2" s="168" t="s">
        <v>303</v>
      </c>
      <c r="B2" s="168" t="s">
        <v>304</v>
      </c>
      <c r="C2" s="168" t="s">
        <v>305</v>
      </c>
      <c r="D2" s="168" t="s">
        <v>306</v>
      </c>
      <c r="E2" s="168" t="s">
        <v>307</v>
      </c>
      <c r="F2" s="168" t="s">
        <v>102</v>
      </c>
      <c r="G2" s="169" t="s">
        <v>308</v>
      </c>
      <c r="H2" s="7" t="s">
        <v>309</v>
      </c>
      <c r="I2" s="170" t="s">
        <v>310</v>
      </c>
      <c r="J2" s="64" t="s">
        <v>311</v>
      </c>
      <c r="K2" s="168" t="s">
        <v>68</v>
      </c>
    </row>
    <row r="3" customFormat="false" ht="15" hidden="false" customHeight="false" outlineLevel="0" collapsed="false">
      <c r="A3" s="168" t="s">
        <v>312</v>
      </c>
      <c r="B3" s="168" t="s">
        <v>313</v>
      </c>
      <c r="C3" s="168" t="s">
        <v>314</v>
      </c>
      <c r="D3" s="168" t="s">
        <v>315</v>
      </c>
      <c r="E3" s="168" t="s">
        <v>316</v>
      </c>
      <c r="F3" s="168" t="s">
        <v>317</v>
      </c>
      <c r="G3" s="169" t="s">
        <v>318</v>
      </c>
      <c r="H3" s="7" t="s">
        <v>319</v>
      </c>
      <c r="I3" s="170" t="s">
        <v>320</v>
      </c>
      <c r="J3" s="64" t="s">
        <v>321</v>
      </c>
      <c r="K3" s="168" t="s">
        <v>322</v>
      </c>
    </row>
    <row r="4" customFormat="false" ht="15" hidden="false" customHeight="false" outlineLevel="0" collapsed="false">
      <c r="A4" s="168" t="s">
        <v>323</v>
      </c>
      <c r="B4" s="168" t="s">
        <v>324</v>
      </c>
      <c r="C4" s="168" t="s">
        <v>68</v>
      </c>
      <c r="D4" s="168" t="s">
        <v>325</v>
      </c>
      <c r="E4" s="168" t="s">
        <v>326</v>
      </c>
      <c r="F4" s="168" t="s">
        <v>327</v>
      </c>
      <c r="G4" s="169" t="s">
        <v>328</v>
      </c>
      <c r="H4" s="7" t="s">
        <v>329</v>
      </c>
      <c r="I4" s="170" t="s">
        <v>330</v>
      </c>
      <c r="J4" s="64" t="s">
        <v>331</v>
      </c>
      <c r="K4" s="168" t="s">
        <v>332</v>
      </c>
    </row>
    <row r="5" customFormat="false" ht="15" hidden="false" customHeight="false" outlineLevel="0" collapsed="false">
      <c r="A5" s="168" t="s">
        <v>333</v>
      </c>
      <c r="B5" s="168" t="s">
        <v>334</v>
      </c>
      <c r="C5" s="168" t="s">
        <v>322</v>
      </c>
      <c r="D5" s="168" t="s">
        <v>335</v>
      </c>
      <c r="E5" s="168" t="s">
        <v>336</v>
      </c>
      <c r="F5" s="168" t="s">
        <v>337</v>
      </c>
      <c r="G5" s="169" t="s">
        <v>338</v>
      </c>
      <c r="H5" s="7" t="s">
        <v>339</v>
      </c>
      <c r="I5" s="170"/>
      <c r="J5" s="64" t="s">
        <v>340</v>
      </c>
      <c r="K5" s="169" t="s">
        <v>341</v>
      </c>
    </row>
    <row r="6" customFormat="false" ht="15" hidden="false" customHeight="false" outlineLevel="0" collapsed="false">
      <c r="A6" s="168" t="s">
        <v>342</v>
      </c>
      <c r="C6" s="169" t="s">
        <v>341</v>
      </c>
      <c r="E6" s="168" t="s">
        <v>343</v>
      </c>
      <c r="F6" s="168" t="s">
        <v>344</v>
      </c>
      <c r="H6" s="7" t="s">
        <v>345</v>
      </c>
      <c r="I6" s="170" t="s">
        <v>346</v>
      </c>
      <c r="J6" s="64" t="s">
        <v>347</v>
      </c>
    </row>
    <row r="7" customFormat="false" ht="15" hidden="false" customHeight="false" outlineLevel="0" collapsed="false">
      <c r="A7" s="168" t="s">
        <v>348</v>
      </c>
      <c r="C7" s="168" t="s">
        <v>332</v>
      </c>
      <c r="F7" s="168" t="s">
        <v>349</v>
      </c>
      <c r="J7" s="64" t="s">
        <v>350</v>
      </c>
    </row>
    <row r="8" customFormat="false" ht="15" hidden="false" customHeight="false" outlineLevel="0" collapsed="false">
      <c r="A8" s="168" t="s">
        <v>351</v>
      </c>
      <c r="H8" s="7" t="s">
        <v>352</v>
      </c>
      <c r="I8" s="170"/>
      <c r="J8" s="64" t="s">
        <v>353</v>
      </c>
    </row>
    <row r="9" customFormat="false" ht="15" hidden="false" customHeight="false" outlineLevel="0" collapsed="false">
      <c r="J9" s="64" t="s">
        <v>354</v>
      </c>
    </row>
    <row r="10" customFormat="false" ht="15" hidden="false" customHeight="false" outlineLevel="0" collapsed="false">
      <c r="J10" s="64" t="s">
        <v>355</v>
      </c>
    </row>
    <row r="11" customFormat="false" ht="15" hidden="false" customHeight="false" outlineLevel="0" collapsed="false">
      <c r="A11" s="171" t="s">
        <v>356</v>
      </c>
      <c r="J11" s="64" t="s">
        <v>357</v>
      </c>
    </row>
    <row r="12" customFormat="false" ht="15" hidden="false" customHeight="false" outlineLevel="0" collapsed="false">
      <c r="J12" s="64" t="s">
        <v>358</v>
      </c>
    </row>
    <row r="13" customFormat="false" ht="15" hidden="false" customHeight="false" outlineLevel="0" collapsed="false">
      <c r="J13" s="64" t="s">
        <v>359</v>
      </c>
    </row>
    <row r="14" customFormat="false" ht="15" hidden="false" customHeight="false" outlineLevel="0" collapsed="false">
      <c r="J14" s="64" t="s">
        <v>360</v>
      </c>
    </row>
    <row r="15" customFormat="false" ht="15" hidden="false" customHeight="false" outlineLevel="0" collapsed="false">
      <c r="J15" s="64" t="s">
        <v>361</v>
      </c>
    </row>
    <row r="16" customFormat="false" ht="15" hidden="false" customHeight="false" outlineLevel="0" collapsed="false">
      <c r="J16" s="64" t="s">
        <v>362</v>
      </c>
    </row>
    <row r="17" customFormat="false" ht="15" hidden="false" customHeight="false" outlineLevel="0" collapsed="false">
      <c r="J17" s="64" t="s">
        <v>363</v>
      </c>
    </row>
    <row r="18" customFormat="false" ht="15" hidden="false" customHeight="false" outlineLevel="0" collapsed="false">
      <c r="J18" s="64" t="s">
        <v>364</v>
      </c>
    </row>
    <row r="19" customFormat="false" ht="15" hidden="false" customHeight="false" outlineLevel="0" collapsed="false">
      <c r="J19" s="64" t="s">
        <v>365</v>
      </c>
    </row>
    <row r="20" customFormat="false" ht="15" hidden="false" customHeight="false" outlineLevel="0" collapsed="false">
      <c r="J20" s="64" t="s">
        <v>366</v>
      </c>
    </row>
    <row r="21" customFormat="false" ht="15" hidden="false" customHeight="false" outlineLevel="0" collapsed="false">
      <c r="J21" s="64" t="s">
        <v>367</v>
      </c>
    </row>
    <row r="22" customFormat="false" ht="15" hidden="false" customHeight="false" outlineLevel="0" collapsed="false">
      <c r="J22" s="64" t="s">
        <v>368</v>
      </c>
    </row>
    <row r="23" customFormat="false" ht="15" hidden="false" customHeight="false" outlineLevel="0" collapsed="false">
      <c r="J23" s="64" t="s">
        <v>369</v>
      </c>
    </row>
    <row r="24" customFormat="false" ht="15" hidden="false" customHeight="false" outlineLevel="0" collapsed="false">
      <c r="J24" s="64" t="s">
        <v>370</v>
      </c>
    </row>
    <row r="25" customFormat="false" ht="15" hidden="false" customHeight="false" outlineLevel="0" collapsed="false">
      <c r="J25" s="64" t="s">
        <v>371</v>
      </c>
    </row>
    <row r="26" customFormat="false" ht="15" hidden="false" customHeight="false" outlineLevel="0" collapsed="false">
      <c r="J26" s="64" t="s">
        <v>372</v>
      </c>
    </row>
    <row r="27" customFormat="false" ht="15" hidden="false" customHeight="false" outlineLevel="0" collapsed="false">
      <c r="J27" s="64" t="s">
        <v>373</v>
      </c>
    </row>
    <row r="28" customFormat="false" ht="15" hidden="false" customHeight="false" outlineLevel="0" collapsed="false">
      <c r="J28" s="64" t="s">
        <v>374</v>
      </c>
    </row>
    <row r="29" customFormat="false" ht="15" hidden="false" customHeight="false" outlineLevel="0" collapsed="false">
      <c r="J29" s="64" t="s">
        <v>375</v>
      </c>
    </row>
    <row r="30" customFormat="false" ht="15" hidden="false" customHeight="false" outlineLevel="0" collapsed="false">
      <c r="J30" s="64" t="s">
        <v>376</v>
      </c>
    </row>
    <row r="31" customFormat="false" ht="15" hidden="false" customHeight="false" outlineLevel="0" collapsed="false">
      <c r="J31" s="64" t="s">
        <v>377</v>
      </c>
    </row>
    <row r="32" customFormat="false" ht="15" hidden="false" customHeight="false" outlineLevel="0" collapsed="false">
      <c r="J32" s="64" t="s">
        <v>378</v>
      </c>
    </row>
    <row r="33" customFormat="false" ht="15" hidden="false" customHeight="false" outlineLevel="0" collapsed="false">
      <c r="J33" s="64" t="s">
        <v>379</v>
      </c>
    </row>
    <row r="34" customFormat="false" ht="15" hidden="false" customHeight="false" outlineLevel="0" collapsed="false">
      <c r="J34" s="64" t="s">
        <v>380</v>
      </c>
    </row>
    <row r="35" customFormat="false" ht="15" hidden="false" customHeight="false" outlineLevel="0" collapsed="false">
      <c r="J35" s="64" t="s">
        <v>381</v>
      </c>
    </row>
    <row r="36" customFormat="false" ht="15" hidden="false" customHeight="false" outlineLevel="0" collapsed="false">
      <c r="J36" s="64" t="s">
        <v>382</v>
      </c>
    </row>
    <row r="37" customFormat="false" ht="15" hidden="false" customHeight="false" outlineLevel="0" collapsed="false">
      <c r="J37" s="64" t="s">
        <v>383</v>
      </c>
    </row>
    <row r="38" customFormat="false" ht="15" hidden="false" customHeight="false" outlineLevel="0" collapsed="false">
      <c r="J38" s="64" t="s">
        <v>384</v>
      </c>
    </row>
    <row r="39" customFormat="false" ht="15" hidden="false" customHeight="false" outlineLevel="0" collapsed="false">
      <c r="J39" s="64" t="s">
        <v>385</v>
      </c>
    </row>
    <row r="40" customFormat="false" ht="15" hidden="false" customHeight="false" outlineLevel="0" collapsed="false">
      <c r="J40" s="64" t="s">
        <v>386</v>
      </c>
    </row>
    <row r="41" customFormat="false" ht="15" hidden="false" customHeight="false" outlineLevel="0" collapsed="false">
      <c r="J41" s="64" t="s">
        <v>387</v>
      </c>
    </row>
    <row r="42" customFormat="false" ht="15" hidden="false" customHeight="false" outlineLevel="0" collapsed="false">
      <c r="J42" s="64" t="s">
        <v>388</v>
      </c>
    </row>
    <row r="43" customFormat="false" ht="15" hidden="false" customHeight="false" outlineLevel="0" collapsed="false">
      <c r="J43" s="64" t="s">
        <v>389</v>
      </c>
    </row>
    <row r="44" customFormat="false" ht="15" hidden="false" customHeight="false" outlineLevel="0" collapsed="false">
      <c r="J44" s="64" t="s">
        <v>390</v>
      </c>
    </row>
    <row r="45" customFormat="false" ht="15" hidden="false" customHeight="false" outlineLevel="0" collapsed="false">
      <c r="J45" s="64" t="s">
        <v>391</v>
      </c>
    </row>
    <row r="46" customFormat="false" ht="15" hidden="false" customHeight="false" outlineLevel="0" collapsed="false">
      <c r="J46" s="64" t="s">
        <v>392</v>
      </c>
    </row>
    <row r="47" customFormat="false" ht="15" hidden="false" customHeight="false" outlineLevel="0" collapsed="false">
      <c r="J47" s="64" t="s">
        <v>393</v>
      </c>
    </row>
    <row r="48" customFormat="false" ht="15" hidden="false" customHeight="false" outlineLevel="0" collapsed="false">
      <c r="J48" s="64" t="s">
        <v>69</v>
      </c>
    </row>
    <row r="49" customFormat="false" ht="15" hidden="false" customHeight="false" outlineLevel="0" collapsed="false">
      <c r="J49" s="64" t="s">
        <v>394</v>
      </c>
    </row>
    <row r="50" customFormat="false" ht="15" hidden="false" customHeight="false" outlineLevel="0" collapsed="false">
      <c r="J50" s="64" t="s">
        <v>395</v>
      </c>
    </row>
    <row r="51" customFormat="false" ht="15" hidden="false" customHeight="false" outlineLevel="0" collapsed="false">
      <c r="J51" s="64" t="s">
        <v>396</v>
      </c>
    </row>
    <row r="52" customFormat="false" ht="15" hidden="false" customHeight="false" outlineLevel="0" collapsed="false">
      <c r="J52" s="64" t="s">
        <v>397</v>
      </c>
    </row>
    <row r="53" customFormat="false" ht="15" hidden="false" customHeight="false" outlineLevel="0" collapsed="false">
      <c r="J53" s="64" t="s">
        <v>398</v>
      </c>
    </row>
    <row r="54" customFormat="false" ht="15" hidden="false" customHeight="false" outlineLevel="0" collapsed="false">
      <c r="J54" s="64" t="s">
        <v>399</v>
      </c>
    </row>
    <row r="55" customFormat="false" ht="15" hidden="false" customHeight="false" outlineLevel="0" collapsed="false">
      <c r="J55" s="64" t="s">
        <v>400</v>
      </c>
    </row>
    <row r="56" customFormat="false" ht="15" hidden="false" customHeight="false" outlineLevel="0" collapsed="false">
      <c r="J56" s="64" t="s">
        <v>401</v>
      </c>
    </row>
    <row r="57" customFormat="false" ht="15" hidden="false" customHeight="false" outlineLevel="0" collapsed="false">
      <c r="J57" s="64" t="s">
        <v>402</v>
      </c>
    </row>
    <row r="58" customFormat="false" ht="15" hidden="false" customHeight="false" outlineLevel="0" collapsed="false">
      <c r="J58" s="64" t="s">
        <v>403</v>
      </c>
    </row>
    <row r="59" customFormat="false" ht="15" hidden="false" customHeight="false" outlineLevel="0" collapsed="false">
      <c r="J59" s="64" t="s">
        <v>404</v>
      </c>
    </row>
    <row r="60" customFormat="false" ht="15" hidden="false" customHeight="false" outlineLevel="0" collapsed="false">
      <c r="J60" s="64" t="s">
        <v>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O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1" activeCellId="0" sqref="I11"/>
    </sheetView>
  </sheetViews>
  <sheetFormatPr defaultColWidth="8.5390625" defaultRowHeight="13.5" zeroHeight="false" outlineLevelRow="0" outlineLevelCol="0"/>
  <cols>
    <col collapsed="false" customWidth="true" hidden="false" outlineLevel="0" max="1" min="1" style="1" width="53.88"/>
    <col collapsed="false" customWidth="true" hidden="false" outlineLevel="0" max="2" min="2" style="1" width="12.38"/>
    <col collapsed="false" customWidth="true" hidden="false" outlineLevel="0" max="9" min="9" style="1" width="29.88"/>
    <col collapsed="false" customWidth="true" hidden="false" outlineLevel="0" max="15" min="15" style="1" width="30.25"/>
  </cols>
  <sheetData>
    <row r="2" customFormat="false" ht="24" hidden="false" customHeight="true" outlineLevel="0" collapsed="false">
      <c r="A2" s="172" t="s">
        <v>406</v>
      </c>
      <c r="B2" s="173"/>
      <c r="C2" s="173"/>
      <c r="D2" s="173"/>
      <c r="E2" s="173"/>
      <c r="F2" s="173"/>
      <c r="G2" s="173"/>
      <c r="H2" s="173"/>
      <c r="I2" s="173"/>
      <c r="J2" s="173"/>
      <c r="K2" s="173"/>
      <c r="L2" s="173"/>
      <c r="M2" s="173"/>
      <c r="N2" s="173"/>
      <c r="O2" s="173"/>
    </row>
    <row r="3" customFormat="false" ht="27" hidden="false" customHeight="true" outlineLevel="0" collapsed="false">
      <c r="A3" s="174" t="s">
        <v>407</v>
      </c>
      <c r="B3" s="175" t="s">
        <v>408</v>
      </c>
      <c r="C3" s="175"/>
      <c r="D3" s="176" t="s">
        <v>409</v>
      </c>
      <c r="E3" s="176"/>
      <c r="F3" s="176"/>
      <c r="G3" s="176"/>
      <c r="H3" s="176"/>
      <c r="I3" s="176"/>
      <c r="J3" s="177" t="s">
        <v>410</v>
      </c>
      <c r="K3" s="177"/>
      <c r="L3" s="177"/>
      <c r="M3" s="177"/>
      <c r="N3" s="177"/>
      <c r="O3" s="177"/>
    </row>
    <row r="4" customFormat="false" ht="27" hidden="false" customHeight="true" outlineLevel="0" collapsed="false">
      <c r="A4" s="174"/>
      <c r="B4" s="175"/>
      <c r="C4" s="175"/>
      <c r="D4" s="178" t="s">
        <v>411</v>
      </c>
      <c r="E4" s="179" t="s">
        <v>412</v>
      </c>
      <c r="F4" s="179" t="s">
        <v>413</v>
      </c>
      <c r="G4" s="180" t="s">
        <v>414</v>
      </c>
      <c r="H4" s="179" t="s">
        <v>415</v>
      </c>
      <c r="I4" s="181" t="s">
        <v>416</v>
      </c>
      <c r="J4" s="182" t="s">
        <v>411</v>
      </c>
      <c r="K4" s="183" t="s">
        <v>412</v>
      </c>
      <c r="L4" s="183" t="s">
        <v>413</v>
      </c>
      <c r="M4" s="184" t="s">
        <v>414</v>
      </c>
      <c r="N4" s="183" t="s">
        <v>415</v>
      </c>
      <c r="O4" s="185" t="s">
        <v>416</v>
      </c>
    </row>
    <row r="5" customFormat="false" ht="27" hidden="false" customHeight="true" outlineLevel="0" collapsed="false">
      <c r="A5" s="186" t="s">
        <v>417</v>
      </c>
      <c r="B5" s="187" t="s">
        <v>418</v>
      </c>
      <c r="C5" s="188" t="s">
        <v>419</v>
      </c>
      <c r="D5" s="189" t="s">
        <v>420</v>
      </c>
      <c r="E5" s="190" t="n">
        <v>4000</v>
      </c>
      <c r="F5" s="191" t="n">
        <v>4400</v>
      </c>
      <c r="G5" s="192"/>
      <c r="H5" s="193" t="n">
        <v>1</v>
      </c>
      <c r="I5" s="194" t="s">
        <v>421</v>
      </c>
      <c r="J5" s="195" t="s">
        <v>422</v>
      </c>
      <c r="K5" s="196" t="n">
        <v>3200</v>
      </c>
      <c r="L5" s="191" t="n">
        <v>3520</v>
      </c>
      <c r="M5" s="192"/>
      <c r="N5" s="193" t="n">
        <v>0.8</v>
      </c>
      <c r="O5" s="194" t="s">
        <v>423</v>
      </c>
    </row>
    <row r="6" customFormat="false" ht="27" hidden="false" customHeight="true" outlineLevel="0" collapsed="false">
      <c r="A6" s="197" t="s">
        <v>424</v>
      </c>
      <c r="B6" s="187"/>
      <c r="C6" s="198" t="s">
        <v>425</v>
      </c>
      <c r="D6" s="199" t="s">
        <v>426</v>
      </c>
      <c r="E6" s="200" t="n">
        <v>6300</v>
      </c>
      <c r="F6" s="201" t="n">
        <v>6930</v>
      </c>
      <c r="G6" s="202"/>
      <c r="H6" s="203" t="n">
        <v>1.08620689655172</v>
      </c>
      <c r="I6" s="204" t="s">
        <v>427</v>
      </c>
      <c r="J6" s="205" t="s">
        <v>428</v>
      </c>
      <c r="K6" s="206" t="n">
        <v>4800</v>
      </c>
      <c r="L6" s="201" t="n">
        <v>5280</v>
      </c>
      <c r="M6" s="202"/>
      <c r="N6" s="203" t="n">
        <v>0.827586206896552</v>
      </c>
      <c r="O6" s="204" t="s">
        <v>429</v>
      </c>
    </row>
    <row r="7" customFormat="false" ht="27" hidden="false" customHeight="true" outlineLevel="0" collapsed="false">
      <c r="A7" s="197"/>
      <c r="B7" s="207" t="s">
        <v>430</v>
      </c>
      <c r="C7" s="208" t="s">
        <v>419</v>
      </c>
      <c r="D7" s="209" t="s">
        <v>431</v>
      </c>
      <c r="E7" s="210" t="n">
        <v>2400</v>
      </c>
      <c r="F7" s="211" t="n">
        <v>2640</v>
      </c>
      <c r="G7" s="212"/>
      <c r="H7" s="213" t="n">
        <v>1.09090909090909</v>
      </c>
      <c r="I7" s="214" t="s">
        <v>432</v>
      </c>
      <c r="J7" s="215" t="s">
        <v>433</v>
      </c>
      <c r="K7" s="216" t="n">
        <v>2000</v>
      </c>
      <c r="L7" s="211" t="n">
        <v>2200</v>
      </c>
      <c r="M7" s="212"/>
      <c r="N7" s="213" t="n">
        <v>0.909090909090909</v>
      </c>
      <c r="O7" s="214" t="s">
        <v>434</v>
      </c>
    </row>
    <row r="8" customFormat="false" ht="27" hidden="false" customHeight="true" outlineLevel="0" collapsed="false">
      <c r="A8" s="197"/>
      <c r="B8" s="207"/>
      <c r="C8" s="217" t="s">
        <v>425</v>
      </c>
      <c r="D8" s="218" t="s">
        <v>435</v>
      </c>
      <c r="E8" s="219" t="n">
        <v>3500</v>
      </c>
      <c r="F8" s="220" t="n">
        <v>3850</v>
      </c>
      <c r="G8" s="221"/>
      <c r="H8" s="222" t="n">
        <v>0.945945945945946</v>
      </c>
      <c r="I8" s="223" t="s">
        <v>436</v>
      </c>
      <c r="J8" s="224" t="s">
        <v>437</v>
      </c>
      <c r="K8" s="225" t="n">
        <v>3000</v>
      </c>
      <c r="L8" s="220" t="n">
        <v>3300</v>
      </c>
      <c r="M8" s="221"/>
      <c r="N8" s="222" t="n">
        <v>0.810810810810811</v>
      </c>
      <c r="O8" s="223" t="s">
        <v>438</v>
      </c>
    </row>
    <row r="9" customFormat="false" ht="27" hidden="false" customHeight="true" outlineLevel="0" collapsed="false">
      <c r="A9" s="226" t="s">
        <v>439</v>
      </c>
      <c r="B9" s="227" t="s">
        <v>418</v>
      </c>
      <c r="C9" s="228" t="s">
        <v>419</v>
      </c>
      <c r="D9" s="209" t="s">
        <v>440</v>
      </c>
      <c r="E9" s="210" t="n">
        <v>3500</v>
      </c>
      <c r="F9" s="229" t="n">
        <v>3850</v>
      </c>
      <c r="G9" s="230" t="n">
        <v>0.875</v>
      </c>
      <c r="H9" s="231" t="n">
        <v>0.964187327823691</v>
      </c>
      <c r="I9" s="232" t="s">
        <v>441</v>
      </c>
      <c r="J9" s="215" t="s">
        <v>442</v>
      </c>
      <c r="K9" s="216" t="n">
        <v>2800</v>
      </c>
      <c r="L9" s="211" t="n">
        <v>3080</v>
      </c>
      <c r="M9" s="212" t="n">
        <v>0.875</v>
      </c>
      <c r="N9" s="213" t="n">
        <v>0.771349862258953</v>
      </c>
      <c r="O9" s="214" t="s">
        <v>443</v>
      </c>
    </row>
    <row r="10" customFormat="false" ht="27" hidden="false" customHeight="true" outlineLevel="0" collapsed="false">
      <c r="A10" s="233" t="s">
        <v>444</v>
      </c>
      <c r="B10" s="227"/>
      <c r="C10" s="198" t="s">
        <v>425</v>
      </c>
      <c r="D10" s="199" t="s">
        <v>445</v>
      </c>
      <c r="E10" s="200" t="n">
        <v>5200</v>
      </c>
      <c r="F10" s="234" t="n">
        <v>5720</v>
      </c>
      <c r="G10" s="235" t="n">
        <v>0.825396825396825</v>
      </c>
      <c r="H10" s="236" t="n">
        <v>0.984848484848485</v>
      </c>
      <c r="I10" s="237" t="s">
        <v>446</v>
      </c>
      <c r="J10" s="205" t="s">
        <v>447</v>
      </c>
      <c r="K10" s="206" t="n">
        <v>4000</v>
      </c>
      <c r="L10" s="201" t="n">
        <v>4400</v>
      </c>
      <c r="M10" s="202" t="n">
        <v>0.833333333333333</v>
      </c>
      <c r="N10" s="203" t="n">
        <v>0.757575757575758</v>
      </c>
      <c r="O10" s="204" t="s">
        <v>448</v>
      </c>
    </row>
    <row r="11" customFormat="false" ht="27" hidden="false" customHeight="true" outlineLevel="0" collapsed="false">
      <c r="A11" s="233"/>
      <c r="B11" s="207" t="s">
        <v>430</v>
      </c>
      <c r="C11" s="208" t="s">
        <v>419</v>
      </c>
      <c r="D11" s="209" t="s">
        <v>449</v>
      </c>
      <c r="E11" s="210" t="n">
        <v>2000</v>
      </c>
      <c r="F11" s="229" t="n">
        <v>2200</v>
      </c>
      <c r="G11" s="230" t="n">
        <v>0.833333333333333</v>
      </c>
      <c r="H11" s="231" t="n">
        <v>1.06951871657754</v>
      </c>
      <c r="I11" s="232" t="s">
        <v>450</v>
      </c>
      <c r="J11" s="215" t="s">
        <v>451</v>
      </c>
      <c r="K11" s="216" t="n">
        <v>1700</v>
      </c>
      <c r="L11" s="211" t="n">
        <v>1870</v>
      </c>
      <c r="M11" s="212" t="n">
        <v>0.85</v>
      </c>
      <c r="N11" s="213" t="n">
        <v>0.909090909090909</v>
      </c>
      <c r="O11" s="214" t="s">
        <v>452</v>
      </c>
    </row>
    <row r="12" customFormat="false" ht="27" hidden="false" customHeight="true" outlineLevel="0" collapsed="false">
      <c r="A12" s="233"/>
      <c r="B12" s="207"/>
      <c r="C12" s="228" t="s">
        <v>425</v>
      </c>
      <c r="D12" s="238" t="s">
        <v>453</v>
      </c>
      <c r="E12" s="210" t="n">
        <v>3000</v>
      </c>
      <c r="F12" s="239" t="n">
        <v>3300</v>
      </c>
      <c r="G12" s="240" t="n">
        <v>0.857142857142857</v>
      </c>
      <c r="H12" s="241" t="n">
        <v>0.909090909090909</v>
      </c>
      <c r="I12" s="242" t="s">
        <v>454</v>
      </c>
      <c r="J12" s="243" t="s">
        <v>455</v>
      </c>
      <c r="K12" s="216" t="n">
        <v>2500</v>
      </c>
      <c r="L12" s="244" t="n">
        <v>2750</v>
      </c>
      <c r="M12" s="245" t="n">
        <v>0.833333333333333</v>
      </c>
      <c r="N12" s="246" t="n">
        <v>0.757575757575758</v>
      </c>
      <c r="O12" s="247" t="s">
        <v>456</v>
      </c>
    </row>
    <row r="13" customFormat="false" ht="27" hidden="false" customHeight="true" outlineLevel="0" collapsed="false">
      <c r="A13" s="186" t="s">
        <v>457</v>
      </c>
      <c r="B13" s="187" t="s">
        <v>418</v>
      </c>
      <c r="C13" s="188" t="s">
        <v>419</v>
      </c>
      <c r="D13" s="189" t="s">
        <v>458</v>
      </c>
      <c r="E13" s="190" t="n">
        <v>3000</v>
      </c>
      <c r="F13" s="248" t="n">
        <v>3300</v>
      </c>
      <c r="G13" s="249" t="n">
        <v>0.75</v>
      </c>
      <c r="H13" s="250" t="n">
        <v>0.974025974025974</v>
      </c>
      <c r="I13" s="251" t="s">
        <v>459</v>
      </c>
      <c r="J13" s="195" t="s">
        <v>460</v>
      </c>
      <c r="K13" s="196" t="n">
        <v>2500</v>
      </c>
      <c r="L13" s="191" t="n">
        <v>2750</v>
      </c>
      <c r="M13" s="192" t="n">
        <v>0.78125</v>
      </c>
      <c r="N13" s="193" t="n">
        <v>0.811688311688312</v>
      </c>
      <c r="O13" s="194" t="s">
        <v>461</v>
      </c>
    </row>
    <row r="14" customFormat="false" ht="27" hidden="false" customHeight="true" outlineLevel="0" collapsed="false">
      <c r="A14" s="252" t="s">
        <v>462</v>
      </c>
      <c r="B14" s="187"/>
      <c r="C14" s="198" t="s">
        <v>425</v>
      </c>
      <c r="D14" s="199" t="s">
        <v>463</v>
      </c>
      <c r="E14" s="200" t="n">
        <v>4800</v>
      </c>
      <c r="F14" s="234" t="n">
        <v>5280</v>
      </c>
      <c r="G14" s="235" t="n">
        <v>0.761904761904762</v>
      </c>
      <c r="H14" s="236" t="n">
        <v>1</v>
      </c>
      <c r="I14" s="237" t="s">
        <v>464</v>
      </c>
      <c r="J14" s="205" t="s">
        <v>465</v>
      </c>
      <c r="K14" s="206" t="n">
        <v>3700</v>
      </c>
      <c r="L14" s="201" t="n">
        <v>4070</v>
      </c>
      <c r="M14" s="202" t="n">
        <v>0.770833333333333</v>
      </c>
      <c r="N14" s="203" t="n">
        <v>0.770833333333333</v>
      </c>
      <c r="O14" s="204" t="s">
        <v>466</v>
      </c>
    </row>
    <row r="15" customFormat="false" ht="27" hidden="false" customHeight="true" outlineLevel="0" collapsed="false">
      <c r="A15" s="252"/>
      <c r="B15" s="207" t="s">
        <v>430</v>
      </c>
      <c r="C15" s="208" t="s">
        <v>419</v>
      </c>
      <c r="D15" s="209" t="s">
        <v>467</v>
      </c>
      <c r="E15" s="210" t="n">
        <v>1700</v>
      </c>
      <c r="F15" s="229" t="n">
        <v>1870</v>
      </c>
      <c r="G15" s="230" t="n">
        <v>0.708333333333333</v>
      </c>
      <c r="H15" s="231" t="n">
        <v>1.1038961038961</v>
      </c>
      <c r="I15" s="232" t="s">
        <v>468</v>
      </c>
      <c r="J15" s="215" t="s">
        <v>469</v>
      </c>
      <c r="K15" s="216" t="n">
        <v>1500</v>
      </c>
      <c r="L15" s="211" t="n">
        <v>1650</v>
      </c>
      <c r="M15" s="212" t="n">
        <v>0.75</v>
      </c>
      <c r="N15" s="213" t="n">
        <v>0.974025974025974</v>
      </c>
      <c r="O15" s="214" t="s">
        <v>470</v>
      </c>
    </row>
    <row r="16" customFormat="false" ht="27" hidden="false" customHeight="true" outlineLevel="0" collapsed="false">
      <c r="A16" s="252"/>
      <c r="B16" s="207"/>
      <c r="C16" s="217" t="s">
        <v>425</v>
      </c>
      <c r="D16" s="218" t="s">
        <v>471</v>
      </c>
      <c r="E16" s="219" t="n">
        <v>2800</v>
      </c>
      <c r="F16" s="253" t="n">
        <v>3080</v>
      </c>
      <c r="G16" s="254" t="n">
        <v>0.8</v>
      </c>
      <c r="H16" s="255" t="n">
        <v>0.933333333333333</v>
      </c>
      <c r="I16" s="256" t="s">
        <v>472</v>
      </c>
      <c r="J16" s="224" t="s">
        <v>473</v>
      </c>
      <c r="K16" s="225" t="n">
        <v>2100</v>
      </c>
      <c r="L16" s="220" t="n">
        <v>2310</v>
      </c>
      <c r="M16" s="221" t="n">
        <v>0.7</v>
      </c>
      <c r="N16" s="222" t="n">
        <v>0.7</v>
      </c>
      <c r="O16" s="223" t="s">
        <v>474</v>
      </c>
    </row>
    <row r="17" customFormat="false" ht="27" hidden="false" customHeight="true" outlineLevel="0" collapsed="false">
      <c r="A17" s="257" t="s">
        <v>475</v>
      </c>
      <c r="B17" s="227" t="s">
        <v>418</v>
      </c>
      <c r="C17" s="228" t="s">
        <v>419</v>
      </c>
      <c r="D17" s="209" t="s">
        <v>476</v>
      </c>
      <c r="E17" s="210" t="n">
        <v>2400</v>
      </c>
      <c r="F17" s="211" t="n">
        <v>2640</v>
      </c>
      <c r="G17" s="212" t="n">
        <v>0.6</v>
      </c>
      <c r="H17" s="213" t="n">
        <v>1.09090909090909</v>
      </c>
      <c r="I17" s="214" t="s">
        <v>477</v>
      </c>
      <c r="J17" s="215" t="s">
        <v>478</v>
      </c>
      <c r="K17" s="216" t="n">
        <v>2000</v>
      </c>
      <c r="L17" s="211" t="n">
        <v>2200</v>
      </c>
      <c r="M17" s="212" t="n">
        <v>0.625</v>
      </c>
      <c r="N17" s="213" t="n">
        <v>0.909090909090909</v>
      </c>
      <c r="O17" s="214" t="s">
        <v>479</v>
      </c>
    </row>
    <row r="18" customFormat="false" ht="27" hidden="false" customHeight="true" outlineLevel="0" collapsed="false">
      <c r="A18" s="257"/>
      <c r="B18" s="227"/>
      <c r="C18" s="198" t="s">
        <v>425</v>
      </c>
      <c r="D18" s="199" t="s">
        <v>480</v>
      </c>
      <c r="E18" s="200" t="n">
        <v>3500</v>
      </c>
      <c r="F18" s="201" t="n">
        <v>3850</v>
      </c>
      <c r="G18" s="202" t="n">
        <v>0.555555555555556</v>
      </c>
      <c r="H18" s="203" t="n">
        <v>0.897435897435898</v>
      </c>
      <c r="I18" s="204" t="s">
        <v>481</v>
      </c>
      <c r="J18" s="205" t="s">
        <v>482</v>
      </c>
      <c r="K18" s="206" t="n">
        <v>3000</v>
      </c>
      <c r="L18" s="201" t="n">
        <v>3300</v>
      </c>
      <c r="M18" s="202" t="n">
        <v>0.625</v>
      </c>
      <c r="N18" s="203" t="n">
        <v>0.769230769230769</v>
      </c>
      <c r="O18" s="204" t="s">
        <v>483</v>
      </c>
    </row>
    <row r="19" customFormat="false" ht="27" hidden="false" customHeight="true" outlineLevel="0" collapsed="false">
      <c r="A19" s="257"/>
      <c r="B19" s="207" t="s">
        <v>430</v>
      </c>
      <c r="C19" s="208" t="s">
        <v>419</v>
      </c>
      <c r="D19" s="209" t="s">
        <v>484</v>
      </c>
      <c r="E19" s="210" t="n">
        <v>1500</v>
      </c>
      <c r="F19" s="211" t="n">
        <v>1650</v>
      </c>
      <c r="G19" s="212" t="n">
        <v>0.625</v>
      </c>
      <c r="H19" s="213"/>
      <c r="I19" s="214" t="s">
        <v>485</v>
      </c>
      <c r="J19" s="215" t="s">
        <v>486</v>
      </c>
      <c r="K19" s="216" t="n">
        <v>1100</v>
      </c>
      <c r="L19" s="211" t="n">
        <v>1210</v>
      </c>
      <c r="M19" s="212" t="n">
        <v>0.55</v>
      </c>
      <c r="N19" s="213"/>
      <c r="O19" s="214" t="s">
        <v>487</v>
      </c>
    </row>
    <row r="20" customFormat="false" ht="27" hidden="false" customHeight="true" outlineLevel="0" collapsed="false">
      <c r="A20" s="257"/>
      <c r="B20" s="207"/>
      <c r="C20" s="217" t="s">
        <v>425</v>
      </c>
      <c r="D20" s="218" t="s">
        <v>488</v>
      </c>
      <c r="E20" s="219" t="n">
        <v>2500</v>
      </c>
      <c r="F20" s="220" t="n">
        <v>2750</v>
      </c>
      <c r="G20" s="221" t="n">
        <v>0.714285714285714</v>
      </c>
      <c r="H20" s="222"/>
      <c r="I20" s="223" t="s">
        <v>489</v>
      </c>
      <c r="J20" s="224" t="s">
        <v>490</v>
      </c>
      <c r="K20" s="225" t="n">
        <v>1650</v>
      </c>
      <c r="L20" s="220" t="n">
        <v>1815</v>
      </c>
      <c r="M20" s="221" t="n">
        <v>0.55</v>
      </c>
      <c r="N20" s="222"/>
      <c r="O20" s="223" t="s">
        <v>491</v>
      </c>
    </row>
  </sheetData>
  <mergeCells count="16">
    <mergeCell ref="A3:A4"/>
    <mergeCell ref="B3:C4"/>
    <mergeCell ref="D3:I3"/>
    <mergeCell ref="J3:O3"/>
    <mergeCell ref="B5:B6"/>
    <mergeCell ref="A6:A8"/>
    <mergeCell ref="B7:B8"/>
    <mergeCell ref="B9:B10"/>
    <mergeCell ref="A10:A12"/>
    <mergeCell ref="B11:B12"/>
    <mergeCell ref="B13:B14"/>
    <mergeCell ref="A14:A16"/>
    <mergeCell ref="B15:B16"/>
    <mergeCell ref="A17:A20"/>
    <mergeCell ref="B17:B18"/>
    <mergeCell ref="B19:B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87890625" defaultRowHeight="13.5" zeroHeight="false" outlineLevelRow="0" outlineLevelCol="0"/>
  <cols>
    <col collapsed="false" customWidth="true" hidden="false" outlineLevel="0" max="1" min="1" style="1" width="21.38"/>
    <col collapsed="false" customWidth="true" hidden="false" outlineLevel="0" max="2" min="2" style="1" width="15.88"/>
    <col collapsed="false" customWidth="true" hidden="false" outlineLevel="0" max="4" min="4" style="1" width="10.88"/>
    <col collapsed="false" customWidth="true" hidden="false" outlineLevel="0" max="6" min="5" style="1" width="13.63"/>
    <col collapsed="false" customWidth="true" hidden="false" outlineLevel="0" max="7" min="7" style="258" width="13.63"/>
    <col collapsed="false" customWidth="true" hidden="false" outlineLevel="0" max="8" min="8" style="1" width="13.63"/>
    <col collapsed="false" customWidth="true" hidden="false" outlineLevel="0" max="9" min="9" style="258" width="13.63"/>
    <col collapsed="false" customWidth="true" hidden="false" outlineLevel="0" max="10" min="10" style="258" width="21"/>
    <col collapsed="false" customWidth="true" hidden="false" outlineLevel="0" max="11" min="11" style="258" width="24.25"/>
    <col collapsed="false" customWidth="true" hidden="false" outlineLevel="0" max="12" min="12" style="1" width="12.13"/>
    <col collapsed="false" customWidth="true" hidden="false" outlineLevel="0" max="13" min="13" style="1" width="24"/>
  </cols>
  <sheetData>
    <row r="2" customFormat="false" ht="13.5" hidden="false" customHeight="false" outlineLevel="0" collapsed="false">
      <c r="A2" s="259" t="s">
        <v>492</v>
      </c>
      <c r="B2" s="259" t="s">
        <v>493</v>
      </c>
      <c r="C2" s="259" t="s">
        <v>299</v>
      </c>
      <c r="D2" s="259" t="s">
        <v>494</v>
      </c>
      <c r="E2" s="259" t="s">
        <v>495</v>
      </c>
      <c r="F2" s="259" t="s">
        <v>496</v>
      </c>
      <c r="G2" s="259" t="s">
        <v>497</v>
      </c>
      <c r="H2" s="259" t="s">
        <v>498</v>
      </c>
      <c r="I2" s="259" t="s">
        <v>499</v>
      </c>
      <c r="J2" s="259" t="s">
        <v>302</v>
      </c>
      <c r="K2" s="259" t="s">
        <v>213</v>
      </c>
      <c r="L2" s="259" t="s">
        <v>500</v>
      </c>
      <c r="M2" s="259" t="s">
        <v>501</v>
      </c>
    </row>
    <row r="3" customFormat="false" ht="13.5" hidden="false" customHeight="false" outlineLevel="0" collapsed="false">
      <c r="A3" s="260" t="s">
        <v>502</v>
      </c>
      <c r="B3" s="260"/>
      <c r="C3" s="260"/>
      <c r="D3" s="260"/>
      <c r="E3" s="260"/>
      <c r="F3" s="260"/>
      <c r="G3" s="260"/>
      <c r="H3" s="260"/>
      <c r="I3" s="260"/>
      <c r="J3" s="260"/>
      <c r="K3" s="260"/>
      <c r="L3" s="260"/>
      <c r="M3" s="260"/>
    </row>
    <row r="4" customFormat="false" ht="14.9" hidden="false" customHeight="false" outlineLevel="0" collapsed="false">
      <c r="A4" s="260" t="s">
        <v>503</v>
      </c>
      <c r="B4" s="259" t="s">
        <v>504</v>
      </c>
      <c r="C4" s="260" t="s">
        <v>308</v>
      </c>
      <c r="D4" s="259" t="s">
        <v>304</v>
      </c>
      <c r="E4" s="259" t="s">
        <v>505</v>
      </c>
      <c r="F4" s="260" t="n">
        <v>1500</v>
      </c>
      <c r="G4" s="259" t="s">
        <v>68</v>
      </c>
      <c r="H4" s="260" t="n">
        <v>3000</v>
      </c>
      <c r="I4" s="261" t="s">
        <v>502</v>
      </c>
      <c r="J4" s="259" t="s">
        <v>68</v>
      </c>
      <c r="K4" s="259" t="s">
        <v>506</v>
      </c>
      <c r="L4" s="259" t="s">
        <v>507</v>
      </c>
      <c r="M4" s="260" t="s">
        <v>508</v>
      </c>
    </row>
    <row r="5" customFormat="false" ht="14.9" hidden="false" customHeight="false" outlineLevel="0" collapsed="false">
      <c r="A5" s="260" t="s">
        <v>509</v>
      </c>
      <c r="B5" s="260" t="s">
        <v>510</v>
      </c>
      <c r="C5" s="260" t="s">
        <v>318</v>
      </c>
      <c r="D5" s="259" t="s">
        <v>313</v>
      </c>
      <c r="E5" s="259" t="s">
        <v>511</v>
      </c>
      <c r="F5" s="260" t="n">
        <v>2200</v>
      </c>
      <c r="G5" s="259" t="s">
        <v>322</v>
      </c>
      <c r="H5" s="260" t="n">
        <v>3900</v>
      </c>
      <c r="I5" s="262" t="n">
        <v>0.708333333333333</v>
      </c>
      <c r="J5" s="259" t="s">
        <v>322</v>
      </c>
      <c r="K5" s="259" t="s">
        <v>223</v>
      </c>
      <c r="L5" s="259" t="s">
        <v>512</v>
      </c>
      <c r="M5" s="260" t="s">
        <v>513</v>
      </c>
    </row>
    <row r="6" customFormat="false" ht="14.9" hidden="false" customHeight="false" outlineLevel="0" collapsed="false">
      <c r="A6" s="260" t="s">
        <v>514</v>
      </c>
      <c r="B6" s="260" t="s">
        <v>515</v>
      </c>
      <c r="C6" s="260" t="s">
        <v>328</v>
      </c>
      <c r="D6" s="259" t="s">
        <v>324</v>
      </c>
      <c r="E6" s="259" t="s">
        <v>516</v>
      </c>
      <c r="F6" s="260" t="n">
        <v>2800</v>
      </c>
      <c r="G6" s="259" t="s">
        <v>517</v>
      </c>
      <c r="H6" s="260" t="n">
        <v>4800</v>
      </c>
      <c r="I6" s="262" t="n">
        <v>0.71875</v>
      </c>
      <c r="J6" s="260" t="s">
        <v>341</v>
      </c>
      <c r="K6" s="259" t="s">
        <v>518</v>
      </c>
      <c r="L6" s="259" t="s">
        <v>519</v>
      </c>
      <c r="M6" s="259" t="s">
        <v>520</v>
      </c>
    </row>
    <row r="7" customFormat="false" ht="13.5" hidden="false" customHeight="false" outlineLevel="0" collapsed="false">
      <c r="A7" s="260" t="s">
        <v>521</v>
      </c>
      <c r="B7" s="260"/>
      <c r="C7" s="260" t="s">
        <v>338</v>
      </c>
      <c r="D7" s="259" t="s">
        <v>334</v>
      </c>
      <c r="E7" s="260"/>
      <c r="F7" s="260"/>
      <c r="G7" s="260"/>
      <c r="H7" s="260"/>
      <c r="I7" s="262" t="n">
        <v>0.729166666666667</v>
      </c>
      <c r="J7" s="259" t="s">
        <v>332</v>
      </c>
      <c r="K7" s="259" t="s">
        <v>522</v>
      </c>
      <c r="L7" s="260"/>
      <c r="M7" s="259" t="s">
        <v>523</v>
      </c>
    </row>
    <row r="8" customFormat="false" ht="13.5" hidden="false" customHeight="false" outlineLevel="0" collapsed="false">
      <c r="A8" s="260" t="s">
        <v>524</v>
      </c>
      <c r="B8" s="260"/>
      <c r="C8" s="260"/>
      <c r="D8" s="260"/>
      <c r="E8" s="260"/>
      <c r="F8" s="260"/>
      <c r="G8" s="260"/>
      <c r="H8" s="260"/>
      <c r="I8" s="262" t="n">
        <v>0.739583333333333</v>
      </c>
      <c r="J8" s="260"/>
      <c r="K8" s="260"/>
      <c r="L8" s="260"/>
      <c r="M8" s="260"/>
    </row>
    <row r="9" customFormat="false" ht="13.5" hidden="false" customHeight="false" outlineLevel="0" collapsed="false">
      <c r="A9" s="260" t="s">
        <v>525</v>
      </c>
      <c r="B9" s="260"/>
      <c r="C9" s="260"/>
      <c r="D9" s="260"/>
      <c r="E9" s="260"/>
      <c r="F9" s="260"/>
      <c r="G9" s="260"/>
      <c r="H9" s="260"/>
      <c r="I9" s="262" t="n">
        <v>0.75</v>
      </c>
      <c r="J9" s="260"/>
      <c r="K9" s="260"/>
      <c r="L9" s="260"/>
      <c r="M9" s="260"/>
    </row>
    <row r="10" customFormat="false" ht="13.5" hidden="false" customHeight="false" outlineLevel="0" collapsed="false">
      <c r="A10" s="260" t="s">
        <v>526</v>
      </c>
      <c r="B10" s="260"/>
      <c r="C10" s="260"/>
      <c r="D10" s="260"/>
      <c r="E10" s="260"/>
      <c r="F10" s="260"/>
      <c r="G10" s="260"/>
      <c r="H10" s="260"/>
      <c r="I10" s="262" t="n">
        <v>0.760416666666667</v>
      </c>
      <c r="J10" s="260"/>
      <c r="K10" s="260"/>
      <c r="L10" s="260"/>
      <c r="M10" s="260"/>
    </row>
    <row r="11" customFormat="false" ht="13.5" hidden="false" customHeight="false" outlineLevel="0" collapsed="false">
      <c r="A11" s="260" t="s">
        <v>527</v>
      </c>
      <c r="B11" s="260"/>
      <c r="C11" s="260"/>
      <c r="D11" s="260"/>
      <c r="E11" s="260"/>
      <c r="F11" s="260"/>
      <c r="G11" s="260"/>
      <c r="H11" s="260"/>
      <c r="I11" s="262" t="n">
        <v>0.770833333333333</v>
      </c>
      <c r="J11" s="260"/>
      <c r="K11" s="260"/>
      <c r="L11" s="260"/>
      <c r="M11" s="260"/>
    </row>
    <row r="12" customFormat="false" ht="13.5" hidden="false" customHeight="false" outlineLevel="0" collapsed="false">
      <c r="A12" s="260" t="s">
        <v>528</v>
      </c>
      <c r="B12" s="260"/>
      <c r="C12" s="260"/>
      <c r="D12" s="260"/>
      <c r="E12" s="260"/>
      <c r="F12" s="260"/>
      <c r="G12" s="260"/>
      <c r="H12" s="260"/>
      <c r="I12" s="262" t="n">
        <v>0.78125</v>
      </c>
      <c r="J12" s="260"/>
      <c r="K12" s="260"/>
      <c r="L12" s="260"/>
      <c r="M12" s="260"/>
    </row>
    <row r="13" customFormat="false" ht="13.5" hidden="false" customHeight="false" outlineLevel="0" collapsed="false">
      <c r="A13" s="260" t="s">
        <v>529</v>
      </c>
      <c r="B13" s="260"/>
      <c r="C13" s="260"/>
      <c r="D13" s="260"/>
      <c r="E13" s="260"/>
      <c r="F13" s="260"/>
      <c r="G13" s="260"/>
      <c r="H13" s="260"/>
      <c r="I13" s="262" t="n">
        <v>0.791666666666667</v>
      </c>
      <c r="J13" s="260"/>
      <c r="K13" s="260"/>
      <c r="L13" s="260"/>
      <c r="M13" s="260"/>
    </row>
    <row r="14" customFormat="false" ht="13.5" hidden="false" customHeight="false" outlineLevel="0" collapsed="false">
      <c r="A14" s="260" t="s">
        <v>530</v>
      </c>
      <c r="B14" s="260"/>
      <c r="C14" s="260"/>
      <c r="D14" s="260"/>
      <c r="E14" s="260"/>
      <c r="F14" s="260"/>
      <c r="G14" s="260"/>
      <c r="H14" s="260"/>
      <c r="I14" s="262" t="n">
        <v>0.802083333333333</v>
      </c>
      <c r="J14" s="260"/>
      <c r="K14" s="260"/>
      <c r="L14" s="260"/>
      <c r="M14" s="260"/>
    </row>
    <row r="15" customFormat="false" ht="13.5" hidden="false" customHeight="false" outlineLevel="0" collapsed="false">
      <c r="A15" s="260" t="s">
        <v>531</v>
      </c>
      <c r="B15" s="260"/>
      <c r="C15" s="260"/>
      <c r="D15" s="260"/>
      <c r="E15" s="260"/>
      <c r="F15" s="260"/>
      <c r="G15" s="260"/>
      <c r="H15" s="260"/>
      <c r="I15" s="262" t="n">
        <v>0.8125</v>
      </c>
      <c r="J15" s="260"/>
      <c r="K15" s="260"/>
      <c r="L15" s="260"/>
      <c r="M15" s="260"/>
    </row>
    <row r="16" customFormat="false" ht="13.5" hidden="false" customHeight="false" outlineLevel="0" collapsed="false">
      <c r="A16" s="260" t="s">
        <v>532</v>
      </c>
      <c r="B16" s="260"/>
      <c r="C16" s="260"/>
      <c r="D16" s="260"/>
      <c r="E16" s="260"/>
      <c r="F16" s="260"/>
      <c r="G16" s="260"/>
      <c r="H16" s="260"/>
      <c r="I16" s="262" t="n">
        <v>0.822916666666667</v>
      </c>
      <c r="J16" s="260"/>
      <c r="K16" s="260"/>
      <c r="L16" s="260"/>
      <c r="M16" s="260"/>
    </row>
    <row r="17" customFormat="false" ht="13.5" hidden="false" customHeight="false" outlineLevel="0" collapsed="false">
      <c r="A17" s="260" t="s">
        <v>533</v>
      </c>
      <c r="B17" s="260"/>
      <c r="C17" s="260"/>
      <c r="D17" s="260"/>
      <c r="E17" s="260"/>
      <c r="F17" s="260"/>
      <c r="G17" s="260"/>
      <c r="H17" s="260"/>
      <c r="I17" s="262" t="n">
        <v>0.833333333333333</v>
      </c>
      <c r="J17" s="260"/>
      <c r="K17" s="260"/>
      <c r="L17" s="260"/>
      <c r="M17" s="260"/>
    </row>
    <row r="18" customFormat="false" ht="13.5" hidden="false" customHeight="false" outlineLevel="0" collapsed="false">
      <c r="A18" s="260" t="s">
        <v>534</v>
      </c>
      <c r="B18" s="260"/>
      <c r="C18" s="260"/>
      <c r="D18" s="260"/>
      <c r="E18" s="260"/>
      <c r="F18" s="260"/>
      <c r="G18" s="260"/>
      <c r="H18" s="260"/>
      <c r="I18" s="260"/>
      <c r="J18" s="260"/>
      <c r="K18" s="260"/>
      <c r="L18" s="260"/>
      <c r="M18" s="260"/>
    </row>
    <row r="19" customFormat="false" ht="13.5" hidden="false" customHeight="false" outlineLevel="0" collapsed="false">
      <c r="A19" s="260" t="s">
        <v>535</v>
      </c>
      <c r="B19" s="260"/>
      <c r="C19" s="260"/>
      <c r="D19" s="260"/>
      <c r="E19" s="260"/>
      <c r="F19" s="260"/>
      <c r="G19" s="260"/>
      <c r="H19" s="260"/>
      <c r="I19" s="260"/>
      <c r="J19" s="260"/>
      <c r="K19" s="260"/>
      <c r="L19" s="260"/>
      <c r="M19" s="260"/>
    </row>
    <row r="20" customFormat="false" ht="13.5" hidden="false" customHeight="false" outlineLevel="0" collapsed="false">
      <c r="A20" s="260" t="s">
        <v>536</v>
      </c>
      <c r="B20" s="260"/>
      <c r="C20" s="260"/>
      <c r="D20" s="260"/>
      <c r="E20" s="260"/>
      <c r="F20" s="260"/>
      <c r="G20" s="260"/>
      <c r="H20" s="260"/>
      <c r="I20" s="260"/>
      <c r="J20" s="260"/>
      <c r="K20" s="260"/>
      <c r="L20" s="260"/>
      <c r="M20" s="260"/>
    </row>
    <row r="21" customFormat="false" ht="13.5" hidden="false" customHeight="false" outlineLevel="0" collapsed="false">
      <c r="A21" s="260" t="s">
        <v>537</v>
      </c>
      <c r="B21" s="260"/>
      <c r="C21" s="260"/>
      <c r="D21" s="260"/>
      <c r="E21" s="260"/>
      <c r="F21" s="260"/>
      <c r="G21" s="260"/>
      <c r="H21" s="260"/>
      <c r="I21" s="260"/>
      <c r="J21" s="260"/>
      <c r="K21" s="260"/>
      <c r="L21" s="260"/>
      <c r="M21" s="260"/>
    </row>
    <row r="22" customFormat="false" ht="13.5" hidden="false" customHeight="false" outlineLevel="0" collapsed="false">
      <c r="A22" s="260" t="s">
        <v>538</v>
      </c>
      <c r="B22" s="260"/>
      <c r="C22" s="260"/>
      <c r="D22" s="260"/>
      <c r="E22" s="260"/>
      <c r="F22" s="260"/>
      <c r="G22" s="260"/>
      <c r="H22" s="260"/>
      <c r="I22" s="260"/>
      <c r="J22" s="260"/>
      <c r="K22" s="260"/>
      <c r="L22" s="260"/>
      <c r="M22" s="260"/>
    </row>
    <row r="23" customFormat="false" ht="13.5" hidden="false" customHeight="false" outlineLevel="0" collapsed="false">
      <c r="A23" s="260" t="s">
        <v>539</v>
      </c>
      <c r="B23" s="260"/>
      <c r="C23" s="260"/>
      <c r="D23" s="260"/>
      <c r="E23" s="260"/>
      <c r="F23" s="260"/>
      <c r="G23" s="260"/>
      <c r="H23" s="260"/>
      <c r="I23" s="260"/>
      <c r="J23" s="260"/>
      <c r="K23" s="260"/>
      <c r="L23" s="260"/>
      <c r="M23" s="260"/>
    </row>
    <row r="24" customFormat="false" ht="13.5" hidden="false" customHeight="false" outlineLevel="0" collapsed="false">
      <c r="A24" s="260" t="s">
        <v>540</v>
      </c>
      <c r="D24" s="260"/>
    </row>
    <row r="25" customFormat="false" ht="14.9" hidden="false" customHeight="false" outlineLevel="0" collapsed="false">
      <c r="A25" s="260" t="s">
        <v>541</v>
      </c>
    </row>
    <row r="27" customFormat="false" ht="18.75" hidden="false" customHeight="true" outlineLevel="0" collapsed="false">
      <c r="G27" s="258" t="s">
        <v>542</v>
      </c>
    </row>
    <row r="28" customFormat="false" ht="15" hidden="false" customHeight="true" outlineLevel="0" collapsed="false">
      <c r="G28" s="263" t="s">
        <v>543</v>
      </c>
    </row>
    <row r="29" customFormat="false" ht="15" hidden="false" customHeight="true" outlineLevel="0" collapsed="false">
      <c r="G29" s="263" t="s">
        <v>544</v>
      </c>
    </row>
    <row r="30" customFormat="false" ht="15" hidden="false" customHeight="true" outlineLevel="0" collapsed="false">
      <c r="G30" s="263" t="s">
        <v>545</v>
      </c>
    </row>
    <row r="31" customFormat="false" ht="15" hidden="false" customHeight="true" outlineLevel="0" collapsed="false">
      <c r="G31" s="263" t="s">
        <v>546</v>
      </c>
    </row>
    <row r="32" customFormat="false" ht="15" hidden="false" customHeight="true" outlineLevel="0" collapsed="false">
      <c r="G32" s="263" t="s">
        <v>547</v>
      </c>
    </row>
    <row r="33" customFormat="false" ht="15" hidden="false" customHeight="true" outlineLevel="0" collapsed="false">
      <c r="G33" s="263" t="s">
        <v>548</v>
      </c>
    </row>
    <row r="34" customFormat="false" ht="15" hidden="false" customHeight="true" outlineLevel="0" collapsed="false">
      <c r="G34" s="263" t="s">
        <v>549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48"/>
  <sheetViews>
    <sheetView showFormulas="false" showGridLines="true" showRowColHeaders="true" showZeros="true" rightToLeft="false" tabSelected="false" showOutlineSymbols="true" defaultGridColor="true" view="normal" topLeftCell="A10" colorId="64" zoomScale="110" zoomScaleNormal="110" zoomScalePageLayoutView="100" workbookViewId="0">
      <selection pane="topLeft" activeCell="J9" activeCellId="0" sqref="J9"/>
    </sheetView>
  </sheetViews>
  <sheetFormatPr defaultColWidth="9" defaultRowHeight="13.5" zeroHeight="false" outlineLevelRow="0" outlineLevelCol="0"/>
  <cols>
    <col collapsed="false" customWidth="true" hidden="false" outlineLevel="0" max="1" min="1" style="264" width="4.75"/>
    <col collapsed="false" customWidth="true" hidden="false" outlineLevel="0" max="24" min="2" style="264" width="3.63"/>
    <col collapsed="false" customWidth="true" hidden="false" outlineLevel="0" max="25" min="25" style="264" width="8"/>
    <col collapsed="false" customWidth="true" hidden="false" outlineLevel="0" max="26" min="26" style="264" width="4.5"/>
    <col collapsed="false" customWidth="true" hidden="false" outlineLevel="0" max="47" min="27" style="264" width="2.75"/>
    <col collapsed="false" customWidth="false" hidden="false" outlineLevel="0" max="16384" min="48" style="264" width="9"/>
  </cols>
  <sheetData>
    <row r="1" customFormat="false" ht="13.5" hidden="false" customHeight="false" outlineLevel="0" collapsed="false">
      <c r="A1" s="265" t="s">
        <v>550</v>
      </c>
      <c r="B1" s="265"/>
      <c r="C1" s="266"/>
      <c r="D1" s="266"/>
      <c r="E1" s="266"/>
      <c r="F1" s="266"/>
      <c r="G1" s="266"/>
      <c r="H1" s="266"/>
      <c r="I1" s="266"/>
      <c r="J1" s="266"/>
      <c r="K1" s="266"/>
      <c r="L1" s="266"/>
      <c r="M1" s="266"/>
      <c r="N1" s="266"/>
      <c r="O1" s="266"/>
      <c r="P1" s="266"/>
      <c r="Q1" s="267"/>
      <c r="R1" s="267"/>
      <c r="Y1" s="266"/>
      <c r="Z1" s="266"/>
    </row>
    <row r="2" customFormat="false" ht="14.25" hidden="false" customHeight="true" outlineLevel="0" collapsed="false">
      <c r="A2" s="266"/>
      <c r="B2" s="266"/>
      <c r="C2" s="266"/>
      <c r="D2" s="266"/>
      <c r="E2" s="266"/>
      <c r="F2" s="266"/>
      <c r="G2" s="266"/>
      <c r="H2" s="266"/>
      <c r="I2" s="266"/>
      <c r="J2" s="266"/>
      <c r="K2" s="266"/>
      <c r="L2" s="266"/>
      <c r="M2" s="266"/>
      <c r="N2" s="266"/>
      <c r="O2" s="266"/>
      <c r="P2" s="266"/>
      <c r="Q2" s="267"/>
      <c r="R2" s="267"/>
      <c r="S2" s="268" t="s">
        <v>212</v>
      </c>
      <c r="T2" s="268"/>
      <c r="U2" s="269" t="n">
        <v>46170</v>
      </c>
      <c r="V2" s="269"/>
      <c r="W2" s="269"/>
      <c r="X2" s="269"/>
      <c r="Y2" s="266"/>
      <c r="Z2" s="266"/>
      <c r="AE2" s="270"/>
      <c r="AF2" s="271"/>
      <c r="AG2" s="271"/>
      <c r="AH2" s="271"/>
      <c r="AI2" s="271"/>
      <c r="AJ2" s="271"/>
      <c r="AK2" s="271"/>
      <c r="AL2" s="271"/>
      <c r="AM2" s="271"/>
      <c r="AN2" s="271"/>
      <c r="AO2" s="271"/>
      <c r="AP2" s="271"/>
    </row>
    <row r="3" customFormat="false" ht="17.25" hidden="false" customHeight="true" outlineLevel="0" collapsed="false">
      <c r="A3" s="266"/>
      <c r="B3" s="266"/>
      <c r="C3" s="266"/>
      <c r="D3" s="266"/>
      <c r="E3" s="266"/>
      <c r="F3" s="266"/>
      <c r="G3" s="266"/>
      <c r="H3" s="266"/>
      <c r="I3" s="266"/>
      <c r="J3" s="266"/>
      <c r="K3" s="266"/>
      <c r="L3" s="266"/>
      <c r="M3" s="266"/>
      <c r="N3" s="266"/>
      <c r="O3" s="266"/>
      <c r="P3" s="266"/>
      <c r="Q3" s="266"/>
      <c r="R3" s="266"/>
      <c r="S3" s="272" t="s">
        <v>551</v>
      </c>
      <c r="T3" s="272"/>
      <c r="U3" s="273"/>
      <c r="V3" s="274"/>
      <c r="W3" s="274"/>
      <c r="X3" s="274"/>
      <c r="Y3" s="266"/>
      <c r="Z3" s="275" t="s">
        <v>552</v>
      </c>
      <c r="AA3" s="276" t="s">
        <v>553</v>
      </c>
      <c r="AB3" s="276"/>
      <c r="AC3" s="277" t="s">
        <v>554</v>
      </c>
      <c r="AD3" s="277"/>
      <c r="AE3" s="277"/>
      <c r="AP3" s="276" t="s">
        <v>555</v>
      </c>
      <c r="AQ3" s="276"/>
      <c r="AR3" s="278"/>
      <c r="AS3" s="278"/>
      <c r="AT3" s="278"/>
      <c r="AU3" s="278"/>
    </row>
    <row r="4" customFormat="false" ht="14.25" hidden="false" customHeight="true" outlineLevel="0" collapsed="false">
      <c r="A4" s="266"/>
      <c r="B4" s="266"/>
      <c r="C4" s="266"/>
      <c r="D4" s="266"/>
      <c r="E4" s="266"/>
      <c r="F4" s="266"/>
      <c r="G4" s="266"/>
      <c r="H4" s="266"/>
      <c r="I4" s="266"/>
      <c r="J4" s="266"/>
      <c r="K4" s="266"/>
      <c r="L4" s="266"/>
      <c r="M4" s="266"/>
      <c r="N4" s="266"/>
      <c r="O4" s="266"/>
      <c r="P4" s="266"/>
      <c r="Q4" s="266"/>
      <c r="R4" s="266"/>
      <c r="S4" s="279" t="s">
        <v>556</v>
      </c>
      <c r="T4" s="279"/>
      <c r="U4" s="280" t="s">
        <v>557</v>
      </c>
      <c r="V4" s="280"/>
      <c r="W4" s="281" t="s">
        <v>558</v>
      </c>
      <c r="X4" s="281"/>
      <c r="Y4" s="266"/>
      <c r="Z4" s="282"/>
      <c r="AA4" s="266"/>
      <c r="AB4" s="266"/>
      <c r="AC4" s="283"/>
      <c r="AD4" s="283"/>
      <c r="AE4" s="283"/>
      <c r="AF4" s="283"/>
      <c r="AG4" s="283"/>
      <c r="AH4" s="283"/>
      <c r="AI4" s="283"/>
      <c r="AJ4" s="283"/>
      <c r="AK4" s="283"/>
      <c r="AL4" s="283"/>
      <c r="AM4" s="283"/>
      <c r="AN4" s="284"/>
      <c r="AO4" s="284"/>
      <c r="AP4" s="284"/>
      <c r="AQ4" s="284"/>
      <c r="AS4" s="284"/>
      <c r="AT4" s="284"/>
      <c r="AU4" s="285"/>
    </row>
    <row r="5" customFormat="false" ht="19.5" hidden="false" customHeight="true" outlineLevel="0" collapsed="false">
      <c r="A5" s="286" t="s">
        <v>559</v>
      </c>
      <c r="B5" s="286"/>
      <c r="C5" s="286"/>
      <c r="D5" s="287" t="str">
        <f aca="false">VLOOKUP(A1,'Group List(営業入力用)'!$A$1:$AT$925,7,0)</f>
        <v>JNC 韓国インバウンドツアー</v>
      </c>
      <c r="E5" s="287"/>
      <c r="F5" s="287"/>
      <c r="G5" s="287"/>
      <c r="H5" s="287"/>
      <c r="I5" s="287"/>
      <c r="J5" s="287"/>
      <c r="K5" s="287"/>
      <c r="L5" s="287"/>
      <c r="M5" s="287"/>
      <c r="N5" s="287"/>
      <c r="O5" s="287"/>
      <c r="P5" s="287"/>
      <c r="Q5" s="287"/>
      <c r="R5" s="287"/>
      <c r="S5" s="288" t="s">
        <v>560</v>
      </c>
      <c r="T5" s="288"/>
      <c r="U5" s="289" t="s">
        <v>561</v>
      </c>
      <c r="V5" s="289"/>
      <c r="W5" s="289" t="s">
        <v>560</v>
      </c>
      <c r="X5" s="289"/>
      <c r="Y5" s="266"/>
      <c r="Z5" s="282"/>
      <c r="AA5" s="266"/>
      <c r="AB5" s="266"/>
      <c r="AC5" s="266"/>
      <c r="AD5" s="266"/>
      <c r="AE5" s="266"/>
      <c r="AF5" s="266"/>
      <c r="AG5" s="266"/>
      <c r="AH5" s="266"/>
      <c r="AI5" s="266"/>
      <c r="AJ5" s="266"/>
      <c r="AK5" s="266"/>
      <c r="AL5" s="266"/>
      <c r="AM5" s="266"/>
      <c r="AN5" s="266"/>
      <c r="AO5" s="266"/>
      <c r="AP5" s="290" t="s">
        <v>562</v>
      </c>
      <c r="AQ5" s="290"/>
      <c r="AR5" s="291"/>
      <c r="AS5" s="291"/>
      <c r="AT5" s="291"/>
      <c r="AU5" s="291"/>
    </row>
    <row r="6" customFormat="false" ht="19.5" hidden="false" customHeight="true" outlineLevel="0" collapsed="false">
      <c r="A6" s="292" t="s">
        <v>563</v>
      </c>
      <c r="B6" s="292"/>
      <c r="C6" s="293" t="n">
        <v>0.666666666666667</v>
      </c>
      <c r="D6" s="293"/>
      <c r="E6" s="293"/>
      <c r="F6" s="292" t="s">
        <v>26</v>
      </c>
      <c r="G6" s="292"/>
      <c r="H6" s="293"/>
      <c r="I6" s="293"/>
      <c r="J6" s="293"/>
      <c r="K6" s="293"/>
      <c r="L6" s="292" t="s">
        <v>564</v>
      </c>
      <c r="M6" s="292"/>
      <c r="N6" s="294" t="str">
        <f aca="false">VLOOKUP(A1,'Group List(営業入力用)'!$A$1:$AT$925,15,0)</f>
        <v>Korea</v>
      </c>
      <c r="O6" s="294"/>
      <c r="P6" s="294"/>
      <c r="Q6" s="295" t="s">
        <v>565</v>
      </c>
      <c r="R6" s="295"/>
      <c r="S6" s="295"/>
      <c r="T6" s="296" t="n">
        <f aca="false">VLOOKUP(A1,'Group List(営業入力用)'!$A$1:$AT$925,21,0)</f>
        <v>0</v>
      </c>
      <c r="U6" s="296"/>
      <c r="V6" s="296"/>
      <c r="W6" s="296"/>
      <c r="X6" s="296"/>
      <c r="Y6" s="266"/>
      <c r="Z6" s="282"/>
      <c r="AA6" s="297" t="s">
        <v>175</v>
      </c>
      <c r="AB6" s="297"/>
      <c r="AC6" s="297"/>
      <c r="AD6" s="297"/>
      <c r="AE6" s="297"/>
      <c r="AF6" s="298" t="s">
        <v>52</v>
      </c>
      <c r="AG6" s="298"/>
      <c r="AH6" s="298" t="s">
        <v>132</v>
      </c>
      <c r="AI6" s="298"/>
      <c r="AJ6" s="298" t="s">
        <v>566</v>
      </c>
      <c r="AK6" s="298"/>
      <c r="AL6" s="298" t="s">
        <v>567</v>
      </c>
      <c r="AM6" s="298"/>
      <c r="AN6" s="298"/>
      <c r="AO6" s="266"/>
      <c r="AP6" s="299" t="s">
        <v>568</v>
      </c>
      <c r="AQ6" s="299"/>
      <c r="AR6" s="291"/>
      <c r="AS6" s="291"/>
      <c r="AT6" s="291"/>
      <c r="AU6" s="291"/>
    </row>
    <row r="7" customFormat="false" ht="19.5" hidden="false" customHeight="true" outlineLevel="0" collapsed="false">
      <c r="A7" s="300" t="s">
        <v>9</v>
      </c>
      <c r="B7" s="300"/>
      <c r="C7" s="300"/>
      <c r="D7" s="301" t="str">
        <f aca="false">VLOOKUP(A1,'Group List(営業入力用)'!$A$1:$AT$925,8,0)</f>
        <v>インバウンドツアー</v>
      </c>
      <c r="E7" s="301"/>
      <c r="F7" s="301"/>
      <c r="G7" s="301"/>
      <c r="H7" s="301"/>
      <c r="I7" s="301"/>
      <c r="J7" s="301"/>
      <c r="K7" s="301"/>
      <c r="L7" s="301"/>
      <c r="M7" s="301"/>
      <c r="N7" s="301"/>
      <c r="O7" s="301"/>
      <c r="P7" s="302" t="s">
        <v>132</v>
      </c>
      <c r="Q7" s="303" t="n">
        <f aca="false">VLOOKUP(A1,'Group List(営業入力用)'!$A$1:$AT$925,20,0)</f>
        <v>9</v>
      </c>
      <c r="R7" s="303"/>
      <c r="S7" s="304" t="s">
        <v>569</v>
      </c>
      <c r="T7" s="303" t="n">
        <f aca="false">VLOOKUP(A1,'Group List(営業入力用)'!$A$1:$AT$925,17,0)+VLOOKUP(A1,'Group List(営業入力用)'!$A$1:$AT$925,18,0)</f>
        <v>1</v>
      </c>
      <c r="U7" s="303"/>
      <c r="V7" s="305" t="s">
        <v>570</v>
      </c>
      <c r="W7" s="306" t="str">
        <f aca="false">VLOOKUP(A1,'Group List(営業入力用)'!$A$1:$AT$925,4,0)</f>
        <v>仮予約</v>
      </c>
      <c r="X7" s="306"/>
      <c r="Y7" s="299"/>
      <c r="Z7" s="282"/>
      <c r="AA7" s="307" t="s">
        <v>571</v>
      </c>
      <c r="AB7" s="307"/>
      <c r="AC7" s="307"/>
      <c r="AD7" s="307"/>
      <c r="AE7" s="307"/>
      <c r="AF7" s="308" t="n">
        <v>13680</v>
      </c>
      <c r="AG7" s="308"/>
      <c r="AH7" s="308"/>
      <c r="AI7" s="308"/>
      <c r="AJ7" s="308" t="n">
        <v>3</v>
      </c>
      <c r="AK7" s="308"/>
      <c r="AL7" s="308" t="n">
        <f aca="false">AF7*AH7*AJ7</f>
        <v>0</v>
      </c>
      <c r="AM7" s="308"/>
      <c r="AN7" s="308"/>
      <c r="AO7" s="309" t="s">
        <v>572</v>
      </c>
      <c r="AP7" s="309"/>
      <c r="AQ7" s="309"/>
      <c r="AR7" s="309"/>
      <c r="AS7" s="309"/>
      <c r="AT7" s="309"/>
      <c r="AU7" s="309"/>
    </row>
    <row r="8" customFormat="false" ht="19.5" hidden="false" customHeight="true" outlineLevel="0" collapsed="false">
      <c r="A8" s="310" t="s">
        <v>573</v>
      </c>
      <c r="B8" s="310"/>
      <c r="C8" s="310"/>
      <c r="D8" s="311" t="n">
        <f aca="false">VLOOKUP(A1,'Group List(営業入力用)'!$A$1:$AT$925,2,0)</f>
        <v>46217</v>
      </c>
      <c r="E8" s="311"/>
      <c r="F8" s="311"/>
      <c r="G8" s="311"/>
      <c r="H8" s="312" t="s">
        <v>574</v>
      </c>
      <c r="I8" s="313" t="s">
        <v>575</v>
      </c>
      <c r="J8" s="313"/>
      <c r="K8" s="313"/>
      <c r="L8" s="311" t="n">
        <f aca="false">VLOOKUP(A1,'Group List(営業入力用)'!$A$1:$AT$925,3,0)</f>
        <v>46220</v>
      </c>
      <c r="M8" s="311"/>
      <c r="N8" s="311"/>
      <c r="O8" s="311"/>
      <c r="P8" s="314" t="s">
        <v>576</v>
      </c>
      <c r="Q8" s="315" t="s">
        <v>51</v>
      </c>
      <c r="R8" s="315"/>
      <c r="S8" s="316" t="n">
        <f aca="false">L8-D8</f>
        <v>3</v>
      </c>
      <c r="T8" s="316"/>
      <c r="U8" s="301" t="s">
        <v>90</v>
      </c>
      <c r="V8" s="301"/>
      <c r="W8" s="317" t="n">
        <f aca="false">VLOOKUP(A1,'Group List(営業入力用)'!$A$1:$AT$925,6,0)</f>
        <v>46203</v>
      </c>
      <c r="X8" s="317"/>
      <c r="Y8" s="299"/>
      <c r="Z8" s="282"/>
      <c r="AA8" s="307"/>
      <c r="AB8" s="307"/>
      <c r="AC8" s="307"/>
      <c r="AD8" s="307"/>
      <c r="AE8" s="307"/>
      <c r="AF8" s="308"/>
      <c r="AG8" s="308"/>
      <c r="AH8" s="308"/>
      <c r="AI8" s="308"/>
      <c r="AJ8" s="308"/>
      <c r="AK8" s="308"/>
      <c r="AL8" s="308" t="n">
        <f aca="false">AF8*AH8*AJ8</f>
        <v>0</v>
      </c>
      <c r="AM8" s="308"/>
      <c r="AN8" s="308"/>
      <c r="AO8" s="309" t="s">
        <v>577</v>
      </c>
      <c r="AP8" s="309"/>
      <c r="AQ8" s="309"/>
      <c r="AR8" s="309"/>
      <c r="AS8" s="309"/>
      <c r="AT8" s="309"/>
      <c r="AU8" s="309"/>
    </row>
    <row r="9" customFormat="false" ht="19.5" hidden="false" customHeight="true" outlineLevel="0" collapsed="false">
      <c r="A9" s="300" t="s">
        <v>138</v>
      </c>
      <c r="B9" s="300"/>
      <c r="C9" s="300"/>
      <c r="D9" s="318" t="str">
        <f aca="false">VLOOKUP(A1,'Group List(営業入力用)'!$A$1:$AT$925,9,0)</f>
        <v>JNC</v>
      </c>
      <c r="E9" s="318"/>
      <c r="F9" s="318"/>
      <c r="G9" s="318"/>
      <c r="H9" s="318"/>
      <c r="I9" s="318"/>
      <c r="J9" s="319" t="s">
        <v>339</v>
      </c>
      <c r="K9" s="319"/>
      <c r="L9" s="318" t="str">
        <f aca="false">VLOOKUP(A1,'Group List(営業入力用)'!$A$1:$AT$925,10,0)</f>
        <v>Seo Dongmi</v>
      </c>
      <c r="M9" s="318"/>
      <c r="N9" s="318"/>
      <c r="O9" s="318"/>
      <c r="P9" s="320" t="s">
        <v>578</v>
      </c>
      <c r="Q9" s="320"/>
      <c r="R9" s="321" t="str">
        <f aca="false">VLOOKUP(A1,'Group List(営業入力用)'!$A$1:$AT$925,13,0)</f>
        <v>jnc.dongmi@gmail.com</v>
      </c>
      <c r="S9" s="321"/>
      <c r="T9" s="321"/>
      <c r="U9" s="321"/>
      <c r="V9" s="321"/>
      <c r="W9" s="321"/>
      <c r="X9" s="321"/>
      <c r="Y9" s="299"/>
      <c r="Z9" s="282"/>
      <c r="AA9" s="307"/>
      <c r="AB9" s="307"/>
      <c r="AC9" s="307"/>
      <c r="AD9" s="307"/>
      <c r="AE9" s="307"/>
      <c r="AF9" s="308"/>
      <c r="AG9" s="308"/>
      <c r="AH9" s="308"/>
      <c r="AI9" s="308"/>
      <c r="AJ9" s="308"/>
      <c r="AK9" s="308"/>
      <c r="AL9" s="308" t="n">
        <f aca="false">AF9*AH9*AJ9</f>
        <v>0</v>
      </c>
      <c r="AM9" s="308"/>
      <c r="AN9" s="308"/>
      <c r="AO9" s="309" t="s">
        <v>579</v>
      </c>
      <c r="AP9" s="309"/>
      <c r="AQ9" s="309"/>
      <c r="AR9" s="309"/>
      <c r="AS9" s="309"/>
      <c r="AT9" s="309"/>
      <c r="AU9" s="309"/>
    </row>
    <row r="10" customFormat="false" ht="19.5" hidden="false" customHeight="true" outlineLevel="0" collapsed="false">
      <c r="A10" s="322" t="s">
        <v>580</v>
      </c>
      <c r="B10" s="322"/>
      <c r="C10" s="323" t="str">
        <f aca="false">VLOOKUP(A1,'Group List(営業入力用)'!$A$1:$AT$925,11,0)</f>
        <v>서울특별시 중구 태평로1가31-23건설회관 502호</v>
      </c>
      <c r="D10" s="323"/>
      <c r="E10" s="323"/>
      <c r="F10" s="323"/>
      <c r="G10" s="323"/>
      <c r="H10" s="323"/>
      <c r="I10" s="323"/>
      <c r="J10" s="323"/>
      <c r="K10" s="323"/>
      <c r="L10" s="323"/>
      <c r="M10" s="323"/>
      <c r="N10" s="323"/>
      <c r="O10" s="324" t="s">
        <v>581</v>
      </c>
      <c r="P10" s="324"/>
      <c r="Q10" s="325" t="str">
        <f aca="false">VLOOKUP(A1,'Group List(営業入力用)'!$A$1:$AT$925,12,0)</f>
        <v>(82)02-722-7167</v>
      </c>
      <c r="R10" s="325"/>
      <c r="S10" s="325"/>
      <c r="T10" s="326" t="s">
        <v>582</v>
      </c>
      <c r="U10" s="326"/>
      <c r="V10" s="327"/>
      <c r="W10" s="327"/>
      <c r="X10" s="327"/>
      <c r="Y10" s="299"/>
      <c r="Z10" s="282"/>
      <c r="AA10" s="307"/>
      <c r="AB10" s="307"/>
      <c r="AC10" s="307"/>
      <c r="AD10" s="307"/>
      <c r="AE10" s="307"/>
      <c r="AF10" s="308"/>
      <c r="AG10" s="308"/>
      <c r="AH10" s="308"/>
      <c r="AI10" s="308"/>
      <c r="AJ10" s="308"/>
      <c r="AK10" s="308"/>
      <c r="AL10" s="308" t="n">
        <f aca="false">AF10*AH10*AJ10</f>
        <v>0</v>
      </c>
      <c r="AM10" s="308"/>
      <c r="AN10" s="308"/>
      <c r="AO10" s="309"/>
      <c r="AP10" s="309"/>
      <c r="AQ10" s="309"/>
      <c r="AR10" s="309"/>
      <c r="AS10" s="309"/>
      <c r="AT10" s="309"/>
      <c r="AU10" s="309"/>
    </row>
    <row r="11" customFormat="false" ht="19.5" hidden="false" customHeight="true" outlineLevel="0" collapsed="false">
      <c r="A11" s="328" t="s">
        <v>583</v>
      </c>
      <c r="B11" s="328"/>
      <c r="C11" s="329"/>
      <c r="D11" s="329"/>
      <c r="E11" s="329"/>
      <c r="F11" s="329"/>
      <c r="G11" s="329"/>
      <c r="H11" s="329"/>
      <c r="I11" s="330" t="s">
        <v>584</v>
      </c>
      <c r="J11" s="330"/>
      <c r="K11" s="329" t="s">
        <v>585</v>
      </c>
      <c r="L11" s="329"/>
      <c r="M11" s="329"/>
      <c r="N11" s="329"/>
      <c r="O11" s="329"/>
      <c r="P11" s="331" t="s">
        <v>586</v>
      </c>
      <c r="Q11" s="331"/>
      <c r="R11" s="332"/>
      <c r="S11" s="332"/>
      <c r="T11" s="332"/>
      <c r="U11" s="332"/>
      <c r="V11" s="332"/>
      <c r="W11" s="332"/>
      <c r="X11" s="332"/>
      <c r="Y11" s="299"/>
      <c r="Z11" s="282"/>
      <c r="AA11" s="307"/>
      <c r="AB11" s="307"/>
      <c r="AC11" s="307"/>
      <c r="AD11" s="307"/>
      <c r="AE11" s="307"/>
      <c r="AF11" s="308"/>
      <c r="AG11" s="308"/>
      <c r="AH11" s="308"/>
      <c r="AI11" s="308"/>
      <c r="AJ11" s="308"/>
      <c r="AK11" s="308"/>
      <c r="AL11" s="308" t="n">
        <f aca="false">AF11*AH11*AJ11</f>
        <v>0</v>
      </c>
      <c r="AM11" s="308"/>
      <c r="AN11" s="308"/>
      <c r="AO11" s="333"/>
      <c r="AP11" s="284"/>
      <c r="AQ11" s="284"/>
      <c r="AR11" s="284"/>
      <c r="AS11" s="284"/>
      <c r="AT11" s="284"/>
      <c r="AU11" s="285"/>
    </row>
    <row r="12" customFormat="false" ht="19.5" hidden="false" customHeight="true" outlineLevel="0" collapsed="false">
      <c r="A12" s="334"/>
      <c r="B12" s="334"/>
      <c r="C12" s="334"/>
      <c r="D12" s="334"/>
      <c r="E12" s="334"/>
      <c r="F12" s="334"/>
      <c r="G12" s="334"/>
      <c r="H12" s="334"/>
      <c r="I12" s="334"/>
      <c r="J12" s="334"/>
      <c r="K12" s="334"/>
      <c r="L12" s="334"/>
      <c r="M12" s="334"/>
      <c r="N12" s="334"/>
      <c r="O12" s="334"/>
      <c r="P12" s="334"/>
      <c r="Q12" s="334"/>
      <c r="R12" s="334"/>
      <c r="S12" s="334"/>
      <c r="T12" s="334"/>
      <c r="U12" s="334"/>
      <c r="V12" s="334"/>
      <c r="W12" s="334"/>
      <c r="X12" s="334"/>
      <c r="Y12" s="299"/>
      <c r="Z12" s="282"/>
      <c r="AA12" s="307"/>
      <c r="AB12" s="307"/>
      <c r="AC12" s="307"/>
      <c r="AD12" s="307"/>
      <c r="AE12" s="307"/>
      <c r="AF12" s="308"/>
      <c r="AG12" s="308"/>
      <c r="AH12" s="308"/>
      <c r="AI12" s="308"/>
      <c r="AJ12" s="308"/>
      <c r="AK12" s="308"/>
      <c r="AL12" s="308" t="n">
        <f aca="false">AF12*AH12*AJ12</f>
        <v>0</v>
      </c>
      <c r="AM12" s="308"/>
      <c r="AN12" s="308"/>
      <c r="AO12" s="333"/>
      <c r="AP12" s="284"/>
      <c r="AQ12" s="284"/>
      <c r="AR12" s="284"/>
      <c r="AS12" s="284"/>
      <c r="AT12" s="284"/>
      <c r="AU12" s="285"/>
    </row>
    <row r="13" customFormat="false" ht="19.5" hidden="false" customHeight="true" outlineLevel="0" collapsed="false">
      <c r="A13" s="335" t="s">
        <v>587</v>
      </c>
      <c r="B13" s="335"/>
      <c r="C13" s="335"/>
      <c r="D13" s="335"/>
      <c r="E13" s="335"/>
      <c r="F13" s="335"/>
      <c r="G13" s="335"/>
      <c r="H13" s="336" t="s">
        <v>588</v>
      </c>
      <c r="I13" s="336" t="s">
        <v>589</v>
      </c>
      <c r="J13" s="336"/>
      <c r="K13" s="337" t="n">
        <f aca="false">D8</f>
        <v>46217</v>
      </c>
      <c r="L13" s="338" t="n">
        <v>46218</v>
      </c>
      <c r="M13" s="338" t="n">
        <v>46219</v>
      </c>
      <c r="N13" s="338"/>
      <c r="O13" s="338"/>
      <c r="P13" s="338" t="str">
        <f aca="false">IF(P21=0,"",O13+1)</f>
        <v/>
      </c>
      <c r="Q13" s="338" t="str">
        <f aca="false">IF(Q21=0,"",P13+1)</f>
        <v/>
      </c>
      <c r="R13" s="339" t="str">
        <f aca="false">IF(R21=0,"",Q13+1)</f>
        <v/>
      </c>
      <c r="S13" s="340" t="s">
        <v>590</v>
      </c>
      <c r="T13" s="340"/>
      <c r="U13" s="336" t="s">
        <v>591</v>
      </c>
      <c r="V13" s="336"/>
      <c r="W13" s="336"/>
      <c r="X13" s="336"/>
      <c r="Y13" s="299"/>
      <c r="Z13" s="282"/>
      <c r="AA13" s="307"/>
      <c r="AB13" s="307"/>
      <c r="AC13" s="307"/>
      <c r="AD13" s="307"/>
      <c r="AE13" s="307"/>
      <c r="AF13" s="308"/>
      <c r="AG13" s="308"/>
      <c r="AH13" s="308"/>
      <c r="AI13" s="308"/>
      <c r="AJ13" s="308"/>
      <c r="AK13" s="308"/>
      <c r="AL13" s="308" t="n">
        <f aca="false">AF13*AH13*AJ13</f>
        <v>0</v>
      </c>
      <c r="AM13" s="308"/>
      <c r="AN13" s="308"/>
      <c r="AO13" s="309"/>
      <c r="AP13" s="309"/>
      <c r="AQ13" s="309"/>
      <c r="AR13" s="309"/>
      <c r="AS13" s="309"/>
      <c r="AT13" s="309"/>
      <c r="AU13" s="309"/>
    </row>
    <row r="14" customFormat="false" ht="19.5" hidden="false" customHeight="true" outlineLevel="0" collapsed="false">
      <c r="A14" s="341" t="s">
        <v>514</v>
      </c>
      <c r="B14" s="341"/>
      <c r="C14" s="341"/>
      <c r="D14" s="341"/>
      <c r="E14" s="341"/>
      <c r="F14" s="341"/>
      <c r="G14" s="341"/>
      <c r="H14" s="342" t="n">
        <v>2</v>
      </c>
      <c r="I14" s="343" t="n">
        <f aca="false">(AF7-B$26-B$24)*H14</f>
        <v>14960</v>
      </c>
      <c r="J14" s="343"/>
      <c r="K14" s="344" t="n">
        <v>4</v>
      </c>
      <c r="L14" s="345" t="n">
        <v>4</v>
      </c>
      <c r="M14" s="345" t="n">
        <v>4</v>
      </c>
      <c r="N14" s="345"/>
      <c r="O14" s="345"/>
      <c r="P14" s="345"/>
      <c r="Q14" s="345"/>
      <c r="R14" s="346"/>
      <c r="S14" s="347" t="n">
        <f aca="false">SUM(K14:R14)</f>
        <v>12</v>
      </c>
      <c r="T14" s="347"/>
      <c r="U14" s="348" t="n">
        <f aca="false">I14*S14</f>
        <v>179520</v>
      </c>
      <c r="V14" s="348"/>
      <c r="W14" s="348"/>
      <c r="X14" s="348"/>
      <c r="Y14" s="299"/>
      <c r="Z14" s="282"/>
      <c r="AA14" s="349" t="s">
        <v>592</v>
      </c>
      <c r="AB14" s="349"/>
      <c r="AC14" s="349"/>
      <c r="AD14" s="349"/>
      <c r="AE14" s="349"/>
      <c r="AF14" s="308" t="n">
        <v>11000</v>
      </c>
      <c r="AG14" s="308"/>
      <c r="AH14" s="308" t="n">
        <v>1</v>
      </c>
      <c r="AI14" s="308"/>
      <c r="AJ14" s="308" t="n">
        <v>3</v>
      </c>
      <c r="AK14" s="308"/>
      <c r="AL14" s="308" t="n">
        <f aca="false">AF14*AH14*AJ14</f>
        <v>33000</v>
      </c>
      <c r="AM14" s="308"/>
      <c r="AN14" s="308"/>
      <c r="AO14" s="309"/>
      <c r="AP14" s="309"/>
      <c r="AQ14" s="309"/>
      <c r="AR14" s="309"/>
      <c r="AS14" s="309"/>
      <c r="AT14" s="309"/>
      <c r="AU14" s="309"/>
    </row>
    <row r="15" customFormat="false" ht="15.75" hidden="false" customHeight="true" outlineLevel="0" collapsed="false">
      <c r="A15" s="350"/>
      <c r="B15" s="350"/>
      <c r="C15" s="350"/>
      <c r="D15" s="350"/>
      <c r="E15" s="350"/>
      <c r="F15" s="350"/>
      <c r="G15" s="350"/>
      <c r="H15" s="314"/>
      <c r="I15" s="343" t="n">
        <f aca="false">(AF8-B$26-B$24)*H15</f>
        <v>-0</v>
      </c>
      <c r="J15" s="343"/>
      <c r="K15" s="344"/>
      <c r="L15" s="345"/>
      <c r="M15" s="345"/>
      <c r="N15" s="345"/>
      <c r="O15" s="345"/>
      <c r="P15" s="345"/>
      <c r="Q15" s="345"/>
      <c r="R15" s="346"/>
      <c r="S15" s="347" t="n">
        <f aca="false">SUM(K15:R15)</f>
        <v>0</v>
      </c>
      <c r="T15" s="347"/>
      <c r="U15" s="351" t="n">
        <f aca="false">I15*S15</f>
        <v>-0</v>
      </c>
      <c r="V15" s="351"/>
      <c r="W15" s="351"/>
      <c r="X15" s="351"/>
      <c r="Y15" s="299"/>
      <c r="Z15" s="282"/>
      <c r="AA15" s="352" t="s">
        <v>177</v>
      </c>
      <c r="AB15" s="352"/>
      <c r="AC15" s="352"/>
      <c r="AD15" s="352"/>
      <c r="AE15" s="352"/>
      <c r="AF15" s="352"/>
      <c r="AG15" s="352"/>
      <c r="AH15" s="352"/>
      <c r="AI15" s="352"/>
      <c r="AJ15" s="353" t="n">
        <f aca="false">SUM(AL7:AN14)</f>
        <v>33000</v>
      </c>
      <c r="AK15" s="353"/>
      <c r="AL15" s="353"/>
      <c r="AM15" s="353"/>
      <c r="AN15" s="353"/>
      <c r="AO15" s="299"/>
      <c r="AP15" s="299"/>
      <c r="AQ15" s="299"/>
      <c r="AR15" s="299"/>
      <c r="AS15" s="299"/>
      <c r="AT15" s="299"/>
      <c r="AU15" s="354"/>
    </row>
    <row r="16" customFormat="false" ht="15.75" hidden="false" customHeight="true" outlineLevel="0" collapsed="false">
      <c r="A16" s="350"/>
      <c r="B16" s="350"/>
      <c r="C16" s="350"/>
      <c r="D16" s="350"/>
      <c r="E16" s="350"/>
      <c r="F16" s="350"/>
      <c r="G16" s="350"/>
      <c r="H16" s="314"/>
      <c r="I16" s="343" t="n">
        <f aca="false">(AF9-B$26-B$24)*H16</f>
        <v>-0</v>
      </c>
      <c r="J16" s="343"/>
      <c r="K16" s="344"/>
      <c r="L16" s="345"/>
      <c r="M16" s="345"/>
      <c r="N16" s="345"/>
      <c r="O16" s="345"/>
      <c r="P16" s="345"/>
      <c r="Q16" s="345"/>
      <c r="R16" s="346"/>
      <c r="S16" s="347" t="n">
        <f aca="false">SUM(K16:R16)</f>
        <v>0</v>
      </c>
      <c r="T16" s="347"/>
      <c r="U16" s="351" t="n">
        <f aca="false">I16*S16</f>
        <v>-0</v>
      </c>
      <c r="V16" s="351"/>
      <c r="W16" s="351"/>
      <c r="X16" s="351"/>
      <c r="Y16" s="299"/>
      <c r="Z16" s="282"/>
      <c r="AA16" s="355"/>
      <c r="AB16" s="356"/>
      <c r="AC16" s="356"/>
      <c r="AD16" s="356"/>
      <c r="AE16" s="356"/>
      <c r="AF16" s="356"/>
      <c r="AG16" s="356"/>
      <c r="AH16" s="356"/>
      <c r="AI16" s="357"/>
      <c r="AJ16" s="358"/>
      <c r="AK16" s="359"/>
      <c r="AL16" s="359"/>
      <c r="AM16" s="359"/>
      <c r="AN16" s="360"/>
      <c r="AO16" s="299"/>
      <c r="AP16" s="299"/>
      <c r="AQ16" s="299"/>
      <c r="AR16" s="299"/>
      <c r="AS16" s="299"/>
      <c r="AT16" s="299"/>
      <c r="AU16" s="354"/>
    </row>
    <row r="17" customFormat="false" ht="15.75" hidden="false" customHeight="true" outlineLevel="0" collapsed="false">
      <c r="A17" s="350" t="s">
        <v>502</v>
      </c>
      <c r="B17" s="350"/>
      <c r="C17" s="350"/>
      <c r="D17" s="350"/>
      <c r="E17" s="350"/>
      <c r="F17" s="350"/>
      <c r="G17" s="350"/>
      <c r="H17" s="361"/>
      <c r="I17" s="362"/>
      <c r="J17" s="362"/>
      <c r="L17" s="345"/>
      <c r="M17" s="345"/>
      <c r="N17" s="345"/>
      <c r="O17" s="345"/>
      <c r="P17" s="345"/>
      <c r="Q17" s="345"/>
      <c r="R17" s="346"/>
      <c r="S17" s="347" t="n">
        <f aca="false">SUM(K17:R17)</f>
        <v>0</v>
      </c>
      <c r="T17" s="347"/>
      <c r="U17" s="351" t="n">
        <f aca="false">I17*S17</f>
        <v>0</v>
      </c>
      <c r="V17" s="351"/>
      <c r="W17" s="351"/>
      <c r="X17" s="351"/>
      <c r="Y17" s="299"/>
      <c r="Z17" s="282"/>
      <c r="AA17" s="355"/>
      <c r="AB17" s="356"/>
      <c r="AC17" s="356"/>
      <c r="AD17" s="356"/>
      <c r="AE17" s="356"/>
      <c r="AF17" s="356"/>
      <c r="AG17" s="356"/>
      <c r="AH17" s="356"/>
      <c r="AI17" s="357"/>
      <c r="AJ17" s="358"/>
      <c r="AK17" s="359"/>
      <c r="AL17" s="359"/>
      <c r="AM17" s="359"/>
      <c r="AN17" s="360"/>
      <c r="AO17" s="299"/>
      <c r="AP17" s="299"/>
      <c r="AQ17" s="299"/>
      <c r="AR17" s="299"/>
      <c r="AS17" s="299"/>
      <c r="AT17" s="299"/>
      <c r="AU17" s="354"/>
    </row>
    <row r="18" customFormat="false" ht="15.75" hidden="false" customHeight="true" outlineLevel="0" collapsed="false">
      <c r="A18" s="350" t="s">
        <v>502</v>
      </c>
      <c r="B18" s="350"/>
      <c r="C18" s="350"/>
      <c r="D18" s="350"/>
      <c r="E18" s="350"/>
      <c r="F18" s="350"/>
      <c r="G18" s="350"/>
      <c r="H18" s="361"/>
      <c r="I18" s="362"/>
      <c r="J18" s="362"/>
      <c r="K18" s="344"/>
      <c r="L18" s="345"/>
      <c r="M18" s="345"/>
      <c r="N18" s="345"/>
      <c r="O18" s="345"/>
      <c r="P18" s="345"/>
      <c r="Q18" s="345"/>
      <c r="R18" s="346"/>
      <c r="S18" s="347" t="n">
        <f aca="false">SUM(K18:R18)</f>
        <v>0</v>
      </c>
      <c r="T18" s="347"/>
      <c r="U18" s="351" t="n">
        <f aca="false">I16*S18</f>
        <v>-0</v>
      </c>
      <c r="V18" s="351"/>
      <c r="W18" s="351"/>
      <c r="X18" s="351"/>
      <c r="Y18" s="299"/>
      <c r="Z18" s="282"/>
      <c r="AA18" s="352" t="s">
        <v>593</v>
      </c>
      <c r="AB18" s="352"/>
      <c r="AC18" s="352"/>
      <c r="AD18" s="352"/>
      <c r="AE18" s="352"/>
      <c r="AF18" s="352"/>
      <c r="AG18" s="352"/>
      <c r="AH18" s="352"/>
      <c r="AI18" s="352"/>
      <c r="AJ18" s="363" t="n">
        <f aca="false">AJ15*0.1</f>
        <v>3300</v>
      </c>
      <c r="AK18" s="363"/>
      <c r="AL18" s="363"/>
      <c r="AM18" s="363"/>
      <c r="AN18" s="363"/>
      <c r="AO18" s="266" t="s">
        <v>594</v>
      </c>
      <c r="AP18" s="299"/>
      <c r="AQ18" s="299"/>
      <c r="AR18" s="299"/>
      <c r="AS18" s="299"/>
      <c r="AT18" s="299"/>
      <c r="AU18" s="354"/>
    </row>
    <row r="19" customFormat="false" ht="15.75" hidden="false" customHeight="true" outlineLevel="0" collapsed="false">
      <c r="A19" s="350" t="s">
        <v>502</v>
      </c>
      <c r="B19" s="350"/>
      <c r="C19" s="350"/>
      <c r="D19" s="350"/>
      <c r="E19" s="350"/>
      <c r="F19" s="350"/>
      <c r="G19" s="350"/>
      <c r="H19" s="314"/>
      <c r="I19" s="308"/>
      <c r="J19" s="308"/>
      <c r="K19" s="364"/>
      <c r="L19" s="365"/>
      <c r="M19" s="365"/>
      <c r="N19" s="365"/>
      <c r="O19" s="365"/>
      <c r="P19" s="365"/>
      <c r="Q19" s="365"/>
      <c r="R19" s="366"/>
      <c r="S19" s="367" t="n">
        <f aca="false">SUM(K19:R19)</f>
        <v>0</v>
      </c>
      <c r="T19" s="367"/>
      <c r="U19" s="351" t="n">
        <f aca="false">I19*S19</f>
        <v>0</v>
      </c>
      <c r="V19" s="351"/>
      <c r="W19" s="351"/>
      <c r="X19" s="351"/>
      <c r="Y19" s="299"/>
      <c r="Z19" s="282"/>
      <c r="AA19" s="307" t="s">
        <v>595</v>
      </c>
      <c r="AB19" s="307"/>
      <c r="AC19" s="307"/>
      <c r="AD19" s="307"/>
      <c r="AE19" s="307"/>
      <c r="AF19" s="308"/>
      <c r="AG19" s="308"/>
      <c r="AH19" s="308"/>
      <c r="AI19" s="308"/>
      <c r="AJ19" s="308" t="n">
        <v>1</v>
      </c>
      <c r="AK19" s="308"/>
      <c r="AL19" s="308" t="n">
        <f aca="false">AF19*AH19*AJ19</f>
        <v>0</v>
      </c>
      <c r="AM19" s="308"/>
      <c r="AN19" s="308"/>
      <c r="AO19" s="299"/>
      <c r="AP19" s="299"/>
      <c r="AQ19" s="299"/>
      <c r="AR19" s="299"/>
      <c r="AS19" s="299"/>
      <c r="AT19" s="299"/>
      <c r="AU19" s="354"/>
    </row>
    <row r="20" customFormat="false" ht="15.75" hidden="false" customHeight="true" outlineLevel="0" collapsed="false">
      <c r="A20" s="350" t="s">
        <v>503</v>
      </c>
      <c r="B20" s="350"/>
      <c r="C20" s="350"/>
      <c r="D20" s="350"/>
      <c r="E20" s="350"/>
      <c r="F20" s="350"/>
      <c r="G20" s="350"/>
      <c r="H20" s="368" t="n">
        <v>1</v>
      </c>
      <c r="I20" s="343" t="n">
        <f aca="false">(AF14-B$26-B$24)*H20</f>
        <v>4800</v>
      </c>
      <c r="J20" s="343"/>
      <c r="K20" s="369" t="n">
        <v>1</v>
      </c>
      <c r="L20" s="370" t="n">
        <v>1</v>
      </c>
      <c r="M20" s="370" t="n">
        <v>1</v>
      </c>
      <c r="N20" s="370"/>
      <c r="O20" s="370"/>
      <c r="P20" s="370"/>
      <c r="Q20" s="371"/>
      <c r="R20" s="372"/>
      <c r="S20" s="347" t="n">
        <f aca="false">SUM(K20:R20)</f>
        <v>3</v>
      </c>
      <c r="T20" s="347"/>
      <c r="U20" s="348" t="n">
        <f aca="false">I20*S20</f>
        <v>14400</v>
      </c>
      <c r="V20" s="348"/>
      <c r="W20" s="348"/>
      <c r="X20" s="348"/>
      <c r="Y20" s="299"/>
      <c r="Z20" s="282"/>
      <c r="AA20" s="307" t="s">
        <v>181</v>
      </c>
      <c r="AB20" s="307"/>
      <c r="AC20" s="307"/>
      <c r="AD20" s="307"/>
      <c r="AE20" s="307"/>
      <c r="AF20" s="308" t="n">
        <v>150</v>
      </c>
      <c r="AG20" s="308"/>
      <c r="AH20" s="308" t="n">
        <f aca="false">SUM(AH7:AI14)</f>
        <v>1</v>
      </c>
      <c r="AI20" s="308"/>
      <c r="AJ20" s="308" t="n">
        <v>1</v>
      </c>
      <c r="AK20" s="308"/>
      <c r="AL20" s="308" t="n">
        <f aca="false">AF20*AH20*AJ20</f>
        <v>150</v>
      </c>
      <c r="AM20" s="308"/>
      <c r="AN20" s="308"/>
      <c r="AO20" s="299"/>
      <c r="AP20" s="299"/>
      <c r="AQ20" s="299"/>
      <c r="AR20" s="299"/>
      <c r="AS20" s="299"/>
      <c r="AT20" s="299"/>
      <c r="AU20" s="354"/>
    </row>
    <row r="21" customFormat="false" ht="15.75" hidden="false" customHeight="true" outlineLevel="0" collapsed="false">
      <c r="A21" s="335" t="s">
        <v>596</v>
      </c>
      <c r="B21" s="335"/>
      <c r="C21" s="335"/>
      <c r="D21" s="335"/>
      <c r="E21" s="335"/>
      <c r="F21" s="335"/>
      <c r="G21" s="335"/>
      <c r="H21" s="373"/>
      <c r="I21" s="373"/>
      <c r="J21" s="373"/>
      <c r="K21" s="374" t="n">
        <f aca="false">SUM(K14:K20)</f>
        <v>5</v>
      </c>
      <c r="L21" s="375" t="n">
        <f aca="false">SUM(L14:L20)</f>
        <v>5</v>
      </c>
      <c r="M21" s="375" t="n">
        <f aca="false">SUM(M14:M20)</f>
        <v>5</v>
      </c>
      <c r="N21" s="376" t="n">
        <f aca="false">SUM(N14:N20)</f>
        <v>0</v>
      </c>
      <c r="O21" s="371" t="n">
        <f aca="false">SUM(O14:O20)</f>
        <v>0</v>
      </c>
      <c r="P21" s="371" t="n">
        <f aca="false">SUM(P14:P20)</f>
        <v>0</v>
      </c>
      <c r="Q21" s="371" t="n">
        <f aca="false">SUM(Q14:Q20)</f>
        <v>0</v>
      </c>
      <c r="R21" s="377" t="n">
        <f aca="false">SUM(R14:R20)</f>
        <v>0</v>
      </c>
      <c r="S21" s="378" t="n">
        <f aca="false">SUM(K21:R21)</f>
        <v>15</v>
      </c>
      <c r="T21" s="378"/>
      <c r="U21" s="379" t="n">
        <f aca="false">SUM(U14:X20)</f>
        <v>193920</v>
      </c>
      <c r="V21" s="379"/>
      <c r="W21" s="379"/>
      <c r="X21" s="379"/>
      <c r="Z21" s="282"/>
      <c r="AA21" s="380"/>
      <c r="AB21" s="380"/>
      <c r="AC21" s="380"/>
      <c r="AD21" s="380"/>
      <c r="AE21" s="380"/>
      <c r="AF21" s="381"/>
      <c r="AG21" s="381"/>
      <c r="AH21" s="382"/>
      <c r="AI21" s="382"/>
      <c r="AJ21" s="308"/>
      <c r="AK21" s="308"/>
      <c r="AL21" s="383"/>
      <c r="AM21" s="383"/>
      <c r="AN21" s="383"/>
      <c r="AO21" s="384"/>
      <c r="AP21" s="384"/>
      <c r="AQ21" s="384"/>
      <c r="AR21" s="384"/>
      <c r="AS21" s="384"/>
      <c r="AT21" s="384"/>
      <c r="AU21" s="384"/>
    </row>
    <row r="22" customFormat="false" ht="18.75" hidden="false" customHeight="true" outlineLevel="0" collapsed="false">
      <c r="A22" s="385" t="s">
        <v>145</v>
      </c>
      <c r="B22" s="385"/>
      <c r="C22" s="385"/>
      <c r="D22" s="385"/>
      <c r="E22" s="385"/>
      <c r="F22" s="385"/>
      <c r="G22" s="385"/>
      <c r="H22" s="385"/>
      <c r="I22" s="385"/>
      <c r="J22" s="385"/>
      <c r="K22" s="385"/>
      <c r="L22" s="385"/>
      <c r="M22" s="385"/>
      <c r="N22" s="385"/>
      <c r="O22" s="385"/>
      <c r="P22" s="385"/>
      <c r="Q22" s="385"/>
      <c r="R22" s="385"/>
      <c r="S22" s="385"/>
      <c r="T22" s="385"/>
      <c r="U22" s="385"/>
      <c r="V22" s="385"/>
      <c r="W22" s="385"/>
      <c r="X22" s="385"/>
      <c r="Z22" s="386"/>
      <c r="AA22" s="387" t="s">
        <v>597</v>
      </c>
      <c r="AB22" s="387"/>
      <c r="AC22" s="387"/>
      <c r="AD22" s="387"/>
      <c r="AE22" s="387"/>
      <c r="AF22" s="387"/>
      <c r="AG22" s="387"/>
      <c r="AH22" s="388" t="n">
        <f aca="false">SUM(AJ15,AJ18,AL19:AN21)</f>
        <v>36450</v>
      </c>
      <c r="AI22" s="388"/>
      <c r="AJ22" s="388"/>
      <c r="AK22" s="388"/>
      <c r="AL22" s="388"/>
      <c r="AM22" s="388"/>
      <c r="AN22" s="388"/>
      <c r="AO22" s="389"/>
      <c r="AP22" s="390"/>
      <c r="AQ22" s="391"/>
      <c r="AR22" s="391"/>
      <c r="AS22" s="391"/>
      <c r="AT22" s="389"/>
      <c r="AU22" s="392"/>
    </row>
    <row r="23" customFormat="false" ht="15.75" hidden="false" customHeight="true" outlineLevel="0" collapsed="false">
      <c r="A23" s="393" t="s">
        <v>598</v>
      </c>
      <c r="B23" s="393"/>
      <c r="C23" s="393"/>
      <c r="D23" s="394" t="s">
        <v>599</v>
      </c>
      <c r="E23" s="394"/>
      <c r="F23" s="395" t="s">
        <v>148</v>
      </c>
      <c r="G23" s="395"/>
      <c r="H23" s="395"/>
      <c r="I23" s="396" t="s">
        <v>204</v>
      </c>
      <c r="J23" s="396"/>
      <c r="K23" s="397" t="s">
        <v>600</v>
      </c>
      <c r="L23" s="397"/>
      <c r="M23" s="398" t="s">
        <v>148</v>
      </c>
      <c r="N23" s="398"/>
      <c r="O23" s="398"/>
      <c r="P23" s="395" t="s">
        <v>204</v>
      </c>
      <c r="Q23" s="395"/>
      <c r="R23" s="399" t="s">
        <v>601</v>
      </c>
      <c r="S23" s="399"/>
      <c r="T23" s="398" t="s">
        <v>148</v>
      </c>
      <c r="U23" s="398"/>
      <c r="V23" s="398"/>
      <c r="W23" s="398" t="s">
        <v>204</v>
      </c>
      <c r="X23" s="398"/>
      <c r="AH23" s="400"/>
      <c r="AI23" s="400"/>
      <c r="AJ23" s="400"/>
      <c r="AK23" s="400"/>
      <c r="AL23" s="400"/>
      <c r="AM23" s="400"/>
      <c r="AN23" s="400"/>
      <c r="AO23" s="401"/>
    </row>
    <row r="24" s="299" customFormat="true" ht="15.75" hidden="false" customHeight="true" outlineLevel="0" collapsed="false">
      <c r="A24" s="402" t="s">
        <v>419</v>
      </c>
      <c r="B24" s="342" t="n">
        <v>2500</v>
      </c>
      <c r="C24" s="342"/>
      <c r="D24" s="403" t="s">
        <v>419</v>
      </c>
      <c r="E24" s="403"/>
      <c r="F24" s="404" t="s">
        <v>517</v>
      </c>
      <c r="G24" s="404"/>
      <c r="H24" s="404"/>
      <c r="I24" s="405" t="s">
        <v>602</v>
      </c>
      <c r="J24" s="405"/>
      <c r="K24" s="403" t="s">
        <v>419</v>
      </c>
      <c r="L24" s="403"/>
      <c r="M24" s="406"/>
      <c r="N24" s="406"/>
      <c r="O24" s="406"/>
      <c r="P24" s="405" t="s">
        <v>502</v>
      </c>
      <c r="Q24" s="405"/>
      <c r="R24" s="407" t="s">
        <v>419</v>
      </c>
      <c r="S24" s="407"/>
      <c r="T24" s="406"/>
      <c r="U24" s="406"/>
      <c r="V24" s="406"/>
      <c r="W24" s="405" t="s">
        <v>502</v>
      </c>
      <c r="X24" s="405"/>
    </row>
    <row r="25" s="299" customFormat="true" ht="17.25" hidden="false" customHeight="true" outlineLevel="0" collapsed="false">
      <c r="A25" s="408" t="s">
        <v>603</v>
      </c>
      <c r="B25" s="382"/>
      <c r="C25" s="382"/>
      <c r="D25" s="409" t="s">
        <v>603</v>
      </c>
      <c r="E25" s="409"/>
      <c r="F25" s="410"/>
      <c r="G25" s="410"/>
      <c r="H25" s="410"/>
      <c r="I25" s="411"/>
      <c r="J25" s="411"/>
      <c r="K25" s="409" t="s">
        <v>603</v>
      </c>
      <c r="L25" s="409"/>
      <c r="M25" s="410"/>
      <c r="N25" s="410"/>
      <c r="O25" s="410"/>
      <c r="P25" s="411" t="s">
        <v>502</v>
      </c>
      <c r="Q25" s="411"/>
      <c r="R25" s="412" t="s">
        <v>603</v>
      </c>
      <c r="S25" s="412"/>
      <c r="T25" s="410"/>
      <c r="U25" s="410"/>
      <c r="V25" s="410"/>
      <c r="W25" s="411" t="s">
        <v>502</v>
      </c>
      <c r="X25" s="411"/>
    </row>
    <row r="26" s="299" customFormat="true" ht="17.25" hidden="false" customHeight="true" outlineLevel="0" collapsed="false">
      <c r="A26" s="387" t="s">
        <v>425</v>
      </c>
      <c r="B26" s="289" t="n">
        <v>3700</v>
      </c>
      <c r="C26" s="289"/>
      <c r="D26" s="413" t="s">
        <v>425</v>
      </c>
      <c r="E26" s="413"/>
      <c r="F26" s="414" t="s">
        <v>68</v>
      </c>
      <c r="G26" s="414"/>
      <c r="H26" s="414"/>
      <c r="I26" s="415"/>
      <c r="J26" s="415"/>
      <c r="K26" s="413" t="s">
        <v>425</v>
      </c>
      <c r="L26" s="413"/>
      <c r="M26" s="414"/>
      <c r="N26" s="414"/>
      <c r="O26" s="414"/>
      <c r="P26" s="415" t="s">
        <v>502</v>
      </c>
      <c r="Q26" s="415"/>
      <c r="R26" s="416" t="s">
        <v>425</v>
      </c>
      <c r="S26" s="416"/>
      <c r="T26" s="414"/>
      <c r="U26" s="414"/>
      <c r="V26" s="414"/>
      <c r="W26" s="415" t="s">
        <v>502</v>
      </c>
      <c r="X26" s="415"/>
    </row>
    <row r="27" s="299" customFormat="true" ht="17.25" hidden="false" customHeight="true" outlineLevel="0" collapsed="false">
      <c r="A27" s="417" t="s">
        <v>604</v>
      </c>
      <c r="B27" s="417"/>
      <c r="C27" s="417"/>
      <c r="D27" s="418"/>
      <c r="E27" s="418"/>
      <c r="F27" s="418"/>
      <c r="G27" s="418"/>
      <c r="H27" s="418"/>
      <c r="I27" s="418"/>
      <c r="J27" s="418"/>
      <c r="K27" s="419"/>
      <c r="L27" s="419"/>
      <c r="M27" s="419"/>
      <c r="N27" s="419"/>
      <c r="O27" s="419"/>
      <c r="P27" s="419"/>
      <c r="Q27" s="419"/>
      <c r="R27" s="418"/>
      <c r="S27" s="418"/>
      <c r="T27" s="418"/>
      <c r="U27" s="418"/>
      <c r="V27" s="418"/>
      <c r="W27" s="418"/>
      <c r="X27" s="418"/>
    </row>
    <row r="28" s="299" customFormat="true" ht="17.25" hidden="false" customHeight="true" outlineLevel="0" collapsed="false">
      <c r="A28" s="417"/>
      <c r="B28" s="417"/>
      <c r="C28" s="417"/>
      <c r="D28" s="418"/>
      <c r="E28" s="418"/>
      <c r="F28" s="418"/>
      <c r="G28" s="418"/>
      <c r="H28" s="418"/>
      <c r="I28" s="418"/>
      <c r="J28" s="418"/>
      <c r="K28" s="419"/>
      <c r="L28" s="419"/>
      <c r="M28" s="419"/>
      <c r="N28" s="419"/>
      <c r="O28" s="419"/>
      <c r="P28" s="419"/>
      <c r="Q28" s="419"/>
      <c r="R28" s="418"/>
      <c r="S28" s="418"/>
      <c r="T28" s="418"/>
      <c r="U28" s="418"/>
      <c r="V28" s="418"/>
      <c r="W28" s="418"/>
      <c r="X28" s="418"/>
    </row>
    <row r="29" s="299" customFormat="true" ht="15.75" hidden="false" customHeight="true" outlineLevel="0" collapsed="false">
      <c r="A29" s="420" t="s">
        <v>605</v>
      </c>
      <c r="B29" s="420"/>
      <c r="C29" s="421" t="s">
        <v>606</v>
      </c>
      <c r="D29" s="421"/>
      <c r="E29" s="421"/>
      <c r="F29" s="421"/>
      <c r="G29" s="421"/>
      <c r="H29" s="421"/>
      <c r="I29" s="421"/>
      <c r="J29" s="421"/>
      <c r="K29" s="421"/>
      <c r="L29" s="421"/>
      <c r="M29" s="421"/>
      <c r="N29" s="421"/>
      <c r="O29" s="421"/>
      <c r="P29" s="421"/>
      <c r="Q29" s="421"/>
      <c r="R29" s="421"/>
      <c r="S29" s="421"/>
      <c r="T29" s="422" t="s">
        <v>607</v>
      </c>
      <c r="U29" s="422"/>
      <c r="V29" s="423"/>
      <c r="W29" s="423"/>
      <c r="X29" s="423"/>
    </row>
    <row r="30" s="299" customFormat="true" ht="27" hidden="false" customHeight="true" outlineLevel="0" collapsed="false">
      <c r="A30" s="420"/>
      <c r="B30" s="420"/>
      <c r="C30" s="424" t="s">
        <v>608</v>
      </c>
      <c r="D30" s="424"/>
      <c r="E30" s="424"/>
      <c r="F30" s="424"/>
      <c r="G30" s="424"/>
      <c r="H30" s="424"/>
      <c r="I30" s="424"/>
      <c r="J30" s="424"/>
      <c r="K30" s="424"/>
      <c r="L30" s="424"/>
      <c r="M30" s="424"/>
      <c r="N30" s="424"/>
      <c r="O30" s="424"/>
      <c r="P30" s="424"/>
      <c r="Q30" s="424"/>
      <c r="R30" s="424"/>
      <c r="S30" s="424"/>
      <c r="T30" s="424"/>
      <c r="U30" s="424"/>
      <c r="V30" s="424"/>
      <c r="W30" s="424"/>
      <c r="X30" s="354"/>
    </row>
    <row r="31" s="299" customFormat="true" ht="34.5" hidden="false" customHeight="true" outlineLevel="0" collapsed="false">
      <c r="A31" s="420"/>
      <c r="B31" s="420"/>
      <c r="C31" s="425" t="s">
        <v>609</v>
      </c>
      <c r="D31" s="425"/>
      <c r="E31" s="425"/>
      <c r="F31" s="425"/>
      <c r="G31" s="425"/>
      <c r="H31" s="425"/>
      <c r="I31" s="425"/>
      <c r="J31" s="425"/>
      <c r="K31" s="425"/>
      <c r="L31" s="425"/>
      <c r="M31" s="425"/>
      <c r="N31" s="425"/>
      <c r="O31" s="425"/>
      <c r="P31" s="425"/>
      <c r="Q31" s="425"/>
      <c r="R31" s="425"/>
      <c r="S31" s="425"/>
      <c r="T31" s="426" t="s">
        <v>607</v>
      </c>
      <c r="U31" s="426"/>
      <c r="V31" s="427"/>
      <c r="W31" s="427"/>
      <c r="X31" s="427"/>
    </row>
    <row r="32" s="299" customFormat="true" ht="24.75" hidden="false" customHeight="true" outlineLevel="0" collapsed="false">
      <c r="A32" s="420"/>
      <c r="B32" s="420"/>
      <c r="C32" s="428" t="s">
        <v>610</v>
      </c>
      <c r="D32" s="428"/>
      <c r="E32" s="428"/>
      <c r="F32" s="428"/>
      <c r="G32" s="428"/>
      <c r="H32" s="428"/>
      <c r="I32" s="428"/>
      <c r="J32" s="428"/>
      <c r="K32" s="428"/>
      <c r="L32" s="428"/>
      <c r="M32" s="428"/>
      <c r="N32" s="428"/>
      <c r="O32" s="428"/>
      <c r="P32" s="428"/>
      <c r="Q32" s="428"/>
      <c r="R32" s="428"/>
      <c r="S32" s="428"/>
      <c r="T32" s="429" t="s">
        <v>607</v>
      </c>
      <c r="U32" s="429"/>
      <c r="V32" s="430"/>
      <c r="W32" s="430"/>
      <c r="X32" s="430"/>
    </row>
    <row r="33" s="299" customFormat="true" ht="17.25" hidden="false" customHeight="true" outlineLevel="0" collapsed="false">
      <c r="A33" s="431"/>
      <c r="B33" s="432" t="s">
        <v>611</v>
      </c>
      <c r="C33" s="432"/>
      <c r="D33" s="432"/>
      <c r="E33" s="432"/>
      <c r="F33" s="432"/>
      <c r="G33" s="432"/>
      <c r="H33" s="433"/>
      <c r="I33" s="433"/>
      <c r="J33" s="433"/>
      <c r="K33" s="433"/>
      <c r="L33" s="433"/>
      <c r="M33" s="433"/>
      <c r="N33" s="433"/>
      <c r="O33" s="433"/>
      <c r="P33" s="433"/>
      <c r="Q33" s="433"/>
      <c r="R33" s="433"/>
      <c r="S33" s="433"/>
      <c r="T33" s="433"/>
      <c r="U33" s="433"/>
      <c r="V33" s="433"/>
      <c r="W33" s="433"/>
      <c r="X33" s="434"/>
    </row>
    <row r="34" customFormat="false" ht="17.25" hidden="false" customHeight="true" outlineLevel="0" collapsed="false">
      <c r="A34" s="435"/>
      <c r="X34" s="436"/>
    </row>
    <row r="35" customFormat="false" ht="19.5" hidden="false" customHeight="true" outlineLevel="0" collapsed="false">
      <c r="A35" s="435"/>
      <c r="X35" s="436"/>
    </row>
    <row r="36" customFormat="false" ht="13.5" hidden="false" customHeight="false" outlineLevel="0" collapsed="false">
      <c r="A36" s="435"/>
      <c r="X36" s="436"/>
    </row>
    <row r="37" customFormat="false" ht="13.5" hidden="false" customHeight="false" outlineLevel="0" collapsed="false">
      <c r="A37" s="435"/>
      <c r="X37" s="436"/>
    </row>
    <row r="38" customFormat="false" ht="13.5" hidden="false" customHeight="false" outlineLevel="0" collapsed="false">
      <c r="A38" s="435"/>
      <c r="X38" s="436"/>
    </row>
    <row r="39" customFormat="false" ht="13.5" hidden="false" customHeight="false" outlineLevel="0" collapsed="false">
      <c r="A39" s="435"/>
      <c r="X39" s="436"/>
    </row>
    <row r="40" customFormat="false" ht="13.5" hidden="false" customHeight="false" outlineLevel="0" collapsed="false">
      <c r="A40" s="435"/>
      <c r="X40" s="436"/>
    </row>
    <row r="41" customFormat="false" ht="13.5" hidden="false" customHeight="false" outlineLevel="0" collapsed="false">
      <c r="A41" s="435"/>
      <c r="X41" s="436"/>
    </row>
    <row r="42" customFormat="false" ht="13.5" hidden="false" customHeight="false" outlineLevel="0" collapsed="false">
      <c r="A42" s="435"/>
      <c r="X42" s="436"/>
    </row>
    <row r="43" customFormat="false" ht="13.5" hidden="false" customHeight="false" outlineLevel="0" collapsed="false">
      <c r="A43" s="435"/>
      <c r="X43" s="436"/>
    </row>
    <row r="44" customFormat="false" ht="13.5" hidden="false" customHeight="false" outlineLevel="0" collapsed="false">
      <c r="A44" s="435"/>
      <c r="X44" s="436"/>
    </row>
    <row r="45" customFormat="false" ht="13.5" hidden="false" customHeight="false" outlineLevel="0" collapsed="false">
      <c r="A45" s="435"/>
      <c r="X45" s="436"/>
    </row>
    <row r="46" customFormat="false" ht="13.5" hidden="false" customHeight="false" outlineLevel="0" collapsed="false">
      <c r="A46" s="435"/>
      <c r="X46" s="436"/>
    </row>
    <row r="47" customFormat="false" ht="13.5" hidden="false" customHeight="false" outlineLevel="0" collapsed="false">
      <c r="A47" s="435"/>
      <c r="X47" s="436"/>
    </row>
    <row r="48" customFormat="false" ht="14.25" hidden="false" customHeight="true" outlineLevel="0" collapsed="false">
      <c r="A48" s="437"/>
      <c r="B48" s="271"/>
      <c r="C48" s="271"/>
      <c r="D48" s="271"/>
      <c r="E48" s="271"/>
      <c r="F48" s="271"/>
      <c r="G48" s="271"/>
      <c r="H48" s="271"/>
      <c r="I48" s="271"/>
      <c r="J48" s="271"/>
      <c r="K48" s="271"/>
      <c r="L48" s="271"/>
      <c r="M48" s="271"/>
      <c r="N48" s="271"/>
      <c r="O48" s="271"/>
      <c r="P48" s="271"/>
      <c r="Q48" s="271"/>
      <c r="R48" s="271"/>
      <c r="S48" s="271"/>
      <c r="T48" s="271"/>
      <c r="U48" s="271"/>
      <c r="V48" s="271"/>
      <c r="W48" s="271"/>
      <c r="X48" s="438"/>
    </row>
  </sheetData>
  <mergeCells count="229">
    <mergeCell ref="A1:B1"/>
    <mergeCell ref="Q1:R2"/>
    <mergeCell ref="S2:T2"/>
    <mergeCell ref="U2:X2"/>
    <mergeCell ref="AA3:AB3"/>
    <mergeCell ref="AC3:AE3"/>
    <mergeCell ref="AP3:AQ3"/>
    <mergeCell ref="AR3:AU3"/>
    <mergeCell ref="S4:T4"/>
    <mergeCell ref="U4:V4"/>
    <mergeCell ref="W4:X4"/>
    <mergeCell ref="AC4:AM4"/>
    <mergeCell ref="A5:C5"/>
    <mergeCell ref="D5:R5"/>
    <mergeCell ref="S5:T5"/>
    <mergeCell ref="U5:V5"/>
    <mergeCell ref="W5:X5"/>
    <mergeCell ref="AP5:AQ5"/>
    <mergeCell ref="AR5:AU5"/>
    <mergeCell ref="A6:B6"/>
    <mergeCell ref="C6:E6"/>
    <mergeCell ref="F6:G6"/>
    <mergeCell ref="H6:K6"/>
    <mergeCell ref="L6:M6"/>
    <mergeCell ref="N6:P6"/>
    <mergeCell ref="Q6:S6"/>
    <mergeCell ref="T6:X6"/>
    <mergeCell ref="AA6:AE6"/>
    <mergeCell ref="AF6:AG6"/>
    <mergeCell ref="AH6:AI6"/>
    <mergeCell ref="AJ6:AK6"/>
    <mergeCell ref="AL6:AN6"/>
    <mergeCell ref="AR6:AU6"/>
    <mergeCell ref="A7:C7"/>
    <mergeCell ref="D7:O7"/>
    <mergeCell ref="Q7:R7"/>
    <mergeCell ref="T7:U7"/>
    <mergeCell ref="W7:X7"/>
    <mergeCell ref="AA7:AE7"/>
    <mergeCell ref="AF7:AG7"/>
    <mergeCell ref="AH7:AI7"/>
    <mergeCell ref="AJ7:AK7"/>
    <mergeCell ref="AL7:AN7"/>
    <mergeCell ref="AO7:AU7"/>
    <mergeCell ref="A8:C8"/>
    <mergeCell ref="D8:G8"/>
    <mergeCell ref="I8:K8"/>
    <mergeCell ref="L8:O8"/>
    <mergeCell ref="Q8:R8"/>
    <mergeCell ref="S8:T8"/>
    <mergeCell ref="U8:V8"/>
    <mergeCell ref="W8:X8"/>
    <mergeCell ref="AA8:AE8"/>
    <mergeCell ref="AF8:AG8"/>
    <mergeCell ref="AH8:AI8"/>
    <mergeCell ref="AJ8:AK8"/>
    <mergeCell ref="AL8:AN8"/>
    <mergeCell ref="AO8:AU8"/>
    <mergeCell ref="A9:C9"/>
    <mergeCell ref="D9:I9"/>
    <mergeCell ref="J9:K9"/>
    <mergeCell ref="L9:O9"/>
    <mergeCell ref="P9:Q9"/>
    <mergeCell ref="R9:X9"/>
    <mergeCell ref="AA9:AE9"/>
    <mergeCell ref="AF9:AG9"/>
    <mergeCell ref="AH9:AI9"/>
    <mergeCell ref="AJ9:AK9"/>
    <mergeCell ref="AL9:AN9"/>
    <mergeCell ref="AO9:AU9"/>
    <mergeCell ref="A10:B10"/>
    <mergeCell ref="C10:N10"/>
    <mergeCell ref="O10:P10"/>
    <mergeCell ref="Q10:S10"/>
    <mergeCell ref="T10:U10"/>
    <mergeCell ref="V10:X10"/>
    <mergeCell ref="AA10:AE10"/>
    <mergeCell ref="AF10:AG10"/>
    <mergeCell ref="AH10:AI10"/>
    <mergeCell ref="AJ10:AK10"/>
    <mergeCell ref="AL10:AN10"/>
    <mergeCell ref="AO10:AU10"/>
    <mergeCell ref="A11:B11"/>
    <mergeCell ref="C11:H11"/>
    <mergeCell ref="I11:J11"/>
    <mergeCell ref="K11:O11"/>
    <mergeCell ref="P11:Q11"/>
    <mergeCell ref="R11:X11"/>
    <mergeCell ref="AA11:AE11"/>
    <mergeCell ref="AF11:AG11"/>
    <mergeCell ref="AH11:AI11"/>
    <mergeCell ref="AJ11:AK11"/>
    <mergeCell ref="AL11:AN11"/>
    <mergeCell ref="A12:X12"/>
    <mergeCell ref="AA12:AE12"/>
    <mergeCell ref="AF12:AG12"/>
    <mergeCell ref="AH12:AI12"/>
    <mergeCell ref="AJ12:AK12"/>
    <mergeCell ref="AL12:AN12"/>
    <mergeCell ref="A13:G13"/>
    <mergeCell ref="I13:J13"/>
    <mergeCell ref="S13:T13"/>
    <mergeCell ref="U13:X13"/>
    <mergeCell ref="AA13:AE13"/>
    <mergeCell ref="AF13:AG13"/>
    <mergeCell ref="AH13:AI13"/>
    <mergeCell ref="AJ13:AK13"/>
    <mergeCell ref="AL13:AN13"/>
    <mergeCell ref="AO13:AU13"/>
    <mergeCell ref="A14:G14"/>
    <mergeCell ref="I14:J14"/>
    <mergeCell ref="S14:T14"/>
    <mergeCell ref="U14:X14"/>
    <mergeCell ref="AA14:AE14"/>
    <mergeCell ref="AF14:AG14"/>
    <mergeCell ref="AH14:AI14"/>
    <mergeCell ref="AJ14:AK14"/>
    <mergeCell ref="AL14:AN14"/>
    <mergeCell ref="AO14:AU14"/>
    <mergeCell ref="A15:G15"/>
    <mergeCell ref="I15:J15"/>
    <mergeCell ref="S15:T15"/>
    <mergeCell ref="U15:X15"/>
    <mergeCell ref="AA15:AI15"/>
    <mergeCell ref="AJ15:AN15"/>
    <mergeCell ref="A16:G16"/>
    <mergeCell ref="I16:J16"/>
    <mergeCell ref="S16:T16"/>
    <mergeCell ref="U16:X16"/>
    <mergeCell ref="A17:G17"/>
    <mergeCell ref="I17:J17"/>
    <mergeCell ref="S17:T17"/>
    <mergeCell ref="U17:X17"/>
    <mergeCell ref="A18:G18"/>
    <mergeCell ref="I18:J18"/>
    <mergeCell ref="S18:T18"/>
    <mergeCell ref="U18:X18"/>
    <mergeCell ref="AA18:AI18"/>
    <mergeCell ref="AJ18:AN18"/>
    <mergeCell ref="A19:G19"/>
    <mergeCell ref="I19:J19"/>
    <mergeCell ref="S19:T19"/>
    <mergeCell ref="U19:X19"/>
    <mergeCell ref="AA19:AE19"/>
    <mergeCell ref="AF19:AG19"/>
    <mergeCell ref="AH19:AI19"/>
    <mergeCell ref="AJ19:AK19"/>
    <mergeCell ref="AL19:AN19"/>
    <mergeCell ref="A20:G20"/>
    <mergeCell ref="I20:J20"/>
    <mergeCell ref="S20:T20"/>
    <mergeCell ref="U20:X20"/>
    <mergeCell ref="AA20:AE20"/>
    <mergeCell ref="AF20:AG20"/>
    <mergeCell ref="AH20:AI20"/>
    <mergeCell ref="AJ20:AK20"/>
    <mergeCell ref="AL20:AN20"/>
    <mergeCell ref="A21:G21"/>
    <mergeCell ref="I21:J21"/>
    <mergeCell ref="S21:T21"/>
    <mergeCell ref="U21:X21"/>
    <mergeCell ref="AA21:AE21"/>
    <mergeCell ref="AF21:AG21"/>
    <mergeCell ref="AH21:AI21"/>
    <mergeCell ref="AJ21:AK21"/>
    <mergeCell ref="AL21:AN21"/>
    <mergeCell ref="AO21:AU21"/>
    <mergeCell ref="A22:X22"/>
    <mergeCell ref="AA22:AG22"/>
    <mergeCell ref="AH22:AN22"/>
    <mergeCell ref="AQ22:AS22"/>
    <mergeCell ref="A23:C23"/>
    <mergeCell ref="D23:E23"/>
    <mergeCell ref="F23:H23"/>
    <mergeCell ref="I23:J23"/>
    <mergeCell ref="K23:L23"/>
    <mergeCell ref="M23:O23"/>
    <mergeCell ref="P23:Q23"/>
    <mergeCell ref="R23:S23"/>
    <mergeCell ref="T23:V23"/>
    <mergeCell ref="W23:X23"/>
    <mergeCell ref="AH23:AN23"/>
    <mergeCell ref="B24:C24"/>
    <mergeCell ref="D24:E24"/>
    <mergeCell ref="F24:H24"/>
    <mergeCell ref="I24:J24"/>
    <mergeCell ref="K24:L24"/>
    <mergeCell ref="M24:O24"/>
    <mergeCell ref="P24:Q24"/>
    <mergeCell ref="R24:S24"/>
    <mergeCell ref="T24:V24"/>
    <mergeCell ref="W24:X24"/>
    <mergeCell ref="B25:C25"/>
    <mergeCell ref="D25:E25"/>
    <mergeCell ref="F25:H25"/>
    <mergeCell ref="I25:J25"/>
    <mergeCell ref="K25:L25"/>
    <mergeCell ref="M25:O25"/>
    <mergeCell ref="P25:Q25"/>
    <mergeCell ref="R25:S25"/>
    <mergeCell ref="T25:V25"/>
    <mergeCell ref="W25:X25"/>
    <mergeCell ref="B26:C26"/>
    <mergeCell ref="D26:E26"/>
    <mergeCell ref="F26:H26"/>
    <mergeCell ref="I26:J26"/>
    <mergeCell ref="K26:L26"/>
    <mergeCell ref="M26:O26"/>
    <mergeCell ref="P26:Q26"/>
    <mergeCell ref="R26:S26"/>
    <mergeCell ref="T26:V26"/>
    <mergeCell ref="W26:X26"/>
    <mergeCell ref="A27:C28"/>
    <mergeCell ref="D27:J28"/>
    <mergeCell ref="K27:Q28"/>
    <mergeCell ref="R27:X28"/>
    <mergeCell ref="A29:B32"/>
    <mergeCell ref="C29:S29"/>
    <mergeCell ref="T29:U29"/>
    <mergeCell ref="V29:X29"/>
    <mergeCell ref="C30:W30"/>
    <mergeCell ref="C31:S31"/>
    <mergeCell ref="T31:U31"/>
    <mergeCell ref="V31:X31"/>
    <mergeCell ref="C32:S32"/>
    <mergeCell ref="T32:U32"/>
    <mergeCell ref="V32:X32"/>
    <mergeCell ref="B33:G33"/>
    <mergeCell ref="H33:W33"/>
  </mergeCells>
  <conditionalFormatting sqref="S5:X5">
    <cfRule type="expression" priority="2" aboveAverage="0" equalAverage="0" bottom="0" percent="0" rank="0" text="" dxfId="2">
      <formula>LEN(TRIM(S5))=0</formula>
    </cfRule>
  </conditionalFormatting>
  <conditionalFormatting sqref="U14:U20">
    <cfRule type="cellIs" priority="3" operator="equal" aboveAverage="0" equalAverage="0" bottom="0" percent="0" rank="0" text="" dxfId="3">
      <formula>0</formula>
    </cfRule>
  </conditionalFormatting>
  <conditionalFormatting sqref="S14:S20">
    <cfRule type="cellIs" priority="4" operator="equal" aboveAverage="0" equalAverage="0" bottom="0" percent="0" rank="0" text="" dxfId="3">
      <formula>0</formula>
    </cfRule>
  </conditionalFormatting>
  <conditionalFormatting sqref="H20">
    <cfRule type="expression" priority="5" aboveAverage="0" equalAverage="0" bottom="0" percent="0" rank="0" text="" dxfId="2">
      <formula>LEN(TRIM(H20))=0</formula>
    </cfRule>
  </conditionalFormatting>
  <conditionalFormatting sqref="U2:X3">
    <cfRule type="expression" priority="6" aboveAverage="0" equalAverage="0" bottom="0" percent="0" rank="0" text="" dxfId="2">
      <formula>LEN(TRIM(U2))=0</formula>
    </cfRule>
  </conditionalFormatting>
  <conditionalFormatting sqref="R9:X9">
    <cfRule type="cellIs" priority="7" operator="equal" aboveAverage="0" equalAverage="0" bottom="0" percent="0" rank="0" text="" dxfId="3">
      <formula>0</formula>
    </cfRule>
  </conditionalFormatting>
  <conditionalFormatting sqref="T6:X6">
    <cfRule type="cellIs" priority="8" operator="equal" aboveAverage="0" equalAverage="0" bottom="0" percent="0" rank="0" text="" dxfId="3">
      <formula>0</formula>
    </cfRule>
  </conditionalFormatting>
  <conditionalFormatting sqref="Q7:R7">
    <cfRule type="expression" priority="9" aboveAverage="0" equalAverage="0" bottom="0" percent="0" rank="0" text="" dxfId="2">
      <formula>LEN(TRIM(Q7))=0</formula>
    </cfRule>
  </conditionalFormatting>
  <conditionalFormatting sqref="T7:U7">
    <cfRule type="expression" priority="10" aboveAverage="0" equalAverage="0" bottom="0" percent="0" rank="0" text="" dxfId="2">
      <formula>LEN(TRIM(T7))=0</formula>
    </cfRule>
  </conditionalFormatting>
  <conditionalFormatting sqref="W7:X8">
    <cfRule type="expression" priority="11" aboveAverage="0" equalAverage="0" bottom="0" percent="0" rank="0" text="" dxfId="2">
      <formula>LEN(TRIM(W7))=0</formula>
    </cfRule>
  </conditionalFormatting>
  <dataValidations count="8">
    <dataValidation allowBlank="true" errorStyle="stop" operator="between" prompt="リストから選択して下さい。&#10;" promptTitle="選択して下さい。" showDropDown="false" showErrorMessage="true" showInputMessage="true" sqref="A14:G20" type="list">
      <formula1>部屋タイプ</formula1>
      <formula2>0</formula2>
    </dataValidation>
    <dataValidation allowBlank="true" errorStyle="stop" operator="between" prompt="大人&#10;スノー　　BFAS-D 2400&#10;グリーン　BFAG-D 1500&#10;&#10;子供&#10;スノー　　BFKS-D 2000&#10;グリーン　BFKG-D 1100　" promptTitle="朝食代" showDropDown="false" showErrorMessage="true" showInputMessage="true" sqref="B24:C24" type="none">
      <formula1>0</formula1>
      <formula2>0</formula2>
    </dataValidation>
    <dataValidation allowBlank="false" errorStyle="stop" operator="between" prompt="大人&#10;スノー　　DNAS-D 3500&#10;グリーン　DNAG-D 3000&#10;&#10;子供&#10;スノー　　DNKS-D 2500&#10;グリーン　DNKG-D 1650&#10;&#10;" promptTitle="夕食代" showDropDown="true" showErrorMessage="true" showInputMessage="true" sqref="B26:C26" type="none">
      <formula1>0</formula1>
      <formula2>0</formula2>
    </dataValidation>
    <dataValidation allowBlank="true" errorStyle="stop" operator="between" showDropDown="false" showErrorMessage="true" showInputMessage="true" sqref="F25:H25 M25:O25 T25:V25" type="list">
      <formula1>食事会場</formula1>
      <formula2>0</formula2>
    </dataValidation>
    <dataValidation allowBlank="true" errorStyle="stop" operator="between" prompt="　&#10;　　選んでね　&#10;&#10;　　^___^&#10;&#10;" showDropDown="false" showErrorMessage="true" showInputMessage="true" sqref="F24:H24" type="list">
      <formula1>朝食会場</formula1>
      <formula2>0</formula2>
    </dataValidation>
    <dataValidation allowBlank="true" errorStyle="stop" operator="between" prompt="　&#10;　　選んでね　&#10;&#10;　　^___^&#10;&#10;" promptTitle="時刻を選択" showDropDown="false" showErrorMessage="true" showInputMessage="true" sqref="I26:J26 P26:Q26 W26:X26" type="list">
      <formula1>夕食予約時刻</formula1>
      <formula2>0</formula2>
    </dataValidation>
    <dataValidation allowBlank="true" errorStyle="stop" operator="between" prompt="　&#10;　　選んでね　&#10;&#10;　　^___^&#10;&#10;" showDropDown="false" showErrorMessage="true" showInputMessage="true" sqref="M24:O24 T24:V24 F26:H26 M26:O26 T26:V26" type="list">
      <formula1>食事会場</formula1>
      <formula2>0</formula2>
    </dataValidation>
    <dataValidation allowBlank="true" errorStyle="stop" operator="between" prompt="&#10;" promptTitle="選んでください" showDropDown="false" showErrorMessage="true" showInputMessage="true" sqref="I25:J25 P25:Q25 W25:X25" type="list">
      <formula1>夕食予約時刻</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FD524"/>
  <sheetViews>
    <sheetView showFormulas="false" showGridLines="true" showRowColHeaders="true" showZeros="true" rightToLeft="false" tabSelected="true" showOutlineSymbols="true" defaultGridColor="true" view="normal" topLeftCell="A1" colorId="64" zoomScale="100" zoomScaleNormal="100" zoomScalePageLayoutView="90" workbookViewId="0">
      <pane xSplit="7" ySplit="2" topLeftCell="AG69" activePane="bottomRight" state="frozen"/>
      <selection pane="topLeft" activeCell="A1" activeCellId="0" sqref="A1"/>
      <selection pane="topRight" activeCell="AG1" activeCellId="0" sqref="AG1"/>
      <selection pane="bottomLeft" activeCell="A69" activeCellId="0" sqref="A69"/>
      <selection pane="bottomRight" activeCell="B78" activeCellId="0" sqref="B78"/>
    </sheetView>
  </sheetViews>
  <sheetFormatPr defaultColWidth="9" defaultRowHeight="15" zeroHeight="false" outlineLevelRow="0" outlineLevelCol="0"/>
  <cols>
    <col collapsed="false" customWidth="true" hidden="false" outlineLevel="0" max="1" min="1" style="439" width="13.13"/>
    <col collapsed="false" customWidth="true" hidden="false" outlineLevel="0" max="2" min="2" style="439" width="15.75"/>
    <col collapsed="false" customWidth="true" hidden="false" outlineLevel="0" max="3" min="3" style="439" width="12.38"/>
    <col collapsed="false" customWidth="true" hidden="false" outlineLevel="0" max="4" min="4" style="439" width="11"/>
    <col collapsed="false" customWidth="true" hidden="false" outlineLevel="0" max="5" min="5" style="440" width="7.38"/>
    <col collapsed="false" customWidth="true" hidden="false" outlineLevel="0" max="6" min="6" style="440" width="11.13"/>
    <col collapsed="false" customWidth="true" hidden="false" outlineLevel="0" max="7" min="7" style="441" width="45.38"/>
    <col collapsed="false" customWidth="true" hidden="false" outlineLevel="0" max="8" min="8" style="440" width="45.38"/>
    <col collapsed="false" customWidth="true" hidden="false" outlineLevel="0" max="9" min="9" style="440" width="31.88"/>
    <col collapsed="false" customWidth="true" hidden="false" outlineLevel="0" max="10" min="10" style="440" width="18.63"/>
    <col collapsed="false" customWidth="true" hidden="false" outlineLevel="0" max="11" min="11" style="440" width="57.38"/>
    <col collapsed="false" customWidth="true" hidden="false" outlineLevel="0" max="12" min="12" style="442" width="23.63"/>
    <col collapsed="false" customWidth="true" hidden="false" outlineLevel="0" max="13" min="13" style="440" width="27.38"/>
    <col collapsed="false" customWidth="true" hidden="false" outlineLevel="0" max="14" min="14" style="439" width="12"/>
    <col collapsed="false" customWidth="true" hidden="false" outlineLevel="0" max="15" min="15" style="439" width="14"/>
    <col collapsed="false" customWidth="true" hidden="false" outlineLevel="0" max="16" min="16" style="439" width="10.13"/>
    <col collapsed="false" customWidth="true" hidden="false" outlineLevel="0" max="17" min="17" style="439" width="5.63"/>
    <col collapsed="false" customWidth="true" hidden="false" outlineLevel="0" max="18" min="18" style="440" width="5.63"/>
    <col collapsed="false" customWidth="true" hidden="false" outlineLevel="0" max="19" min="19" style="439" width="10.13"/>
    <col collapsed="false" customWidth="true" hidden="false" outlineLevel="0" max="20" min="20" style="439" width="8.38"/>
    <col collapsed="false" customWidth="true" hidden="false" outlineLevel="0" max="21" min="21" style="439" width="9.13"/>
    <col collapsed="false" customWidth="true" hidden="false" outlineLevel="0" max="22" min="22" style="443" width="14.88"/>
    <col collapsed="false" customWidth="true" hidden="false" outlineLevel="0" max="23" min="23" style="439" width="11"/>
    <col collapsed="false" customWidth="false" hidden="false" outlineLevel="0" max="27" min="24" style="439" width="9"/>
    <col collapsed="false" customWidth="true" hidden="false" outlineLevel="0" max="29" min="28" style="439" width="12.88"/>
    <col collapsed="false" customWidth="true" hidden="false" outlineLevel="0" max="30" min="30" style="439" width="14.75"/>
    <col collapsed="false" customWidth="true" hidden="false" outlineLevel="0" max="31" min="31" style="439" width="16.13"/>
    <col collapsed="false" customWidth="false" hidden="false" outlineLevel="0" max="32" min="32" style="439" width="9"/>
    <col collapsed="false" customWidth="true" hidden="false" outlineLevel="0" max="33" min="33" style="439" width="58.38"/>
    <col collapsed="false" customWidth="false" hidden="false" outlineLevel="0" max="16384" min="34" style="439" width="9"/>
  </cols>
  <sheetData>
    <row r="1" customFormat="false" ht="30" hidden="false" customHeight="true" outlineLevel="0" collapsed="false">
      <c r="A1" s="444" t="s">
        <v>612</v>
      </c>
      <c r="Q1" s="445" t="n">
        <f aca="false">SUBTOTAL(9,Q3:Q506)</f>
        <v>28</v>
      </c>
      <c r="R1" s="445" t="n">
        <f aca="false">SUBTOTAL(9,R3:R506)</f>
        <v>15</v>
      </c>
      <c r="S1" s="446" t="n">
        <f aca="false">SUBTOTAL(9,S3:S506)</f>
        <v>1682</v>
      </c>
      <c r="T1" s="447" t="n">
        <f aca="false">SUBTOTAL(9,T3:T506)</f>
        <v>1854</v>
      </c>
      <c r="W1" s="448"/>
      <c r="X1" s="448"/>
      <c r="Y1" s="448"/>
      <c r="Z1" s="448"/>
      <c r="AA1" s="448"/>
    </row>
    <row r="2" customFormat="false" ht="30" hidden="false" customHeight="true" outlineLevel="0" collapsed="false">
      <c r="A2" s="449" t="s">
        <v>613</v>
      </c>
      <c r="B2" s="450" t="s">
        <v>573</v>
      </c>
      <c r="C2" s="450" t="s">
        <v>575</v>
      </c>
      <c r="D2" s="450" t="s">
        <v>570</v>
      </c>
      <c r="E2" s="451" t="s">
        <v>51</v>
      </c>
      <c r="F2" s="451" t="s">
        <v>90</v>
      </c>
      <c r="G2" s="452" t="s">
        <v>614</v>
      </c>
      <c r="H2" s="451" t="s">
        <v>9</v>
      </c>
      <c r="I2" s="452" t="s">
        <v>615</v>
      </c>
      <c r="J2" s="451" t="s">
        <v>616</v>
      </c>
      <c r="K2" s="451" t="s">
        <v>580</v>
      </c>
      <c r="L2" s="453" t="s">
        <v>617</v>
      </c>
      <c r="M2" s="454" t="s">
        <v>578</v>
      </c>
      <c r="N2" s="452" t="s">
        <v>618</v>
      </c>
      <c r="O2" s="452" t="s">
        <v>619</v>
      </c>
      <c r="P2" s="452" t="s">
        <v>620</v>
      </c>
      <c r="Q2" s="452" t="s">
        <v>621</v>
      </c>
      <c r="R2" s="452" t="s">
        <v>622</v>
      </c>
      <c r="S2" s="452" t="s">
        <v>623</v>
      </c>
      <c r="T2" s="452" t="s">
        <v>624</v>
      </c>
      <c r="U2" s="455" t="s">
        <v>625</v>
      </c>
      <c r="V2" s="456" t="s">
        <v>565</v>
      </c>
      <c r="W2" s="457" t="s">
        <v>626</v>
      </c>
      <c r="X2" s="458" t="s">
        <v>493</v>
      </c>
      <c r="Y2" s="457" t="s">
        <v>627</v>
      </c>
      <c r="Z2" s="458" t="s">
        <v>493</v>
      </c>
      <c r="AA2" s="458" t="s">
        <v>494</v>
      </c>
      <c r="AB2" s="459" t="s">
        <v>628</v>
      </c>
      <c r="AC2" s="459" t="s">
        <v>629</v>
      </c>
      <c r="AD2" s="459" t="s">
        <v>630</v>
      </c>
      <c r="AE2" s="459" t="s">
        <v>631</v>
      </c>
      <c r="AF2" s="459" t="s">
        <v>632</v>
      </c>
      <c r="AG2" s="449" t="s">
        <v>633</v>
      </c>
    </row>
    <row r="3" customFormat="false" ht="30" hidden="false" customHeight="true" outlineLevel="0" collapsed="false">
      <c r="A3" s="449" t="s">
        <v>634</v>
      </c>
      <c r="B3" s="460" t="n">
        <v>46216</v>
      </c>
      <c r="C3" s="460" t="n">
        <v>46217</v>
      </c>
      <c r="D3" s="259" t="s">
        <v>323</v>
      </c>
      <c r="E3" s="461" t="n">
        <v>1</v>
      </c>
      <c r="F3" s="461"/>
      <c r="G3" s="462" t="s">
        <v>635</v>
      </c>
      <c r="H3" s="463" t="s">
        <v>636</v>
      </c>
      <c r="I3" s="259" t="s">
        <v>637</v>
      </c>
      <c r="J3" s="259" t="s">
        <v>638</v>
      </c>
      <c r="K3" s="259" t="s">
        <v>639</v>
      </c>
      <c r="L3" s="464" t="s">
        <v>640</v>
      </c>
      <c r="M3" s="465" t="s">
        <v>641</v>
      </c>
      <c r="N3" s="260" t="s">
        <v>642</v>
      </c>
      <c r="O3" s="466" t="s">
        <v>643</v>
      </c>
      <c r="P3" s="259" t="s">
        <v>644</v>
      </c>
      <c r="Q3" s="467" t="n">
        <v>1</v>
      </c>
      <c r="R3" s="467"/>
      <c r="S3" s="467" t="n">
        <v>4</v>
      </c>
      <c r="T3" s="466" t="n">
        <v>4</v>
      </c>
      <c r="U3" s="468" t="n">
        <v>7000</v>
      </c>
      <c r="V3" s="469"/>
      <c r="W3" s="470"/>
      <c r="X3" s="471"/>
      <c r="Y3" s="472" t="s">
        <v>645</v>
      </c>
      <c r="Z3" s="461" t="n">
        <v>2500</v>
      </c>
      <c r="AA3" s="472" t="s">
        <v>646</v>
      </c>
      <c r="AB3" s="473" t="n">
        <v>0.743055555555556</v>
      </c>
      <c r="AC3" s="466"/>
      <c r="AD3" s="466"/>
      <c r="AE3" s="466"/>
      <c r="AF3" s="466"/>
      <c r="AG3" s="474"/>
      <c r="AH3" s="475"/>
      <c r="AI3" s="475"/>
      <c r="AJ3" s="475"/>
      <c r="AK3" s="475"/>
      <c r="AL3" s="475"/>
      <c r="AM3" s="475"/>
      <c r="AN3" s="475"/>
      <c r="AO3" s="475"/>
      <c r="AP3" s="475"/>
      <c r="AQ3" s="475"/>
      <c r="AR3" s="475"/>
      <c r="AS3" s="475"/>
      <c r="AT3" s="475"/>
      <c r="AU3" s="475"/>
      <c r="AV3" s="475"/>
      <c r="AW3" s="475"/>
      <c r="AX3" s="475"/>
      <c r="AY3" s="475"/>
      <c r="AZ3" s="475"/>
      <c r="BA3" s="475"/>
      <c r="BB3" s="475"/>
      <c r="BC3" s="475"/>
      <c r="BD3" s="475"/>
      <c r="BE3" s="475"/>
      <c r="BF3" s="475"/>
      <c r="BG3" s="475"/>
      <c r="BH3" s="475"/>
      <c r="BI3" s="475"/>
      <c r="BJ3" s="475"/>
      <c r="BK3" s="475"/>
      <c r="BL3" s="475"/>
      <c r="BM3" s="475"/>
      <c r="BN3" s="475"/>
      <c r="BO3" s="475"/>
      <c r="BP3" s="475"/>
      <c r="BQ3" s="475"/>
      <c r="BR3" s="475"/>
      <c r="BS3" s="475"/>
      <c r="BT3" s="475"/>
      <c r="BU3" s="475"/>
      <c r="BV3" s="475"/>
      <c r="BW3" s="475"/>
      <c r="BX3" s="475"/>
      <c r="BY3" s="475"/>
      <c r="BZ3" s="475"/>
      <c r="CA3" s="475"/>
      <c r="CB3" s="475"/>
      <c r="CC3" s="475"/>
    </row>
    <row r="4" customFormat="false" ht="30" hidden="false" customHeight="true" outlineLevel="0" collapsed="false">
      <c r="A4" s="449" t="s">
        <v>647</v>
      </c>
      <c r="B4" s="460" t="n">
        <v>46236</v>
      </c>
      <c r="C4" s="460" t="n">
        <v>46237</v>
      </c>
      <c r="D4" s="259" t="s">
        <v>312</v>
      </c>
      <c r="E4" s="461" t="n">
        <v>1</v>
      </c>
      <c r="F4" s="476" t="n">
        <v>46174</v>
      </c>
      <c r="G4" s="477" t="s">
        <v>648</v>
      </c>
      <c r="H4" s="478" t="s">
        <v>649</v>
      </c>
      <c r="I4" s="259" t="s">
        <v>650</v>
      </c>
      <c r="J4" s="259" t="s">
        <v>651</v>
      </c>
      <c r="K4" s="112" t="s">
        <v>652</v>
      </c>
      <c r="L4" s="464" t="s">
        <v>653</v>
      </c>
      <c r="M4" s="112"/>
      <c r="N4" s="259" t="s">
        <v>654</v>
      </c>
      <c r="O4" s="259" t="s">
        <v>655</v>
      </c>
      <c r="P4" s="259" t="s">
        <v>656</v>
      </c>
      <c r="Q4" s="467" t="n">
        <v>1</v>
      </c>
      <c r="R4" s="467" t="n">
        <v>1</v>
      </c>
      <c r="S4" s="467" t="n">
        <v>20</v>
      </c>
      <c r="T4" s="466" t="n">
        <v>40</v>
      </c>
      <c r="U4" s="468" t="n">
        <v>27400</v>
      </c>
      <c r="V4" s="469"/>
      <c r="W4" s="479" t="s">
        <v>657</v>
      </c>
      <c r="X4" s="471"/>
      <c r="Y4" s="470" t="s">
        <v>658</v>
      </c>
      <c r="Z4" s="471" t="n">
        <v>2200</v>
      </c>
      <c r="AA4" s="472" t="s">
        <v>334</v>
      </c>
      <c r="AB4" s="480" t="n">
        <v>1.02083333333333</v>
      </c>
      <c r="AC4" s="466"/>
      <c r="AD4" s="466"/>
      <c r="AE4" s="466"/>
      <c r="AF4" s="466" t="n">
        <v>10</v>
      </c>
      <c r="AG4" s="481"/>
      <c r="AH4" s="475"/>
      <c r="AI4" s="475"/>
      <c r="AJ4" s="475"/>
      <c r="AK4" s="475"/>
      <c r="AL4" s="475"/>
      <c r="AM4" s="475"/>
      <c r="AN4" s="475"/>
      <c r="AO4" s="475"/>
      <c r="AP4" s="475"/>
      <c r="AQ4" s="475"/>
      <c r="AR4" s="475"/>
      <c r="AS4" s="475"/>
      <c r="AT4" s="475"/>
      <c r="AU4" s="475"/>
      <c r="AV4" s="475"/>
      <c r="AW4" s="475"/>
      <c r="AX4" s="475"/>
      <c r="AY4" s="475"/>
      <c r="AZ4" s="475"/>
      <c r="BA4" s="475"/>
      <c r="BB4" s="475"/>
      <c r="BC4" s="475"/>
      <c r="BD4" s="475"/>
      <c r="BE4" s="475"/>
      <c r="BF4" s="475"/>
      <c r="BG4" s="475"/>
      <c r="BH4" s="475"/>
      <c r="BI4" s="475"/>
      <c r="BJ4" s="475"/>
      <c r="BK4" s="475"/>
      <c r="BL4" s="475"/>
      <c r="BM4" s="475"/>
      <c r="BN4" s="475"/>
      <c r="BO4" s="475"/>
      <c r="BP4" s="475"/>
      <c r="BQ4" s="475"/>
      <c r="BR4" s="475"/>
      <c r="BS4" s="475"/>
      <c r="BT4" s="475"/>
      <c r="BU4" s="475"/>
      <c r="BV4" s="475"/>
      <c r="BW4" s="475"/>
      <c r="BX4" s="475"/>
      <c r="BY4" s="475"/>
      <c r="BZ4" s="475"/>
      <c r="CA4" s="475"/>
      <c r="CB4" s="475"/>
      <c r="CC4" s="475"/>
    </row>
    <row r="5" customFormat="false" ht="30" hidden="false" customHeight="true" outlineLevel="0" collapsed="false">
      <c r="A5" s="449" t="s">
        <v>659</v>
      </c>
      <c r="B5" s="460" t="n">
        <v>45719</v>
      </c>
      <c r="C5" s="460" t="n">
        <v>45723</v>
      </c>
      <c r="D5" s="259" t="s">
        <v>323</v>
      </c>
      <c r="E5" s="461" t="n">
        <v>3</v>
      </c>
      <c r="F5" s="461"/>
      <c r="G5" s="482" t="s">
        <v>660</v>
      </c>
      <c r="H5" s="478" t="s">
        <v>661</v>
      </c>
      <c r="I5" s="259" t="s">
        <v>637</v>
      </c>
      <c r="J5" s="483" t="s">
        <v>662</v>
      </c>
      <c r="K5" s="259"/>
      <c r="L5" s="464" t="s">
        <v>663</v>
      </c>
      <c r="M5" s="465" t="s">
        <v>664</v>
      </c>
      <c r="N5" s="484" t="s">
        <v>642</v>
      </c>
      <c r="O5" s="466" t="s">
        <v>643</v>
      </c>
      <c r="P5" s="466" t="s">
        <v>560</v>
      </c>
      <c r="Q5" s="467"/>
      <c r="R5" s="467"/>
      <c r="S5" s="467" t="n">
        <f aca="false">(6+56+18)*3</f>
        <v>240</v>
      </c>
      <c r="T5" s="466" t="n">
        <v>80</v>
      </c>
      <c r="U5" s="468"/>
      <c r="V5" s="469"/>
      <c r="W5" s="470"/>
      <c r="X5" s="471" t="n">
        <v>5280</v>
      </c>
      <c r="Y5" s="470"/>
      <c r="Z5" s="471" t="n">
        <v>3630</v>
      </c>
      <c r="AA5" s="472" t="s">
        <v>665</v>
      </c>
      <c r="AB5" s="485"/>
      <c r="AC5" s="485"/>
      <c r="AD5" s="484"/>
      <c r="AE5" s="466"/>
      <c r="AF5" s="466" t="n">
        <v>0</v>
      </c>
      <c r="AG5" s="474"/>
      <c r="AH5" s="475"/>
      <c r="AI5" s="475"/>
      <c r="AJ5" s="475"/>
      <c r="AK5" s="475"/>
      <c r="AL5" s="475"/>
      <c r="AM5" s="475"/>
      <c r="AN5" s="475"/>
      <c r="AO5" s="475"/>
      <c r="AP5" s="475"/>
      <c r="AQ5" s="475"/>
      <c r="AR5" s="475"/>
      <c r="AS5" s="475"/>
      <c r="AT5" s="475"/>
      <c r="AU5" s="475"/>
      <c r="AV5" s="475"/>
      <c r="AW5" s="475"/>
      <c r="AX5" s="475"/>
      <c r="AY5" s="475"/>
      <c r="AZ5" s="475"/>
      <c r="BA5" s="475"/>
      <c r="BB5" s="475"/>
      <c r="BC5" s="475"/>
      <c r="BD5" s="475"/>
      <c r="BE5" s="475"/>
      <c r="BF5" s="475"/>
      <c r="BG5" s="475"/>
      <c r="BH5" s="475"/>
      <c r="BI5" s="475"/>
      <c r="BJ5" s="475"/>
      <c r="BK5" s="475"/>
      <c r="BL5" s="475"/>
      <c r="BM5" s="475"/>
      <c r="BN5" s="475"/>
      <c r="BO5" s="475"/>
      <c r="BP5" s="475"/>
      <c r="BQ5" s="475"/>
      <c r="BR5" s="475"/>
      <c r="BS5" s="475"/>
      <c r="BT5" s="475"/>
      <c r="BU5" s="475"/>
      <c r="BV5" s="475"/>
      <c r="BW5" s="475"/>
      <c r="BX5" s="475"/>
      <c r="BY5" s="475"/>
      <c r="BZ5" s="475"/>
      <c r="CA5" s="475"/>
      <c r="CB5" s="475"/>
      <c r="CC5" s="475"/>
    </row>
    <row r="6" customFormat="false" ht="30" hidden="false" customHeight="true" outlineLevel="0" collapsed="false">
      <c r="A6" s="449" t="s">
        <v>666</v>
      </c>
      <c r="B6" s="460" t="n">
        <v>46138</v>
      </c>
      <c r="C6" s="460" t="n">
        <v>46139</v>
      </c>
      <c r="D6" s="259" t="s">
        <v>667</v>
      </c>
      <c r="E6" s="461" t="n">
        <v>1</v>
      </c>
      <c r="F6" s="461"/>
      <c r="G6" s="486" t="s">
        <v>668</v>
      </c>
      <c r="H6" s="478" t="s">
        <v>669</v>
      </c>
      <c r="I6" s="484" t="s">
        <v>670</v>
      </c>
      <c r="J6" s="483" t="s">
        <v>671</v>
      </c>
      <c r="K6" s="487" t="s">
        <v>672</v>
      </c>
      <c r="L6" s="464" t="s">
        <v>673</v>
      </c>
      <c r="M6" s="465" t="s">
        <v>674</v>
      </c>
      <c r="N6" s="484"/>
      <c r="O6" s="466" t="s">
        <v>675</v>
      </c>
      <c r="P6" s="488" t="s">
        <v>676</v>
      </c>
      <c r="Q6" s="467" t="n">
        <v>3</v>
      </c>
      <c r="R6" s="467" t="n">
        <v>1</v>
      </c>
      <c r="S6" s="467" t="n">
        <v>21</v>
      </c>
      <c r="T6" s="466" t="n">
        <v>44</v>
      </c>
      <c r="U6" s="468"/>
      <c r="V6" s="469"/>
      <c r="W6" s="470"/>
      <c r="X6" s="471" t="n">
        <v>4224</v>
      </c>
      <c r="Y6" s="470"/>
      <c r="Z6" s="471" t="n">
        <v>2905</v>
      </c>
      <c r="AA6" s="470"/>
      <c r="AB6" s="473" t="n">
        <v>0.6875</v>
      </c>
      <c r="AC6" s="473" t="n">
        <v>0.395833333333333</v>
      </c>
      <c r="AD6" s="484" t="n">
        <v>3</v>
      </c>
      <c r="AE6" s="466" t="n">
        <v>2</v>
      </c>
      <c r="AF6" s="466" t="n">
        <v>0</v>
      </c>
      <c r="AG6" s="478" t="s">
        <v>677</v>
      </c>
      <c r="AH6" s="475"/>
      <c r="AI6" s="475"/>
      <c r="AJ6" s="475"/>
      <c r="AK6" s="475"/>
      <c r="AL6" s="475"/>
      <c r="AM6" s="475"/>
      <c r="AN6" s="475"/>
      <c r="AO6" s="475"/>
      <c r="AP6" s="475"/>
      <c r="AQ6" s="475"/>
      <c r="AR6" s="475"/>
      <c r="AS6" s="475"/>
      <c r="AT6" s="475"/>
      <c r="AU6" s="475"/>
      <c r="AV6" s="475"/>
      <c r="AW6" s="475"/>
      <c r="AX6" s="475"/>
      <c r="AY6" s="475"/>
      <c r="AZ6" s="475"/>
      <c r="BA6" s="475"/>
      <c r="BB6" s="475"/>
      <c r="BC6" s="475"/>
      <c r="BD6" s="475"/>
      <c r="BE6" s="475"/>
      <c r="BF6" s="475"/>
      <c r="BG6" s="475"/>
      <c r="BH6" s="475"/>
      <c r="BI6" s="475"/>
      <c r="BJ6" s="475"/>
      <c r="BK6" s="475"/>
      <c r="BL6" s="475"/>
      <c r="BM6" s="475"/>
      <c r="BN6" s="475"/>
      <c r="BO6" s="475"/>
      <c r="BP6" s="475"/>
      <c r="BQ6" s="475"/>
      <c r="BR6" s="475"/>
      <c r="BS6" s="475"/>
      <c r="BT6" s="475"/>
      <c r="BU6" s="475"/>
      <c r="BV6" s="475"/>
      <c r="BW6" s="475"/>
      <c r="BX6" s="475"/>
      <c r="BY6" s="475"/>
      <c r="BZ6" s="475"/>
      <c r="CA6" s="475"/>
      <c r="CB6" s="475"/>
      <c r="CC6" s="475"/>
    </row>
    <row r="7" customFormat="false" ht="30" hidden="false" customHeight="true" outlineLevel="0" collapsed="false">
      <c r="A7" s="449" t="s">
        <v>678</v>
      </c>
      <c r="B7" s="460" t="n">
        <v>45712</v>
      </c>
      <c r="C7" s="460" t="n">
        <v>45713</v>
      </c>
      <c r="D7" s="259" t="s">
        <v>312</v>
      </c>
      <c r="E7" s="461" t="n">
        <v>1</v>
      </c>
      <c r="F7" s="461"/>
      <c r="G7" s="489" t="s">
        <v>679</v>
      </c>
      <c r="H7" s="490" t="s">
        <v>680</v>
      </c>
      <c r="I7" s="259" t="s">
        <v>681</v>
      </c>
      <c r="J7" s="259" t="s">
        <v>682</v>
      </c>
      <c r="K7" s="259" t="s">
        <v>683</v>
      </c>
      <c r="L7" s="464" t="s">
        <v>684</v>
      </c>
      <c r="M7" s="465" t="s">
        <v>685</v>
      </c>
      <c r="N7" s="484" t="s">
        <v>642</v>
      </c>
      <c r="O7" s="466" t="s">
        <v>643</v>
      </c>
      <c r="P7" s="259" t="s">
        <v>686</v>
      </c>
      <c r="Q7" s="467"/>
      <c r="R7" s="467"/>
      <c r="S7" s="467"/>
      <c r="T7" s="466"/>
      <c r="U7" s="468"/>
      <c r="V7" s="491"/>
      <c r="W7" s="470"/>
      <c r="X7" s="471"/>
      <c r="Y7" s="470"/>
      <c r="Z7" s="471"/>
      <c r="AA7" s="471"/>
      <c r="AB7" s="466"/>
      <c r="AC7" s="466"/>
      <c r="AD7" s="466"/>
      <c r="AE7" s="466"/>
      <c r="AF7" s="466"/>
      <c r="AG7" s="478"/>
      <c r="AH7" s="475"/>
      <c r="AI7" s="475"/>
      <c r="AJ7" s="475"/>
      <c r="AK7" s="475"/>
      <c r="AL7" s="475"/>
      <c r="AM7" s="475"/>
      <c r="AN7" s="475"/>
      <c r="AO7" s="475"/>
      <c r="AP7" s="475"/>
      <c r="AQ7" s="475"/>
      <c r="AR7" s="475"/>
      <c r="AS7" s="475"/>
      <c r="AT7" s="475"/>
      <c r="AU7" s="475"/>
      <c r="AV7" s="475"/>
      <c r="AW7" s="475"/>
      <c r="AX7" s="475"/>
      <c r="AY7" s="475"/>
      <c r="AZ7" s="475"/>
      <c r="BA7" s="475"/>
      <c r="BB7" s="475"/>
      <c r="BC7" s="475"/>
      <c r="BD7" s="475"/>
      <c r="BE7" s="475"/>
      <c r="BF7" s="475"/>
      <c r="BG7" s="475"/>
      <c r="BH7" s="475"/>
      <c r="BI7" s="475"/>
      <c r="BJ7" s="475"/>
      <c r="BK7" s="475"/>
      <c r="BL7" s="475"/>
      <c r="BM7" s="475"/>
      <c r="BN7" s="475"/>
      <c r="BO7" s="475"/>
      <c r="BP7" s="475"/>
      <c r="BQ7" s="475"/>
      <c r="BR7" s="475"/>
      <c r="BS7" s="475"/>
      <c r="BT7" s="475"/>
      <c r="BU7" s="475"/>
      <c r="BV7" s="475"/>
      <c r="BW7" s="475"/>
      <c r="BX7" s="475"/>
      <c r="BY7" s="475"/>
      <c r="BZ7" s="475"/>
      <c r="CA7" s="475"/>
      <c r="CB7" s="475"/>
      <c r="CC7" s="475"/>
    </row>
    <row r="8" customFormat="false" ht="30" hidden="false" customHeight="true" outlineLevel="0" collapsed="false">
      <c r="A8" s="449" t="s">
        <v>687</v>
      </c>
      <c r="B8" s="460" t="n">
        <v>45713</v>
      </c>
      <c r="C8" s="460" t="n">
        <v>45714</v>
      </c>
      <c r="D8" s="259" t="s">
        <v>312</v>
      </c>
      <c r="E8" s="461" t="n">
        <v>1</v>
      </c>
      <c r="F8" s="461"/>
      <c r="G8" s="489" t="s">
        <v>688</v>
      </c>
      <c r="H8" s="490" t="s">
        <v>680</v>
      </c>
      <c r="I8" s="259" t="s">
        <v>681</v>
      </c>
      <c r="J8" s="259" t="s">
        <v>682</v>
      </c>
      <c r="K8" s="259" t="s">
        <v>683</v>
      </c>
      <c r="L8" s="464" t="s">
        <v>684</v>
      </c>
      <c r="M8" s="465" t="s">
        <v>685</v>
      </c>
      <c r="N8" s="484" t="s">
        <v>642</v>
      </c>
      <c r="O8" s="466" t="s">
        <v>643</v>
      </c>
      <c r="P8" s="259" t="s">
        <v>686</v>
      </c>
      <c r="Q8" s="467"/>
      <c r="R8" s="467"/>
      <c r="S8" s="467"/>
      <c r="T8" s="466"/>
      <c r="U8" s="468"/>
      <c r="V8" s="491"/>
      <c r="W8" s="470"/>
      <c r="X8" s="471"/>
      <c r="Y8" s="470"/>
      <c r="Z8" s="471"/>
      <c r="AA8" s="471"/>
      <c r="AB8" s="466"/>
      <c r="AC8" s="466"/>
      <c r="AD8" s="466"/>
      <c r="AE8" s="466"/>
      <c r="AF8" s="466"/>
      <c r="AG8" s="478"/>
      <c r="AH8" s="475"/>
      <c r="AI8" s="475"/>
      <c r="AJ8" s="475"/>
      <c r="AK8" s="475"/>
      <c r="AL8" s="475"/>
      <c r="AM8" s="475"/>
      <c r="AN8" s="475"/>
      <c r="AO8" s="475"/>
      <c r="AP8" s="475"/>
      <c r="AQ8" s="475"/>
      <c r="AR8" s="475"/>
      <c r="AS8" s="475"/>
      <c r="AT8" s="475"/>
      <c r="AU8" s="475"/>
      <c r="AV8" s="475"/>
      <c r="AW8" s="475"/>
      <c r="AX8" s="475"/>
      <c r="AY8" s="475"/>
      <c r="AZ8" s="475"/>
      <c r="BA8" s="475"/>
      <c r="BB8" s="475"/>
      <c r="BC8" s="475"/>
      <c r="BD8" s="475"/>
      <c r="BE8" s="475"/>
      <c r="BF8" s="475"/>
      <c r="BG8" s="475"/>
      <c r="BH8" s="475"/>
      <c r="BI8" s="475"/>
      <c r="BJ8" s="475"/>
      <c r="BK8" s="475"/>
      <c r="BL8" s="475"/>
      <c r="BM8" s="475"/>
      <c r="BN8" s="475"/>
      <c r="BO8" s="475"/>
      <c r="BP8" s="475"/>
      <c r="BQ8" s="475"/>
      <c r="BR8" s="475"/>
      <c r="BS8" s="475"/>
      <c r="BT8" s="475"/>
      <c r="BU8" s="475"/>
      <c r="BV8" s="475"/>
      <c r="BW8" s="475"/>
      <c r="BX8" s="475"/>
      <c r="BY8" s="475"/>
      <c r="BZ8" s="475"/>
      <c r="CA8" s="475"/>
      <c r="CB8" s="475"/>
      <c r="CC8" s="475"/>
    </row>
    <row r="9" customFormat="false" ht="30" hidden="false" customHeight="true" outlineLevel="0" collapsed="false">
      <c r="A9" s="449" t="s">
        <v>689</v>
      </c>
      <c r="B9" s="460" t="n">
        <v>45684</v>
      </c>
      <c r="C9" s="460" t="n">
        <v>45689</v>
      </c>
      <c r="D9" s="259" t="s">
        <v>312</v>
      </c>
      <c r="E9" s="461" t="n">
        <v>5</v>
      </c>
      <c r="F9" s="461"/>
      <c r="G9" s="486" t="s">
        <v>690</v>
      </c>
      <c r="H9" s="478" t="s">
        <v>691</v>
      </c>
      <c r="I9" s="484" t="s">
        <v>692</v>
      </c>
      <c r="J9" s="484" t="s">
        <v>693</v>
      </c>
      <c r="K9" s="484" t="s">
        <v>694</v>
      </c>
      <c r="L9" s="464" t="s">
        <v>695</v>
      </c>
      <c r="M9" s="465" t="s">
        <v>696</v>
      </c>
      <c r="N9" s="259" t="s">
        <v>697</v>
      </c>
      <c r="O9" s="466" t="s">
        <v>698</v>
      </c>
      <c r="P9" s="466" t="s">
        <v>560</v>
      </c>
      <c r="Q9" s="467"/>
      <c r="R9" s="467"/>
      <c r="S9" s="467" t="n">
        <v>15</v>
      </c>
      <c r="T9" s="466" t="n">
        <v>28</v>
      </c>
      <c r="U9" s="468"/>
      <c r="V9" s="469"/>
      <c r="W9" s="470"/>
      <c r="X9" s="471" t="n">
        <v>5280</v>
      </c>
      <c r="Y9" s="470"/>
      <c r="Z9" s="471" t="n">
        <v>3630</v>
      </c>
      <c r="AA9" s="472" t="s">
        <v>324</v>
      </c>
      <c r="AB9" s="466"/>
      <c r="AC9" s="466"/>
      <c r="AD9" s="466"/>
      <c r="AE9" s="466"/>
      <c r="AF9" s="466"/>
      <c r="AG9" s="478"/>
      <c r="AH9" s="475"/>
      <c r="AI9" s="475"/>
      <c r="AJ9" s="475"/>
      <c r="AK9" s="475"/>
      <c r="AL9" s="475"/>
      <c r="AM9" s="475"/>
      <c r="AN9" s="475"/>
      <c r="AO9" s="475"/>
      <c r="AP9" s="475"/>
      <c r="AQ9" s="475"/>
      <c r="AR9" s="475"/>
      <c r="AS9" s="475"/>
      <c r="AT9" s="475"/>
      <c r="AU9" s="475"/>
      <c r="AV9" s="475"/>
      <c r="AW9" s="475"/>
      <c r="AX9" s="475"/>
      <c r="AY9" s="475"/>
      <c r="AZ9" s="475"/>
      <c r="BA9" s="475"/>
      <c r="BB9" s="475"/>
      <c r="BC9" s="475"/>
      <c r="BD9" s="475"/>
      <c r="BE9" s="475"/>
      <c r="BF9" s="475"/>
      <c r="BG9" s="475"/>
      <c r="BH9" s="475"/>
      <c r="BI9" s="475"/>
      <c r="BJ9" s="475"/>
      <c r="BK9" s="475"/>
      <c r="BL9" s="475"/>
      <c r="BM9" s="475"/>
      <c r="BN9" s="475"/>
      <c r="BO9" s="475"/>
      <c r="BP9" s="475"/>
      <c r="BQ9" s="475"/>
      <c r="BR9" s="475"/>
      <c r="BS9" s="475"/>
      <c r="BT9" s="475"/>
      <c r="BU9" s="475"/>
      <c r="BV9" s="475"/>
      <c r="BW9" s="475"/>
      <c r="BX9" s="475"/>
      <c r="BY9" s="475"/>
      <c r="BZ9" s="475"/>
      <c r="CA9" s="475"/>
      <c r="CB9" s="475"/>
      <c r="CC9" s="475"/>
    </row>
    <row r="10" customFormat="false" ht="30" hidden="false" customHeight="true" outlineLevel="0" collapsed="false">
      <c r="A10" s="449" t="s">
        <v>699</v>
      </c>
      <c r="B10" s="460" t="n">
        <v>45704</v>
      </c>
      <c r="C10" s="460" t="n">
        <v>45705</v>
      </c>
      <c r="D10" s="259" t="s">
        <v>312</v>
      </c>
      <c r="E10" s="461" t="n">
        <v>1</v>
      </c>
      <c r="F10" s="461"/>
      <c r="G10" s="489" t="s">
        <v>679</v>
      </c>
      <c r="H10" s="490" t="s">
        <v>680</v>
      </c>
      <c r="I10" s="259" t="s">
        <v>681</v>
      </c>
      <c r="J10" s="259" t="s">
        <v>682</v>
      </c>
      <c r="K10" s="259" t="s">
        <v>683</v>
      </c>
      <c r="L10" s="464" t="s">
        <v>684</v>
      </c>
      <c r="M10" s="465" t="s">
        <v>685</v>
      </c>
      <c r="N10" s="484" t="s">
        <v>642</v>
      </c>
      <c r="O10" s="466" t="s">
        <v>643</v>
      </c>
      <c r="P10" s="259" t="s">
        <v>686</v>
      </c>
      <c r="Q10" s="467"/>
      <c r="R10" s="467"/>
      <c r="S10" s="467"/>
      <c r="T10" s="466"/>
      <c r="U10" s="468"/>
      <c r="V10" s="491"/>
      <c r="W10" s="470"/>
      <c r="X10" s="471"/>
      <c r="Y10" s="470"/>
      <c r="Z10" s="471"/>
      <c r="AA10" s="471"/>
      <c r="AB10" s="466"/>
      <c r="AC10" s="466"/>
      <c r="AD10" s="466"/>
      <c r="AE10" s="466"/>
      <c r="AF10" s="466"/>
      <c r="AG10" s="478"/>
      <c r="AH10" s="475"/>
      <c r="AI10" s="475"/>
      <c r="AJ10" s="475"/>
      <c r="AK10" s="475"/>
      <c r="AL10" s="475"/>
      <c r="AM10" s="475"/>
      <c r="AN10" s="475"/>
      <c r="AO10" s="475"/>
      <c r="AP10" s="475"/>
      <c r="AQ10" s="475"/>
      <c r="AR10" s="475"/>
      <c r="AS10" s="475"/>
      <c r="AT10" s="475"/>
      <c r="AU10" s="475"/>
      <c r="AV10" s="475"/>
      <c r="AW10" s="475"/>
      <c r="AX10" s="475"/>
      <c r="AY10" s="475"/>
      <c r="AZ10" s="475"/>
      <c r="BA10" s="475"/>
      <c r="BB10" s="475"/>
      <c r="BC10" s="475"/>
      <c r="BD10" s="475"/>
      <c r="BE10" s="475"/>
      <c r="BF10" s="475"/>
      <c r="BG10" s="475"/>
      <c r="BH10" s="475"/>
      <c r="BI10" s="475"/>
      <c r="BJ10" s="475"/>
      <c r="BK10" s="475"/>
      <c r="BL10" s="475"/>
      <c r="BM10" s="475"/>
      <c r="BN10" s="475"/>
      <c r="BO10" s="475"/>
      <c r="BP10" s="475"/>
      <c r="BQ10" s="475"/>
      <c r="BR10" s="475"/>
      <c r="BS10" s="475"/>
      <c r="BT10" s="475"/>
      <c r="BU10" s="475"/>
      <c r="BV10" s="475"/>
      <c r="BW10" s="475"/>
      <c r="BX10" s="475"/>
      <c r="BY10" s="475"/>
      <c r="BZ10" s="475"/>
      <c r="CA10" s="475"/>
      <c r="CB10" s="475"/>
      <c r="CC10" s="475"/>
    </row>
    <row r="11" customFormat="false" ht="30" hidden="false" customHeight="true" outlineLevel="0" collapsed="false">
      <c r="A11" s="449" t="s">
        <v>700</v>
      </c>
      <c r="B11" s="460" t="n">
        <v>45705</v>
      </c>
      <c r="C11" s="460" t="n">
        <v>45706</v>
      </c>
      <c r="D11" s="259" t="s">
        <v>312</v>
      </c>
      <c r="E11" s="461" t="n">
        <v>1</v>
      </c>
      <c r="F11" s="461"/>
      <c r="G11" s="489" t="s">
        <v>688</v>
      </c>
      <c r="H11" s="490" t="s">
        <v>680</v>
      </c>
      <c r="I11" s="259" t="s">
        <v>681</v>
      </c>
      <c r="J11" s="259" t="s">
        <v>682</v>
      </c>
      <c r="K11" s="259" t="s">
        <v>683</v>
      </c>
      <c r="L11" s="464" t="s">
        <v>684</v>
      </c>
      <c r="M11" s="492" t="s">
        <v>685</v>
      </c>
      <c r="N11" s="484" t="s">
        <v>642</v>
      </c>
      <c r="O11" s="466" t="s">
        <v>643</v>
      </c>
      <c r="P11" s="259" t="s">
        <v>686</v>
      </c>
      <c r="Q11" s="467"/>
      <c r="R11" s="467"/>
      <c r="S11" s="467"/>
      <c r="T11" s="466"/>
      <c r="U11" s="468"/>
      <c r="V11" s="491"/>
      <c r="W11" s="470"/>
      <c r="X11" s="471"/>
      <c r="Y11" s="470"/>
      <c r="Z11" s="471"/>
      <c r="AA11" s="471"/>
      <c r="AB11" s="466"/>
      <c r="AC11" s="466"/>
      <c r="AD11" s="466"/>
      <c r="AE11" s="466"/>
      <c r="AF11" s="466"/>
      <c r="AG11" s="478"/>
      <c r="AH11" s="475"/>
      <c r="AI11" s="475"/>
      <c r="AJ11" s="475"/>
      <c r="AK11" s="475"/>
      <c r="AL11" s="475"/>
      <c r="AM11" s="475"/>
      <c r="AN11" s="475"/>
      <c r="AO11" s="475"/>
      <c r="AP11" s="475"/>
      <c r="AQ11" s="475"/>
      <c r="AR11" s="475"/>
      <c r="AS11" s="475"/>
      <c r="AT11" s="475"/>
      <c r="AU11" s="475"/>
      <c r="AV11" s="475"/>
      <c r="AW11" s="475"/>
      <c r="AX11" s="475"/>
      <c r="AY11" s="475"/>
      <c r="AZ11" s="475"/>
      <c r="BA11" s="475"/>
      <c r="BB11" s="475"/>
      <c r="BC11" s="475"/>
      <c r="BD11" s="475"/>
      <c r="BE11" s="475"/>
      <c r="BF11" s="475"/>
      <c r="BG11" s="475"/>
      <c r="BH11" s="475"/>
      <c r="BI11" s="475"/>
      <c r="BJ11" s="475"/>
      <c r="BK11" s="475"/>
      <c r="BL11" s="475"/>
      <c r="BM11" s="475"/>
      <c r="BN11" s="475"/>
      <c r="BO11" s="475"/>
      <c r="BP11" s="475"/>
      <c r="BQ11" s="475"/>
      <c r="BR11" s="475"/>
      <c r="BS11" s="475"/>
      <c r="BT11" s="475"/>
      <c r="BU11" s="475"/>
      <c r="BV11" s="475"/>
      <c r="BW11" s="475"/>
      <c r="BX11" s="475"/>
      <c r="BY11" s="475"/>
      <c r="BZ11" s="475"/>
      <c r="CA11" s="475"/>
      <c r="CB11" s="475"/>
      <c r="CC11" s="475"/>
    </row>
    <row r="12" customFormat="false" ht="30" hidden="false" customHeight="true" outlineLevel="0" collapsed="false">
      <c r="A12" s="449" t="s">
        <v>701</v>
      </c>
      <c r="B12" s="460" t="n">
        <v>46073</v>
      </c>
      <c r="C12" s="460" t="n">
        <v>46076</v>
      </c>
      <c r="D12" s="259" t="s">
        <v>312</v>
      </c>
      <c r="E12" s="461" t="n">
        <v>3</v>
      </c>
      <c r="F12" s="461"/>
      <c r="G12" s="462" t="s">
        <v>702</v>
      </c>
      <c r="H12" s="469" t="s">
        <v>703</v>
      </c>
      <c r="I12" s="493" t="s">
        <v>637</v>
      </c>
      <c r="J12" s="259" t="s">
        <v>704</v>
      </c>
      <c r="K12" s="259" t="s">
        <v>705</v>
      </c>
      <c r="L12" s="464" t="s">
        <v>706</v>
      </c>
      <c r="M12" s="492" t="s">
        <v>707</v>
      </c>
      <c r="N12" s="484" t="s">
        <v>642</v>
      </c>
      <c r="O12" s="466" t="s">
        <v>643</v>
      </c>
      <c r="P12" s="466" t="s">
        <v>560</v>
      </c>
      <c r="Q12" s="467"/>
      <c r="R12" s="467"/>
      <c r="S12" s="467" t="n">
        <v>73</v>
      </c>
      <c r="T12" s="466" t="n">
        <v>73</v>
      </c>
      <c r="U12" s="468"/>
      <c r="V12" s="494"/>
      <c r="W12" s="470"/>
      <c r="X12" s="471" t="n">
        <v>5280</v>
      </c>
      <c r="Y12" s="470"/>
      <c r="Z12" s="471" t="n">
        <v>3630</v>
      </c>
      <c r="AA12" s="472" t="s">
        <v>708</v>
      </c>
      <c r="AB12" s="466"/>
      <c r="AC12" s="466"/>
      <c r="AD12" s="466"/>
      <c r="AE12" s="466"/>
      <c r="AF12" s="466" t="n">
        <v>0</v>
      </c>
      <c r="AG12" s="474" t="s">
        <v>709</v>
      </c>
      <c r="AH12" s="475"/>
      <c r="AI12" s="475"/>
      <c r="AJ12" s="475"/>
      <c r="AK12" s="475"/>
      <c r="AL12" s="475"/>
      <c r="AM12" s="475"/>
      <c r="AN12" s="475"/>
      <c r="AO12" s="475"/>
      <c r="AP12" s="475"/>
      <c r="AQ12" s="475"/>
      <c r="AR12" s="475"/>
      <c r="AS12" s="475"/>
      <c r="AT12" s="475"/>
      <c r="AU12" s="475"/>
      <c r="AV12" s="475"/>
      <c r="AW12" s="475"/>
      <c r="AX12" s="475"/>
      <c r="AY12" s="475"/>
      <c r="AZ12" s="475"/>
      <c r="BA12" s="475"/>
      <c r="BB12" s="475"/>
      <c r="BC12" s="475"/>
      <c r="BD12" s="475"/>
      <c r="BE12" s="475"/>
      <c r="BF12" s="475"/>
      <c r="BG12" s="475"/>
      <c r="BH12" s="475"/>
      <c r="BI12" s="475"/>
      <c r="BJ12" s="475"/>
      <c r="BK12" s="475"/>
      <c r="BL12" s="475"/>
      <c r="BM12" s="475"/>
      <c r="BN12" s="475"/>
      <c r="BO12" s="475"/>
      <c r="BP12" s="475"/>
      <c r="BQ12" s="475"/>
      <c r="BR12" s="475"/>
      <c r="BS12" s="475"/>
      <c r="BT12" s="475"/>
      <c r="BU12" s="475"/>
      <c r="BV12" s="475"/>
      <c r="BW12" s="475"/>
      <c r="BX12" s="475"/>
      <c r="BY12" s="475"/>
      <c r="BZ12" s="475"/>
      <c r="CA12" s="475"/>
      <c r="CB12" s="475"/>
      <c r="CC12" s="475"/>
    </row>
    <row r="13" customFormat="false" ht="30" hidden="false" customHeight="true" outlineLevel="0" collapsed="false">
      <c r="A13" s="449" t="s">
        <v>710</v>
      </c>
      <c r="B13" s="460" t="n">
        <v>46084</v>
      </c>
      <c r="C13" s="460" t="n">
        <v>46088</v>
      </c>
      <c r="D13" s="259" t="s">
        <v>312</v>
      </c>
      <c r="E13" s="461" t="n">
        <v>4</v>
      </c>
      <c r="F13" s="461"/>
      <c r="G13" s="495" t="s">
        <v>711</v>
      </c>
      <c r="H13" s="490" t="s">
        <v>642</v>
      </c>
      <c r="I13" s="496" t="s">
        <v>712</v>
      </c>
      <c r="J13" s="259" t="s">
        <v>713</v>
      </c>
      <c r="K13" s="484" t="s">
        <v>714</v>
      </c>
      <c r="L13" s="464" t="s">
        <v>715</v>
      </c>
      <c r="M13" s="465" t="s">
        <v>716</v>
      </c>
      <c r="N13" s="497" t="s">
        <v>642</v>
      </c>
      <c r="O13" s="466" t="s">
        <v>717</v>
      </c>
      <c r="P13" s="497" t="s">
        <v>560</v>
      </c>
      <c r="Q13" s="467"/>
      <c r="R13" s="467"/>
      <c r="S13" s="467" t="n">
        <v>80</v>
      </c>
      <c r="T13" s="466" t="n">
        <v>20</v>
      </c>
      <c r="U13" s="468"/>
      <c r="V13" s="469"/>
      <c r="W13" s="470"/>
      <c r="X13" s="471" t="n">
        <v>5280</v>
      </c>
      <c r="Y13" s="470"/>
      <c r="Z13" s="471" t="n">
        <v>3630</v>
      </c>
      <c r="AA13" s="472" t="s">
        <v>324</v>
      </c>
      <c r="AB13" s="466"/>
      <c r="AC13" s="466"/>
      <c r="AD13" s="466"/>
      <c r="AE13" s="466"/>
      <c r="AF13" s="466"/>
      <c r="AG13" s="478"/>
      <c r="AH13" s="475"/>
      <c r="AI13" s="475"/>
      <c r="AJ13" s="475"/>
      <c r="AK13" s="475"/>
      <c r="AL13" s="475"/>
      <c r="AM13" s="475"/>
      <c r="AN13" s="475"/>
      <c r="AO13" s="475"/>
      <c r="AP13" s="475"/>
      <c r="AQ13" s="475"/>
      <c r="AR13" s="475"/>
      <c r="AS13" s="475"/>
      <c r="AT13" s="475"/>
      <c r="AU13" s="475"/>
      <c r="AV13" s="475"/>
      <c r="AW13" s="475"/>
      <c r="AX13" s="475"/>
      <c r="AY13" s="475"/>
      <c r="AZ13" s="475"/>
      <c r="BA13" s="475"/>
      <c r="BB13" s="475"/>
      <c r="BC13" s="475"/>
      <c r="BD13" s="475"/>
      <c r="BE13" s="475"/>
      <c r="BF13" s="475"/>
      <c r="BG13" s="475"/>
      <c r="BH13" s="475"/>
      <c r="BI13" s="475"/>
      <c r="BJ13" s="475"/>
      <c r="BK13" s="475"/>
      <c r="BL13" s="475"/>
      <c r="BM13" s="475"/>
      <c r="BN13" s="475"/>
      <c r="BO13" s="475"/>
      <c r="BP13" s="475"/>
      <c r="BQ13" s="475"/>
      <c r="BR13" s="475"/>
      <c r="BS13" s="475"/>
      <c r="BT13" s="475"/>
      <c r="BU13" s="475"/>
      <c r="BV13" s="475"/>
      <c r="BW13" s="475"/>
      <c r="BX13" s="475"/>
      <c r="BY13" s="475"/>
      <c r="BZ13" s="475"/>
      <c r="CA13" s="475"/>
      <c r="CB13" s="475"/>
      <c r="CC13" s="475"/>
    </row>
    <row r="14" customFormat="false" ht="30" hidden="false" customHeight="true" outlineLevel="0" collapsed="false">
      <c r="A14" s="449" t="s">
        <v>718</v>
      </c>
      <c r="B14" s="460" t="n">
        <v>46034</v>
      </c>
      <c r="C14" s="460" t="n">
        <v>46039</v>
      </c>
      <c r="D14" s="259" t="s">
        <v>312</v>
      </c>
      <c r="E14" s="461" t="n">
        <v>5</v>
      </c>
      <c r="F14" s="461"/>
      <c r="G14" s="491" t="s">
        <v>719</v>
      </c>
      <c r="H14" s="469" t="s">
        <v>642</v>
      </c>
      <c r="I14" s="496" t="s">
        <v>720</v>
      </c>
      <c r="J14" s="259" t="s">
        <v>721</v>
      </c>
      <c r="K14" s="259" t="s">
        <v>722</v>
      </c>
      <c r="L14" s="464" t="s">
        <v>723</v>
      </c>
      <c r="M14" s="465" t="s">
        <v>724</v>
      </c>
      <c r="N14" s="497" t="s">
        <v>642</v>
      </c>
      <c r="O14" s="466" t="s">
        <v>725</v>
      </c>
      <c r="P14" s="488" t="s">
        <v>560</v>
      </c>
      <c r="Q14" s="467"/>
      <c r="R14" s="467"/>
      <c r="S14" s="467" t="n">
        <v>13</v>
      </c>
      <c r="T14" s="466" t="n">
        <v>25</v>
      </c>
      <c r="U14" s="468"/>
      <c r="V14" s="469"/>
      <c r="W14" s="470"/>
      <c r="X14" s="471" t="n">
        <v>5280</v>
      </c>
      <c r="Y14" s="470"/>
      <c r="Z14" s="471" t="n">
        <v>3630</v>
      </c>
      <c r="AA14" s="470" t="s">
        <v>726</v>
      </c>
      <c r="AB14" s="466"/>
      <c r="AC14" s="466"/>
      <c r="AD14" s="466"/>
      <c r="AE14" s="466"/>
      <c r="AF14" s="466"/>
      <c r="AG14" s="478"/>
      <c r="AH14" s="475"/>
      <c r="AI14" s="475"/>
      <c r="AJ14" s="475"/>
      <c r="AK14" s="475"/>
      <c r="AL14" s="475"/>
      <c r="AM14" s="475"/>
      <c r="AN14" s="475"/>
      <c r="AO14" s="475"/>
      <c r="AP14" s="475"/>
      <c r="AQ14" s="475"/>
      <c r="AR14" s="475"/>
      <c r="AS14" s="475"/>
      <c r="AT14" s="475"/>
      <c r="AU14" s="475"/>
      <c r="AV14" s="475"/>
      <c r="AW14" s="475"/>
      <c r="AX14" s="475"/>
      <c r="AY14" s="475"/>
      <c r="AZ14" s="475"/>
      <c r="BA14" s="475"/>
      <c r="BB14" s="475"/>
      <c r="BC14" s="475"/>
      <c r="BD14" s="475"/>
      <c r="BE14" s="475"/>
      <c r="BF14" s="475"/>
      <c r="BG14" s="475"/>
      <c r="BH14" s="475"/>
      <c r="BI14" s="475"/>
      <c r="BJ14" s="475"/>
      <c r="BK14" s="475"/>
      <c r="BL14" s="475"/>
      <c r="BM14" s="475"/>
      <c r="BN14" s="475"/>
      <c r="BO14" s="475"/>
      <c r="BP14" s="475"/>
      <c r="BQ14" s="475"/>
      <c r="BR14" s="475"/>
      <c r="BS14" s="475"/>
      <c r="BT14" s="475"/>
      <c r="BU14" s="475"/>
      <c r="BV14" s="475"/>
      <c r="BW14" s="475"/>
      <c r="BX14" s="475"/>
      <c r="BY14" s="475"/>
      <c r="BZ14" s="475"/>
      <c r="CA14" s="475"/>
      <c r="CB14" s="475"/>
      <c r="CC14" s="475"/>
    </row>
    <row r="15" customFormat="false" ht="30" hidden="false" customHeight="true" outlineLevel="0" collapsed="false">
      <c r="A15" s="449" t="s">
        <v>727</v>
      </c>
      <c r="B15" s="460" t="n">
        <v>46033</v>
      </c>
      <c r="C15" s="460" t="n">
        <v>46037</v>
      </c>
      <c r="D15" s="259" t="s">
        <v>312</v>
      </c>
      <c r="E15" s="461" t="n">
        <v>4</v>
      </c>
      <c r="F15" s="461"/>
      <c r="G15" s="462" t="s">
        <v>728</v>
      </c>
      <c r="H15" s="463" t="s">
        <v>729</v>
      </c>
      <c r="I15" s="493" t="s">
        <v>730</v>
      </c>
      <c r="J15" s="259" t="s">
        <v>731</v>
      </c>
      <c r="K15" s="112" t="s">
        <v>732</v>
      </c>
      <c r="L15" s="464" t="s">
        <v>733</v>
      </c>
      <c r="M15" s="465" t="s">
        <v>734</v>
      </c>
      <c r="N15" s="259" t="s">
        <v>697</v>
      </c>
      <c r="O15" s="466" t="s">
        <v>735</v>
      </c>
      <c r="P15" s="484" t="s">
        <v>560</v>
      </c>
      <c r="Q15" s="467"/>
      <c r="R15" s="467"/>
      <c r="S15" s="467" t="n">
        <v>18</v>
      </c>
      <c r="T15" s="466" t="n">
        <v>34</v>
      </c>
      <c r="U15" s="468"/>
      <c r="V15" s="469"/>
      <c r="W15" s="470"/>
      <c r="X15" s="471" t="n">
        <v>5280</v>
      </c>
      <c r="Y15" s="470"/>
      <c r="Z15" s="471" t="n">
        <v>3630</v>
      </c>
      <c r="AA15" s="483" t="s">
        <v>736</v>
      </c>
      <c r="AB15" s="473"/>
      <c r="AC15" s="473"/>
      <c r="AD15" s="485"/>
      <c r="AE15" s="466"/>
      <c r="AF15" s="466"/>
      <c r="AG15" s="478"/>
      <c r="AH15" s="475"/>
      <c r="AI15" s="475"/>
      <c r="AJ15" s="475"/>
      <c r="AK15" s="475"/>
      <c r="AL15" s="475"/>
      <c r="AM15" s="475"/>
      <c r="AN15" s="475"/>
      <c r="AO15" s="475"/>
      <c r="AP15" s="475"/>
      <c r="AQ15" s="475"/>
      <c r="AR15" s="475"/>
      <c r="AS15" s="475"/>
      <c r="AT15" s="475"/>
      <c r="AU15" s="475"/>
      <c r="AV15" s="475"/>
      <c r="AW15" s="475"/>
      <c r="AX15" s="475"/>
      <c r="AY15" s="475"/>
      <c r="AZ15" s="475"/>
      <c r="BA15" s="475"/>
      <c r="BB15" s="475"/>
      <c r="BC15" s="475"/>
      <c r="BD15" s="475"/>
      <c r="BE15" s="475"/>
      <c r="BF15" s="475"/>
      <c r="BG15" s="475"/>
      <c r="BH15" s="475"/>
      <c r="BI15" s="475"/>
      <c r="BJ15" s="475"/>
      <c r="BK15" s="475"/>
      <c r="BL15" s="475"/>
      <c r="BM15" s="475"/>
      <c r="BN15" s="475"/>
      <c r="BO15" s="475"/>
      <c r="BP15" s="475"/>
      <c r="BQ15" s="475"/>
      <c r="BR15" s="475"/>
      <c r="BS15" s="475"/>
      <c r="BT15" s="475"/>
      <c r="BU15" s="475"/>
      <c r="BV15" s="475"/>
      <c r="BW15" s="475"/>
      <c r="BX15" s="475"/>
      <c r="BY15" s="475"/>
      <c r="BZ15" s="475"/>
      <c r="CA15" s="475"/>
      <c r="CB15" s="475"/>
      <c r="CC15" s="475"/>
    </row>
    <row r="16" customFormat="false" ht="30" hidden="false" customHeight="true" outlineLevel="0" collapsed="false">
      <c r="A16" s="449" t="s">
        <v>737</v>
      </c>
      <c r="B16" s="460" t="n">
        <v>46061</v>
      </c>
      <c r="C16" s="460" t="n">
        <v>46065</v>
      </c>
      <c r="D16" s="259" t="s">
        <v>738</v>
      </c>
      <c r="E16" s="461" t="n">
        <v>4</v>
      </c>
      <c r="F16" s="461"/>
      <c r="G16" s="491" t="s">
        <v>739</v>
      </c>
      <c r="H16" s="469" t="s">
        <v>740</v>
      </c>
      <c r="I16" s="496" t="s">
        <v>741</v>
      </c>
      <c r="J16" s="484" t="s">
        <v>742</v>
      </c>
      <c r="K16" s="498" t="s">
        <v>743</v>
      </c>
      <c r="L16" s="464"/>
      <c r="M16" s="465" t="s">
        <v>744</v>
      </c>
      <c r="N16" s="484" t="s">
        <v>740</v>
      </c>
      <c r="O16" s="466" t="s">
        <v>698</v>
      </c>
      <c r="P16" s="499" t="s">
        <v>560</v>
      </c>
      <c r="Q16" s="467"/>
      <c r="R16" s="467"/>
      <c r="S16" s="467" t="n">
        <v>28</v>
      </c>
      <c r="T16" s="466" t="n">
        <v>21</v>
      </c>
      <c r="U16" s="468"/>
      <c r="V16" s="469"/>
      <c r="W16" s="470"/>
      <c r="X16" s="471" t="n">
        <v>5280</v>
      </c>
      <c r="Y16" s="470"/>
      <c r="Z16" s="471" t="n">
        <v>3630</v>
      </c>
      <c r="AA16" s="483" t="s">
        <v>736</v>
      </c>
      <c r="AB16" s="466"/>
      <c r="AC16" s="466"/>
      <c r="AD16" s="466"/>
      <c r="AE16" s="466"/>
      <c r="AF16" s="466" t="n">
        <v>10</v>
      </c>
      <c r="AG16" s="478"/>
      <c r="AH16" s="475"/>
      <c r="AI16" s="475"/>
      <c r="AJ16" s="475"/>
      <c r="AK16" s="475"/>
      <c r="AL16" s="475"/>
      <c r="AM16" s="475"/>
      <c r="AN16" s="475"/>
      <c r="AO16" s="475"/>
      <c r="AP16" s="475"/>
      <c r="AQ16" s="475"/>
      <c r="AR16" s="475"/>
      <c r="AS16" s="475"/>
      <c r="AT16" s="475"/>
      <c r="AU16" s="475"/>
      <c r="AV16" s="475"/>
      <c r="AW16" s="475"/>
      <c r="AX16" s="475"/>
      <c r="AY16" s="475"/>
      <c r="AZ16" s="475"/>
      <c r="BA16" s="475"/>
      <c r="BB16" s="475"/>
      <c r="BC16" s="475"/>
      <c r="BD16" s="475"/>
      <c r="BE16" s="475"/>
      <c r="BF16" s="475"/>
      <c r="BG16" s="475"/>
      <c r="BH16" s="475"/>
      <c r="BI16" s="475"/>
      <c r="BJ16" s="475"/>
      <c r="BK16" s="475"/>
      <c r="BL16" s="475"/>
      <c r="BM16" s="475"/>
      <c r="BN16" s="475"/>
      <c r="BO16" s="475"/>
      <c r="BP16" s="475"/>
      <c r="BQ16" s="475"/>
      <c r="BR16" s="475"/>
      <c r="BS16" s="475"/>
      <c r="BT16" s="475"/>
      <c r="BU16" s="475"/>
      <c r="BV16" s="475"/>
      <c r="BW16" s="475"/>
      <c r="BX16" s="475"/>
      <c r="BY16" s="475"/>
      <c r="BZ16" s="475"/>
      <c r="CA16" s="475"/>
      <c r="CB16" s="475"/>
      <c r="CC16" s="475"/>
    </row>
    <row r="17" customFormat="false" ht="30" hidden="false" customHeight="true" outlineLevel="0" collapsed="false">
      <c r="A17" s="449" t="s">
        <v>745</v>
      </c>
      <c r="B17" s="460" t="n">
        <v>45685</v>
      </c>
      <c r="C17" s="460" t="n">
        <v>45689</v>
      </c>
      <c r="D17" s="259" t="s">
        <v>312</v>
      </c>
      <c r="E17" s="461" t="n">
        <v>4</v>
      </c>
      <c r="F17" s="461"/>
      <c r="G17" s="500" t="s">
        <v>746</v>
      </c>
      <c r="H17" s="501" t="s">
        <v>747</v>
      </c>
      <c r="I17" s="502" t="s">
        <v>748</v>
      </c>
      <c r="J17" s="503" t="s">
        <v>749</v>
      </c>
      <c r="K17" s="504" t="s">
        <v>750</v>
      </c>
      <c r="L17" s="505" t="s">
        <v>751</v>
      </c>
      <c r="M17" s="506" t="s">
        <v>752</v>
      </c>
      <c r="N17" s="484" t="s">
        <v>642</v>
      </c>
      <c r="O17" s="466" t="s">
        <v>643</v>
      </c>
      <c r="P17" s="497" t="s">
        <v>560</v>
      </c>
      <c r="Q17" s="507"/>
      <c r="R17" s="507"/>
      <c r="S17" s="467" t="n">
        <f aca="false">21*4</f>
        <v>84</v>
      </c>
      <c r="T17" s="508" t="n">
        <v>21</v>
      </c>
      <c r="U17" s="509"/>
      <c r="V17" s="510"/>
      <c r="W17" s="471"/>
      <c r="X17" s="471" t="n">
        <v>5280</v>
      </c>
      <c r="Y17" s="471"/>
      <c r="Z17" s="461" t="n">
        <v>3630</v>
      </c>
      <c r="AA17" s="470" t="s">
        <v>753</v>
      </c>
      <c r="AB17" s="508"/>
      <c r="AC17" s="508"/>
      <c r="AD17" s="508"/>
      <c r="AE17" s="508"/>
      <c r="AF17" s="508" t="n">
        <v>15</v>
      </c>
      <c r="AG17" s="481"/>
      <c r="AH17" s="475"/>
      <c r="AI17" s="475"/>
      <c r="AJ17" s="475"/>
      <c r="AK17" s="475"/>
      <c r="AL17" s="475"/>
      <c r="AM17" s="475"/>
      <c r="AN17" s="475"/>
      <c r="AO17" s="475"/>
      <c r="AP17" s="475"/>
      <c r="AQ17" s="475"/>
      <c r="AR17" s="475"/>
      <c r="AS17" s="475"/>
      <c r="AT17" s="475"/>
      <c r="AU17" s="475"/>
      <c r="AV17" s="475"/>
      <c r="AW17" s="475"/>
      <c r="AX17" s="475"/>
      <c r="AY17" s="475"/>
      <c r="AZ17" s="475"/>
      <c r="BA17" s="475"/>
      <c r="BB17" s="475"/>
      <c r="BC17" s="475"/>
      <c r="BD17" s="475"/>
      <c r="BE17" s="475"/>
      <c r="BF17" s="475"/>
      <c r="BG17" s="475"/>
      <c r="BH17" s="475"/>
      <c r="BI17" s="475"/>
      <c r="BJ17" s="475"/>
      <c r="BK17" s="475"/>
      <c r="BL17" s="475"/>
      <c r="BM17" s="475"/>
      <c r="BN17" s="475"/>
      <c r="BO17" s="475"/>
      <c r="BP17" s="475"/>
      <c r="BQ17" s="475"/>
      <c r="BR17" s="475"/>
      <c r="BS17" s="475"/>
      <c r="BT17" s="475"/>
      <c r="BU17" s="475"/>
      <c r="BV17" s="475"/>
      <c r="BW17" s="475"/>
      <c r="BX17" s="475"/>
      <c r="BY17" s="475"/>
      <c r="BZ17" s="475"/>
      <c r="CA17" s="475"/>
      <c r="CB17" s="475"/>
      <c r="CC17" s="475"/>
    </row>
    <row r="18" customFormat="false" ht="30" hidden="false" customHeight="true" outlineLevel="0" collapsed="false">
      <c r="A18" s="449" t="s">
        <v>754</v>
      </c>
      <c r="B18" s="460" t="n">
        <v>45668</v>
      </c>
      <c r="C18" s="460" t="n">
        <v>45672</v>
      </c>
      <c r="D18" s="259" t="s">
        <v>312</v>
      </c>
      <c r="E18" s="461" t="n">
        <v>4</v>
      </c>
      <c r="F18" s="461"/>
      <c r="G18" s="489" t="s">
        <v>755</v>
      </c>
      <c r="H18" s="484" t="s">
        <v>740</v>
      </c>
      <c r="I18" s="484" t="s">
        <v>756</v>
      </c>
      <c r="J18" s="511" t="s">
        <v>757</v>
      </c>
      <c r="K18" s="512" t="s">
        <v>758</v>
      </c>
      <c r="L18" s="464" t="s">
        <v>759</v>
      </c>
      <c r="M18" s="465" t="s">
        <v>760</v>
      </c>
      <c r="N18" s="484" t="s">
        <v>740</v>
      </c>
      <c r="O18" s="466" t="s">
        <v>643</v>
      </c>
      <c r="P18" s="497" t="s">
        <v>560</v>
      </c>
      <c r="Q18" s="467"/>
      <c r="R18" s="467"/>
      <c r="S18" s="467" t="n">
        <v>8</v>
      </c>
      <c r="T18" s="466" t="n">
        <v>4</v>
      </c>
      <c r="U18" s="468"/>
      <c r="V18" s="469"/>
      <c r="W18" s="471"/>
      <c r="X18" s="471" t="n">
        <v>5280</v>
      </c>
      <c r="Y18" s="471"/>
      <c r="Z18" s="461" t="n">
        <v>3630</v>
      </c>
      <c r="AA18" s="483" t="s">
        <v>736</v>
      </c>
      <c r="AB18" s="466"/>
      <c r="AC18" s="466"/>
      <c r="AD18" s="466"/>
      <c r="AE18" s="466"/>
      <c r="AF18" s="466" t="n">
        <v>10</v>
      </c>
      <c r="AG18" s="481"/>
      <c r="AH18" s="475"/>
      <c r="AI18" s="475"/>
      <c r="AJ18" s="475"/>
      <c r="AK18" s="475"/>
      <c r="AL18" s="475"/>
      <c r="AM18" s="475"/>
      <c r="AN18" s="475"/>
      <c r="AO18" s="475"/>
      <c r="AP18" s="475"/>
      <c r="AQ18" s="475"/>
      <c r="AR18" s="475"/>
      <c r="AS18" s="475"/>
      <c r="AT18" s="475"/>
      <c r="AU18" s="475"/>
      <c r="AV18" s="475"/>
      <c r="AW18" s="475"/>
      <c r="AX18" s="475"/>
      <c r="AY18" s="475"/>
      <c r="AZ18" s="475"/>
      <c r="BA18" s="475"/>
      <c r="BB18" s="475"/>
      <c r="BC18" s="475"/>
      <c r="BD18" s="475"/>
      <c r="BE18" s="475"/>
      <c r="BF18" s="475"/>
      <c r="BG18" s="475"/>
      <c r="BH18" s="475"/>
      <c r="BI18" s="475"/>
      <c r="BJ18" s="475"/>
      <c r="BK18" s="475"/>
      <c r="BL18" s="475"/>
      <c r="BM18" s="475"/>
      <c r="BN18" s="475"/>
      <c r="BO18" s="475"/>
      <c r="BP18" s="475"/>
      <c r="BQ18" s="475"/>
      <c r="BR18" s="475"/>
      <c r="BS18" s="475"/>
      <c r="BT18" s="475"/>
      <c r="BU18" s="475"/>
      <c r="BV18" s="475"/>
      <c r="BW18" s="475"/>
      <c r="BX18" s="475"/>
      <c r="BY18" s="475"/>
      <c r="BZ18" s="475"/>
      <c r="CA18" s="475"/>
      <c r="CB18" s="475"/>
      <c r="CC18" s="475"/>
    </row>
    <row r="19" customFormat="false" ht="30" hidden="false" customHeight="true" outlineLevel="0" collapsed="false">
      <c r="A19" s="449" t="s">
        <v>761</v>
      </c>
      <c r="B19" s="460" t="n">
        <v>46038</v>
      </c>
      <c r="C19" s="460" t="n">
        <v>46039</v>
      </c>
      <c r="D19" s="259" t="s">
        <v>312</v>
      </c>
      <c r="E19" s="461" t="n">
        <v>1</v>
      </c>
      <c r="F19" s="461"/>
      <c r="G19" s="477" t="s">
        <v>762</v>
      </c>
      <c r="H19" s="259" t="s">
        <v>729</v>
      </c>
      <c r="I19" s="259" t="s">
        <v>763</v>
      </c>
      <c r="J19" s="259" t="s">
        <v>764</v>
      </c>
      <c r="K19" s="513" t="s">
        <v>765</v>
      </c>
      <c r="L19" s="464" t="s">
        <v>766</v>
      </c>
      <c r="M19" s="465" t="s">
        <v>767</v>
      </c>
      <c r="N19" s="259" t="s">
        <v>697</v>
      </c>
      <c r="O19" s="259" t="s">
        <v>768</v>
      </c>
      <c r="P19" s="259" t="s">
        <v>686</v>
      </c>
      <c r="Q19" s="467"/>
      <c r="R19" s="467"/>
      <c r="S19" s="467" t="n">
        <v>20</v>
      </c>
      <c r="T19" s="466" t="n">
        <v>10</v>
      </c>
      <c r="U19" s="468"/>
      <c r="V19" s="469"/>
      <c r="W19" s="470"/>
      <c r="X19" s="471"/>
      <c r="Y19" s="470"/>
      <c r="Z19" s="471"/>
      <c r="AA19" s="470"/>
      <c r="AB19" s="466"/>
      <c r="AC19" s="466"/>
      <c r="AD19" s="466" t="n">
        <v>2</v>
      </c>
      <c r="AE19" s="466"/>
      <c r="AF19" s="466"/>
      <c r="AG19" s="481"/>
      <c r="AH19" s="475"/>
      <c r="AI19" s="475"/>
      <c r="AJ19" s="475"/>
      <c r="AK19" s="475"/>
      <c r="AL19" s="475"/>
      <c r="AM19" s="475"/>
      <c r="AN19" s="475"/>
      <c r="AO19" s="475"/>
      <c r="AP19" s="475"/>
      <c r="AQ19" s="475"/>
      <c r="AR19" s="475"/>
      <c r="AS19" s="475"/>
      <c r="AT19" s="475"/>
      <c r="AU19" s="475"/>
      <c r="AV19" s="475"/>
      <c r="AW19" s="475"/>
      <c r="AX19" s="475"/>
      <c r="AY19" s="475"/>
      <c r="AZ19" s="475"/>
      <c r="BA19" s="475"/>
      <c r="BB19" s="475"/>
      <c r="BC19" s="475"/>
      <c r="BD19" s="475"/>
      <c r="BE19" s="475"/>
      <c r="BF19" s="475"/>
      <c r="BG19" s="475"/>
      <c r="BH19" s="475"/>
      <c r="BI19" s="475"/>
      <c r="BJ19" s="475"/>
      <c r="BK19" s="475"/>
      <c r="BL19" s="475"/>
      <c r="BM19" s="475"/>
      <c r="BN19" s="475"/>
      <c r="BO19" s="475"/>
      <c r="BP19" s="475"/>
      <c r="BQ19" s="475"/>
      <c r="BR19" s="475"/>
      <c r="BS19" s="475"/>
      <c r="BT19" s="475"/>
      <c r="BU19" s="475"/>
      <c r="BV19" s="475"/>
      <c r="BW19" s="475"/>
      <c r="BX19" s="475"/>
      <c r="BY19" s="475"/>
      <c r="BZ19" s="475"/>
      <c r="CA19" s="475"/>
      <c r="CB19" s="475"/>
      <c r="CC19" s="475"/>
    </row>
    <row r="20" customFormat="false" ht="30" hidden="false" customHeight="true" outlineLevel="0" collapsed="false">
      <c r="A20" s="449" t="s">
        <v>769</v>
      </c>
      <c r="B20" s="460" t="n">
        <v>46059</v>
      </c>
      <c r="C20" s="460" t="n">
        <v>46060</v>
      </c>
      <c r="D20" s="259" t="s">
        <v>312</v>
      </c>
      <c r="E20" s="461" t="n">
        <v>1</v>
      </c>
      <c r="F20" s="461"/>
      <c r="G20" s="477" t="s">
        <v>762</v>
      </c>
      <c r="H20" s="259" t="s">
        <v>729</v>
      </c>
      <c r="I20" s="259" t="s">
        <v>763</v>
      </c>
      <c r="J20" s="259" t="s">
        <v>764</v>
      </c>
      <c r="K20" s="513" t="s">
        <v>770</v>
      </c>
      <c r="L20" s="464" t="s">
        <v>771</v>
      </c>
      <c r="M20" s="465" t="s">
        <v>767</v>
      </c>
      <c r="N20" s="259" t="s">
        <v>697</v>
      </c>
      <c r="O20" s="259" t="s">
        <v>768</v>
      </c>
      <c r="P20" s="259" t="s">
        <v>686</v>
      </c>
      <c r="Q20" s="467"/>
      <c r="R20" s="467"/>
      <c r="S20" s="467" t="n">
        <v>20</v>
      </c>
      <c r="T20" s="466" t="n">
        <v>10</v>
      </c>
      <c r="U20" s="468"/>
      <c r="V20" s="469"/>
      <c r="W20" s="470"/>
      <c r="X20" s="471"/>
      <c r="Y20" s="470"/>
      <c r="Z20" s="471"/>
      <c r="AA20" s="470"/>
      <c r="AB20" s="466"/>
      <c r="AC20" s="466"/>
      <c r="AD20" s="466" t="n">
        <v>2</v>
      </c>
      <c r="AE20" s="466"/>
      <c r="AF20" s="466"/>
      <c r="AG20" s="481"/>
      <c r="AH20" s="475"/>
      <c r="AI20" s="475"/>
      <c r="AJ20" s="475"/>
      <c r="AK20" s="475"/>
      <c r="AL20" s="475"/>
      <c r="AM20" s="475"/>
      <c r="AN20" s="475"/>
      <c r="AO20" s="475"/>
      <c r="AP20" s="475"/>
      <c r="AQ20" s="475"/>
      <c r="AR20" s="475"/>
      <c r="AS20" s="475"/>
      <c r="AT20" s="475"/>
      <c r="AU20" s="475"/>
      <c r="AV20" s="475"/>
      <c r="AW20" s="475"/>
      <c r="AX20" s="475"/>
      <c r="AY20" s="475"/>
      <c r="AZ20" s="475"/>
      <c r="BA20" s="475"/>
      <c r="BB20" s="475"/>
      <c r="BC20" s="475"/>
      <c r="BD20" s="475"/>
      <c r="BE20" s="475"/>
      <c r="BF20" s="475"/>
      <c r="BG20" s="475"/>
      <c r="BH20" s="475"/>
      <c r="BI20" s="475"/>
      <c r="BJ20" s="475"/>
      <c r="BK20" s="475"/>
      <c r="BL20" s="475"/>
      <c r="BM20" s="475"/>
      <c r="BN20" s="475"/>
      <c r="BO20" s="475"/>
      <c r="BP20" s="475"/>
      <c r="BQ20" s="475"/>
      <c r="BR20" s="475"/>
      <c r="BS20" s="475"/>
      <c r="BT20" s="475"/>
      <c r="BU20" s="475"/>
      <c r="BV20" s="475"/>
      <c r="BW20" s="475"/>
      <c r="BX20" s="475"/>
      <c r="BY20" s="475"/>
      <c r="BZ20" s="475"/>
      <c r="CA20" s="475"/>
      <c r="CB20" s="475"/>
      <c r="CC20" s="475"/>
    </row>
    <row r="21" customFormat="false" ht="30" hidden="false" customHeight="true" outlineLevel="0" collapsed="false">
      <c r="A21" s="449" t="s">
        <v>772</v>
      </c>
      <c r="B21" s="460" t="n">
        <v>46036</v>
      </c>
      <c r="C21" s="460" t="n">
        <v>46042</v>
      </c>
      <c r="D21" s="259" t="s">
        <v>312</v>
      </c>
      <c r="E21" s="461" t="n">
        <v>6</v>
      </c>
      <c r="F21" s="461"/>
      <c r="G21" s="489" t="s">
        <v>773</v>
      </c>
      <c r="H21" s="484" t="s">
        <v>740</v>
      </c>
      <c r="I21" s="484" t="s">
        <v>774</v>
      </c>
      <c r="J21" s="259" t="s">
        <v>775</v>
      </c>
      <c r="K21" s="484" t="s">
        <v>776</v>
      </c>
      <c r="L21" s="464" t="s">
        <v>777</v>
      </c>
      <c r="M21" s="465" t="s">
        <v>778</v>
      </c>
      <c r="N21" s="484" t="s">
        <v>740</v>
      </c>
      <c r="O21" s="466" t="s">
        <v>698</v>
      </c>
      <c r="P21" s="484" t="s">
        <v>560</v>
      </c>
      <c r="Q21" s="467"/>
      <c r="R21" s="467"/>
      <c r="S21" s="467" t="n">
        <v>2</v>
      </c>
      <c r="T21" s="466" t="n">
        <v>4</v>
      </c>
      <c r="U21" s="468"/>
      <c r="V21" s="469"/>
      <c r="W21" s="470"/>
      <c r="X21" s="471" t="n">
        <v>5280</v>
      </c>
      <c r="Y21" s="471"/>
      <c r="Z21" s="461" t="n">
        <v>3630</v>
      </c>
      <c r="AA21" s="472" t="s">
        <v>736</v>
      </c>
      <c r="AB21" s="466"/>
      <c r="AC21" s="466"/>
      <c r="AD21" s="466"/>
      <c r="AE21" s="466"/>
      <c r="AF21" s="466" t="n">
        <v>10</v>
      </c>
      <c r="AG21" s="481"/>
      <c r="AH21" s="475"/>
      <c r="AI21" s="475"/>
      <c r="AJ21" s="475"/>
      <c r="AK21" s="475"/>
      <c r="AL21" s="475"/>
      <c r="AM21" s="475"/>
      <c r="AN21" s="475"/>
      <c r="AO21" s="475"/>
      <c r="AP21" s="475"/>
      <c r="AQ21" s="475"/>
      <c r="AR21" s="475"/>
      <c r="AS21" s="475"/>
      <c r="AT21" s="475"/>
      <c r="AU21" s="475"/>
      <c r="AV21" s="475"/>
      <c r="AW21" s="475"/>
      <c r="AX21" s="475"/>
      <c r="AY21" s="475"/>
      <c r="AZ21" s="475"/>
      <c r="BA21" s="475"/>
      <c r="BB21" s="475"/>
      <c r="BC21" s="475"/>
      <c r="BD21" s="475"/>
      <c r="BE21" s="475"/>
      <c r="BF21" s="475"/>
      <c r="BG21" s="475"/>
      <c r="BH21" s="475"/>
      <c r="BI21" s="475"/>
      <c r="BJ21" s="475"/>
      <c r="BK21" s="475"/>
      <c r="BL21" s="475"/>
      <c r="BM21" s="475"/>
      <c r="BN21" s="475"/>
      <c r="BO21" s="475"/>
      <c r="BP21" s="475"/>
      <c r="BQ21" s="475"/>
      <c r="BR21" s="475"/>
      <c r="BS21" s="475"/>
      <c r="BT21" s="475"/>
      <c r="BU21" s="475"/>
      <c r="BV21" s="475"/>
      <c r="BW21" s="475"/>
      <c r="BX21" s="475"/>
      <c r="BY21" s="475"/>
      <c r="BZ21" s="475"/>
      <c r="CA21" s="475"/>
      <c r="CB21" s="475"/>
      <c r="CC21" s="475"/>
    </row>
    <row r="22" customFormat="false" ht="30" hidden="false" customHeight="true" outlineLevel="0" collapsed="false">
      <c r="A22" s="449" t="s">
        <v>779</v>
      </c>
      <c r="B22" s="460" t="n">
        <v>46060</v>
      </c>
      <c r="C22" s="460" t="n">
        <v>46067</v>
      </c>
      <c r="D22" s="259" t="s">
        <v>323</v>
      </c>
      <c r="E22" s="461" t="n">
        <v>7</v>
      </c>
      <c r="F22" s="461"/>
      <c r="G22" s="514" t="s">
        <v>780</v>
      </c>
      <c r="H22" s="484" t="s">
        <v>740</v>
      </c>
      <c r="I22" s="514" t="s">
        <v>781</v>
      </c>
      <c r="J22" s="484" t="s">
        <v>782</v>
      </c>
      <c r="K22" s="484" t="s">
        <v>783</v>
      </c>
      <c r="L22" s="464" t="s">
        <v>784</v>
      </c>
      <c r="M22" s="465" t="s">
        <v>785</v>
      </c>
      <c r="N22" s="484" t="s">
        <v>740</v>
      </c>
      <c r="O22" s="466" t="s">
        <v>698</v>
      </c>
      <c r="P22" s="484" t="s">
        <v>560</v>
      </c>
      <c r="Q22" s="467"/>
      <c r="R22" s="467"/>
      <c r="S22" s="467" t="n">
        <v>2</v>
      </c>
      <c r="T22" s="466" t="n">
        <v>7</v>
      </c>
      <c r="U22" s="468"/>
      <c r="V22" s="469"/>
      <c r="W22" s="470"/>
      <c r="X22" s="471" t="n">
        <v>5280</v>
      </c>
      <c r="Y22" s="470"/>
      <c r="Z22" s="471" t="n">
        <v>3630</v>
      </c>
      <c r="AA22" s="472" t="s">
        <v>736</v>
      </c>
      <c r="AB22" s="466"/>
      <c r="AC22" s="466"/>
      <c r="AD22" s="466"/>
      <c r="AE22" s="466"/>
      <c r="AF22" s="466" t="n">
        <v>10</v>
      </c>
      <c r="AG22" s="481"/>
      <c r="AH22" s="475"/>
      <c r="AI22" s="475"/>
      <c r="AJ22" s="475"/>
      <c r="AK22" s="475"/>
      <c r="AL22" s="475"/>
      <c r="AM22" s="475"/>
      <c r="AN22" s="475"/>
      <c r="AO22" s="475"/>
      <c r="AP22" s="475"/>
      <c r="AQ22" s="475"/>
      <c r="AR22" s="475"/>
      <c r="AS22" s="475"/>
      <c r="AT22" s="475"/>
      <c r="AU22" s="475"/>
      <c r="AV22" s="475"/>
      <c r="AW22" s="475"/>
      <c r="AX22" s="475"/>
      <c r="AY22" s="475"/>
      <c r="AZ22" s="475"/>
      <c r="BA22" s="475"/>
      <c r="BB22" s="475"/>
      <c r="BC22" s="475"/>
      <c r="BD22" s="475"/>
      <c r="BE22" s="475"/>
      <c r="BF22" s="475"/>
      <c r="BG22" s="475"/>
      <c r="BH22" s="475"/>
      <c r="BI22" s="475"/>
      <c r="BJ22" s="475"/>
      <c r="BK22" s="475"/>
      <c r="BL22" s="475"/>
      <c r="BM22" s="475"/>
      <c r="BN22" s="475"/>
      <c r="BO22" s="475"/>
      <c r="BP22" s="475"/>
      <c r="BQ22" s="475"/>
      <c r="BR22" s="475"/>
      <c r="BS22" s="475"/>
      <c r="BT22" s="475"/>
      <c r="BU22" s="475"/>
      <c r="BV22" s="475"/>
      <c r="BW22" s="475"/>
      <c r="BX22" s="475"/>
      <c r="BY22" s="475"/>
      <c r="BZ22" s="475"/>
      <c r="CA22" s="475"/>
      <c r="CB22" s="475"/>
      <c r="CC22" s="475"/>
    </row>
    <row r="23" customFormat="false" ht="30" hidden="false" customHeight="true" outlineLevel="0" collapsed="false">
      <c r="A23" s="449" t="s">
        <v>786</v>
      </c>
      <c r="B23" s="460" t="n">
        <v>46055</v>
      </c>
      <c r="C23" s="460" t="n">
        <v>46061</v>
      </c>
      <c r="D23" s="259" t="s">
        <v>312</v>
      </c>
      <c r="E23" s="461" t="n">
        <v>6</v>
      </c>
      <c r="F23" s="461"/>
      <c r="G23" s="482" t="s">
        <v>787</v>
      </c>
      <c r="H23" s="478" t="s">
        <v>729</v>
      </c>
      <c r="I23" s="482" t="s">
        <v>788</v>
      </c>
      <c r="J23" s="259" t="s">
        <v>789</v>
      </c>
      <c r="K23" s="259"/>
      <c r="L23" s="464" t="s">
        <v>790</v>
      </c>
      <c r="M23" s="465" t="s">
        <v>791</v>
      </c>
      <c r="N23" s="259" t="s">
        <v>697</v>
      </c>
      <c r="O23" s="466" t="s">
        <v>725</v>
      </c>
      <c r="P23" s="484" t="s">
        <v>560</v>
      </c>
      <c r="Q23" s="467"/>
      <c r="R23" s="467"/>
      <c r="S23" s="467" t="n">
        <v>60</v>
      </c>
      <c r="T23" s="466" t="n">
        <v>21</v>
      </c>
      <c r="U23" s="468"/>
      <c r="V23" s="469"/>
      <c r="W23" s="470"/>
      <c r="X23" s="461" t="n">
        <v>5280</v>
      </c>
      <c r="Y23" s="470"/>
      <c r="Z23" s="471" t="n">
        <v>3630</v>
      </c>
      <c r="AA23" s="472" t="s">
        <v>736</v>
      </c>
      <c r="AB23" s="466"/>
      <c r="AC23" s="466"/>
      <c r="AD23" s="466" t="n">
        <v>1</v>
      </c>
      <c r="AE23" s="466"/>
      <c r="AF23" s="466" t="n">
        <v>10</v>
      </c>
      <c r="AG23" s="478"/>
      <c r="AH23" s="475"/>
      <c r="AI23" s="475"/>
      <c r="AJ23" s="475"/>
      <c r="AK23" s="475"/>
      <c r="AL23" s="475"/>
      <c r="AM23" s="475"/>
      <c r="AN23" s="475"/>
      <c r="AO23" s="475"/>
      <c r="AP23" s="475"/>
      <c r="AQ23" s="475"/>
      <c r="AR23" s="475"/>
      <c r="AS23" s="475"/>
      <c r="AT23" s="475"/>
      <c r="AU23" s="475"/>
      <c r="AV23" s="475"/>
      <c r="AW23" s="475"/>
      <c r="AX23" s="475"/>
      <c r="AY23" s="475"/>
      <c r="AZ23" s="475"/>
      <c r="BA23" s="475"/>
      <c r="BB23" s="475"/>
      <c r="BC23" s="475"/>
      <c r="BD23" s="475"/>
      <c r="BE23" s="475"/>
      <c r="BF23" s="475"/>
      <c r="BG23" s="475"/>
      <c r="BH23" s="475"/>
      <c r="BI23" s="475"/>
      <c r="BJ23" s="475"/>
      <c r="BK23" s="475"/>
      <c r="BL23" s="475"/>
      <c r="BM23" s="475"/>
      <c r="BN23" s="475"/>
      <c r="BO23" s="475"/>
      <c r="BP23" s="475"/>
      <c r="BQ23" s="475"/>
      <c r="BR23" s="475"/>
      <c r="BS23" s="475"/>
      <c r="BT23" s="475"/>
      <c r="BU23" s="475"/>
      <c r="BV23" s="475"/>
      <c r="BW23" s="475"/>
      <c r="BX23" s="475"/>
      <c r="BY23" s="475"/>
      <c r="BZ23" s="475"/>
      <c r="CA23" s="475"/>
      <c r="CB23" s="475"/>
      <c r="CC23" s="475"/>
    </row>
    <row r="24" customFormat="false" ht="30" hidden="false" customHeight="true" outlineLevel="0" collapsed="false">
      <c r="A24" s="449" t="s">
        <v>792</v>
      </c>
      <c r="B24" s="460" t="n">
        <v>46038</v>
      </c>
      <c r="C24" s="460" t="n">
        <v>46044</v>
      </c>
      <c r="D24" s="259" t="s">
        <v>312</v>
      </c>
      <c r="E24" s="461" t="n">
        <v>6</v>
      </c>
      <c r="F24" s="461"/>
      <c r="G24" s="486" t="s">
        <v>780</v>
      </c>
      <c r="H24" s="490" t="s">
        <v>740</v>
      </c>
      <c r="I24" s="486" t="s">
        <v>781</v>
      </c>
      <c r="J24" s="484" t="s">
        <v>793</v>
      </c>
      <c r="K24" s="484" t="s">
        <v>783</v>
      </c>
      <c r="L24" s="464" t="s">
        <v>784</v>
      </c>
      <c r="M24" s="465" t="s">
        <v>794</v>
      </c>
      <c r="N24" s="484" t="s">
        <v>740</v>
      </c>
      <c r="O24" s="466" t="s">
        <v>698</v>
      </c>
      <c r="P24" s="484" t="s">
        <v>560</v>
      </c>
      <c r="Q24" s="467"/>
      <c r="R24" s="467"/>
      <c r="S24" s="467" t="n">
        <v>12</v>
      </c>
      <c r="T24" s="466" t="n">
        <v>5</v>
      </c>
      <c r="U24" s="468"/>
      <c r="V24" s="469"/>
      <c r="W24" s="470"/>
      <c r="X24" s="461" t="n">
        <v>5280</v>
      </c>
      <c r="Y24" s="470"/>
      <c r="Z24" s="471" t="n">
        <v>3630</v>
      </c>
      <c r="AA24" s="472" t="s">
        <v>736</v>
      </c>
      <c r="AB24" s="466"/>
      <c r="AC24" s="466"/>
      <c r="AD24" s="466"/>
      <c r="AE24" s="466"/>
      <c r="AF24" s="466" t="n">
        <v>10</v>
      </c>
      <c r="AG24" s="478"/>
      <c r="AH24" s="475"/>
      <c r="AI24" s="475"/>
      <c r="AJ24" s="475"/>
      <c r="AK24" s="475"/>
      <c r="AL24" s="475"/>
      <c r="AM24" s="475"/>
      <c r="AN24" s="475"/>
      <c r="AO24" s="475"/>
      <c r="AP24" s="475"/>
      <c r="AQ24" s="475"/>
      <c r="AR24" s="475"/>
      <c r="AS24" s="475"/>
      <c r="AT24" s="475"/>
      <c r="AU24" s="475"/>
      <c r="AV24" s="475"/>
      <c r="AW24" s="475"/>
      <c r="AX24" s="475"/>
      <c r="AY24" s="475"/>
      <c r="AZ24" s="475"/>
      <c r="BA24" s="475"/>
      <c r="BB24" s="475"/>
      <c r="BC24" s="475"/>
      <c r="BD24" s="475"/>
      <c r="BE24" s="475"/>
      <c r="BF24" s="475"/>
      <c r="BG24" s="475"/>
      <c r="BH24" s="475"/>
      <c r="BI24" s="475"/>
      <c r="BJ24" s="475"/>
      <c r="BK24" s="475"/>
      <c r="BL24" s="475"/>
      <c r="BM24" s="475"/>
      <c r="BN24" s="475"/>
      <c r="BO24" s="475"/>
      <c r="BP24" s="475"/>
      <c r="BQ24" s="475"/>
      <c r="BR24" s="475"/>
      <c r="BS24" s="475"/>
      <c r="BT24" s="475"/>
      <c r="BU24" s="475"/>
      <c r="BV24" s="475"/>
      <c r="BW24" s="475"/>
      <c r="BX24" s="475"/>
      <c r="BY24" s="475"/>
      <c r="BZ24" s="475"/>
      <c r="CA24" s="475"/>
      <c r="CB24" s="475"/>
      <c r="CC24" s="475"/>
    </row>
    <row r="25" customFormat="false" ht="30" hidden="false" customHeight="true" outlineLevel="0" collapsed="false">
      <c r="A25" s="449" t="s">
        <v>795</v>
      </c>
      <c r="B25" s="460" t="n">
        <v>46057</v>
      </c>
      <c r="C25" s="460" t="n">
        <v>46059</v>
      </c>
      <c r="D25" s="259" t="s">
        <v>323</v>
      </c>
      <c r="E25" s="461" t="n">
        <v>2</v>
      </c>
      <c r="F25" s="461"/>
      <c r="G25" s="486" t="s">
        <v>796</v>
      </c>
      <c r="H25" s="490" t="s">
        <v>740</v>
      </c>
      <c r="I25" s="486" t="s">
        <v>797</v>
      </c>
      <c r="J25" s="484" t="s">
        <v>798</v>
      </c>
      <c r="K25" s="259"/>
      <c r="L25" s="464" t="s">
        <v>799</v>
      </c>
      <c r="M25" s="465" t="s">
        <v>800</v>
      </c>
      <c r="N25" s="484" t="s">
        <v>740</v>
      </c>
      <c r="O25" s="466" t="s">
        <v>698</v>
      </c>
      <c r="P25" s="484" t="s">
        <v>560</v>
      </c>
      <c r="Q25" s="467"/>
      <c r="R25" s="467"/>
      <c r="S25" s="467" t="n">
        <v>8</v>
      </c>
      <c r="T25" s="466" t="n">
        <v>4</v>
      </c>
      <c r="U25" s="468"/>
      <c r="V25" s="469"/>
      <c r="W25" s="470"/>
      <c r="X25" s="470" t="n">
        <v>5280</v>
      </c>
      <c r="Y25" s="470"/>
      <c r="Z25" s="461" t="n">
        <v>3630</v>
      </c>
      <c r="AA25" s="472" t="s">
        <v>736</v>
      </c>
      <c r="AB25" s="466"/>
      <c r="AC25" s="466"/>
      <c r="AD25" s="466"/>
      <c r="AE25" s="466"/>
      <c r="AF25" s="466" t="n">
        <v>10</v>
      </c>
      <c r="AG25" s="478"/>
      <c r="AH25" s="475"/>
      <c r="AI25" s="475"/>
      <c r="AJ25" s="475"/>
      <c r="AK25" s="475"/>
      <c r="AL25" s="475"/>
      <c r="AM25" s="475"/>
      <c r="AN25" s="475"/>
      <c r="AO25" s="475"/>
      <c r="AP25" s="475"/>
      <c r="AQ25" s="475"/>
      <c r="AR25" s="475"/>
      <c r="AS25" s="475"/>
      <c r="AT25" s="475"/>
      <c r="AU25" s="475"/>
      <c r="AV25" s="475"/>
      <c r="AW25" s="475"/>
      <c r="AX25" s="475"/>
      <c r="AY25" s="475"/>
      <c r="AZ25" s="475"/>
      <c r="BA25" s="475"/>
      <c r="BB25" s="475"/>
      <c r="BC25" s="475"/>
      <c r="BD25" s="475"/>
      <c r="BE25" s="475"/>
      <c r="BF25" s="475"/>
      <c r="BG25" s="475"/>
      <c r="BH25" s="475"/>
      <c r="BI25" s="475"/>
      <c r="BJ25" s="475"/>
      <c r="BK25" s="475"/>
      <c r="BL25" s="475"/>
      <c r="BM25" s="475"/>
      <c r="BN25" s="475"/>
      <c r="BO25" s="475"/>
      <c r="BP25" s="475"/>
      <c r="BQ25" s="475"/>
      <c r="BR25" s="475"/>
      <c r="BS25" s="475"/>
      <c r="BT25" s="475"/>
      <c r="BU25" s="475"/>
      <c r="BV25" s="475"/>
      <c r="BW25" s="475"/>
      <c r="BX25" s="475"/>
      <c r="BY25" s="475"/>
      <c r="BZ25" s="475"/>
      <c r="CA25" s="475"/>
      <c r="CB25" s="475"/>
      <c r="CC25" s="475"/>
    </row>
    <row r="26" customFormat="false" ht="30" hidden="false" customHeight="true" outlineLevel="0" collapsed="false">
      <c r="A26" s="449" t="s">
        <v>801</v>
      </c>
      <c r="B26" s="460" t="n">
        <v>45827</v>
      </c>
      <c r="C26" s="460" t="n">
        <v>45829</v>
      </c>
      <c r="D26" s="259" t="s">
        <v>323</v>
      </c>
      <c r="E26" s="461" t="n">
        <v>2</v>
      </c>
      <c r="F26" s="461"/>
      <c r="G26" s="482" t="s">
        <v>802</v>
      </c>
      <c r="H26" s="478" t="s">
        <v>803</v>
      </c>
      <c r="I26" s="259" t="s">
        <v>804</v>
      </c>
      <c r="J26" s="259" t="s">
        <v>805</v>
      </c>
      <c r="K26" s="259"/>
      <c r="L26" s="464" t="s">
        <v>806</v>
      </c>
      <c r="M26" s="465" t="s">
        <v>807</v>
      </c>
      <c r="N26" s="259" t="s">
        <v>803</v>
      </c>
      <c r="O26" s="466" t="s">
        <v>643</v>
      </c>
      <c r="P26" s="484" t="s">
        <v>560</v>
      </c>
      <c r="Q26" s="467"/>
      <c r="R26" s="467"/>
      <c r="S26" s="467" t="n">
        <v>24</v>
      </c>
      <c r="T26" s="466" t="n">
        <v>40</v>
      </c>
      <c r="U26" s="468"/>
      <c r="V26" s="469"/>
      <c r="W26" s="470"/>
      <c r="X26" s="471" t="n">
        <v>3900</v>
      </c>
      <c r="Y26" s="470"/>
      <c r="Z26" s="461" t="n">
        <v>2200</v>
      </c>
      <c r="AA26" s="472" t="s">
        <v>808</v>
      </c>
      <c r="AB26" s="473"/>
      <c r="AC26" s="473"/>
      <c r="AD26" s="466"/>
      <c r="AE26" s="466"/>
      <c r="AF26" s="466" t="n">
        <v>10</v>
      </c>
      <c r="AG26" s="478"/>
      <c r="AH26" s="475"/>
      <c r="AI26" s="475"/>
      <c r="AJ26" s="475"/>
      <c r="AK26" s="475"/>
      <c r="AL26" s="475"/>
      <c r="AM26" s="475"/>
      <c r="AN26" s="475"/>
      <c r="AO26" s="475"/>
      <c r="AP26" s="475"/>
      <c r="AQ26" s="475"/>
      <c r="AR26" s="475"/>
      <c r="AS26" s="475"/>
      <c r="AT26" s="475"/>
      <c r="AU26" s="475"/>
      <c r="AV26" s="475"/>
      <c r="AW26" s="475"/>
      <c r="AX26" s="475"/>
      <c r="AY26" s="475"/>
      <c r="AZ26" s="475"/>
      <c r="BA26" s="475"/>
      <c r="BB26" s="475"/>
      <c r="BC26" s="475"/>
      <c r="BD26" s="475"/>
      <c r="BE26" s="475"/>
      <c r="BF26" s="475"/>
      <c r="BG26" s="475"/>
      <c r="BH26" s="475"/>
      <c r="BI26" s="475"/>
      <c r="BJ26" s="475"/>
      <c r="BK26" s="475"/>
      <c r="BL26" s="475"/>
      <c r="BM26" s="475"/>
      <c r="BN26" s="475"/>
      <c r="BO26" s="475"/>
      <c r="BP26" s="475"/>
      <c r="BQ26" s="475"/>
      <c r="BR26" s="475"/>
      <c r="BS26" s="475"/>
      <c r="BT26" s="475"/>
      <c r="BU26" s="475"/>
      <c r="BV26" s="475"/>
      <c r="BW26" s="475"/>
      <c r="BX26" s="475"/>
      <c r="BY26" s="475"/>
      <c r="BZ26" s="475"/>
      <c r="CA26" s="475"/>
      <c r="CB26" s="475"/>
      <c r="CC26" s="475"/>
    </row>
    <row r="27" customFormat="false" ht="30" hidden="false" customHeight="true" outlineLevel="0" collapsed="false">
      <c r="A27" s="449" t="s">
        <v>809</v>
      </c>
      <c r="B27" s="460" t="n">
        <v>46135</v>
      </c>
      <c r="C27" s="460" t="n">
        <v>45771</v>
      </c>
      <c r="D27" s="259" t="s">
        <v>323</v>
      </c>
      <c r="E27" s="461" t="n">
        <v>1</v>
      </c>
      <c r="F27" s="461"/>
      <c r="G27" s="486" t="s">
        <v>810</v>
      </c>
      <c r="H27" s="490"/>
      <c r="I27" s="259" t="s">
        <v>811</v>
      </c>
      <c r="J27" s="259" t="s">
        <v>812</v>
      </c>
      <c r="K27" s="112"/>
      <c r="L27" s="464" t="s">
        <v>813</v>
      </c>
      <c r="M27" s="465" t="s">
        <v>814</v>
      </c>
      <c r="N27" s="259" t="s">
        <v>729</v>
      </c>
      <c r="O27" s="466" t="s">
        <v>735</v>
      </c>
      <c r="P27" s="484" t="s">
        <v>560</v>
      </c>
      <c r="Q27" s="467"/>
      <c r="R27" s="467"/>
      <c r="S27" s="467" t="n">
        <v>13</v>
      </c>
      <c r="T27" s="466" t="n">
        <v>24</v>
      </c>
      <c r="U27" s="468"/>
      <c r="V27" s="469"/>
      <c r="W27" s="470"/>
      <c r="X27" s="461" t="n">
        <v>3700</v>
      </c>
      <c r="Y27" s="470"/>
      <c r="Z27" s="461" t="n">
        <v>2500</v>
      </c>
      <c r="AA27" s="472" t="s">
        <v>736</v>
      </c>
      <c r="AB27" s="466"/>
      <c r="AC27" s="466"/>
      <c r="AD27" s="466"/>
      <c r="AE27" s="466"/>
      <c r="AF27" s="466" t="n">
        <v>10</v>
      </c>
      <c r="AG27" s="478"/>
      <c r="AH27" s="475"/>
      <c r="AI27" s="475"/>
      <c r="AJ27" s="475"/>
      <c r="AK27" s="475"/>
      <c r="AL27" s="475"/>
      <c r="AM27" s="475"/>
      <c r="AN27" s="475"/>
      <c r="AO27" s="475"/>
      <c r="AP27" s="475"/>
      <c r="AQ27" s="475"/>
      <c r="AR27" s="475"/>
      <c r="AS27" s="475"/>
      <c r="AT27" s="475"/>
      <c r="AU27" s="475"/>
      <c r="AV27" s="475"/>
      <c r="AW27" s="475"/>
      <c r="AX27" s="475"/>
      <c r="AY27" s="475"/>
      <c r="AZ27" s="475"/>
      <c r="BA27" s="475"/>
      <c r="BB27" s="475"/>
      <c r="BC27" s="475"/>
      <c r="BD27" s="475"/>
      <c r="BE27" s="475"/>
      <c r="BF27" s="475"/>
      <c r="BG27" s="475"/>
      <c r="BH27" s="475"/>
      <c r="BI27" s="475"/>
      <c r="BJ27" s="475"/>
      <c r="BK27" s="475"/>
      <c r="BL27" s="475"/>
      <c r="BM27" s="475"/>
      <c r="BN27" s="475"/>
      <c r="BO27" s="475"/>
      <c r="BP27" s="475"/>
      <c r="BQ27" s="475"/>
      <c r="BR27" s="475"/>
      <c r="BS27" s="475"/>
      <c r="BT27" s="475"/>
      <c r="BU27" s="475"/>
      <c r="BV27" s="475"/>
      <c r="BW27" s="475"/>
      <c r="BX27" s="475"/>
      <c r="BY27" s="475"/>
      <c r="BZ27" s="475"/>
      <c r="CA27" s="475"/>
      <c r="CB27" s="475"/>
      <c r="CC27" s="475"/>
    </row>
    <row r="28" customFormat="false" ht="30" hidden="false" customHeight="true" outlineLevel="0" collapsed="false">
      <c r="A28" s="449" t="s">
        <v>815</v>
      </c>
      <c r="B28" s="460" t="n">
        <v>45688</v>
      </c>
      <c r="C28" s="460" t="n">
        <v>45692</v>
      </c>
      <c r="D28" s="259" t="s">
        <v>312</v>
      </c>
      <c r="E28" s="461" t="n">
        <v>4</v>
      </c>
      <c r="F28" s="461"/>
      <c r="G28" s="486" t="s">
        <v>816</v>
      </c>
      <c r="H28" s="490" t="s">
        <v>642</v>
      </c>
      <c r="I28" s="484" t="s">
        <v>817</v>
      </c>
      <c r="J28" s="259" t="s">
        <v>818</v>
      </c>
      <c r="K28" s="259" t="s">
        <v>819</v>
      </c>
      <c r="L28" s="464" t="s">
        <v>820</v>
      </c>
      <c r="M28" s="465" t="s">
        <v>821</v>
      </c>
      <c r="N28" s="484" t="s">
        <v>642</v>
      </c>
      <c r="O28" s="466" t="s">
        <v>675</v>
      </c>
      <c r="P28" s="484" t="s">
        <v>560</v>
      </c>
      <c r="Q28" s="467"/>
      <c r="R28" s="467"/>
      <c r="S28" s="467" t="n">
        <v>9</v>
      </c>
      <c r="T28" s="466" t="n">
        <v>9</v>
      </c>
      <c r="U28" s="468"/>
      <c r="V28" s="469"/>
      <c r="W28" s="470"/>
      <c r="X28" s="461" t="n">
        <v>5280</v>
      </c>
      <c r="Y28" s="470"/>
      <c r="Z28" s="461" t="n">
        <v>3630</v>
      </c>
      <c r="AA28" s="472" t="s">
        <v>736</v>
      </c>
      <c r="AB28" s="466"/>
      <c r="AC28" s="466"/>
      <c r="AD28" s="466"/>
      <c r="AE28" s="466"/>
      <c r="AF28" s="466" t="n">
        <v>10</v>
      </c>
      <c r="AG28" s="478"/>
      <c r="AH28" s="475"/>
      <c r="AI28" s="475"/>
      <c r="AJ28" s="475"/>
      <c r="AK28" s="475"/>
      <c r="AL28" s="475"/>
      <c r="AM28" s="475"/>
      <c r="AN28" s="475"/>
      <c r="AO28" s="475"/>
      <c r="AP28" s="475"/>
      <c r="AQ28" s="475"/>
      <c r="AR28" s="475"/>
      <c r="AS28" s="475"/>
      <c r="AT28" s="475"/>
      <c r="AU28" s="475"/>
      <c r="AV28" s="475"/>
      <c r="AW28" s="475"/>
      <c r="AX28" s="475"/>
      <c r="AY28" s="475"/>
      <c r="AZ28" s="475"/>
      <c r="BA28" s="475"/>
      <c r="BB28" s="475"/>
      <c r="BC28" s="475"/>
      <c r="BD28" s="475"/>
      <c r="BE28" s="475"/>
      <c r="BF28" s="475"/>
      <c r="BG28" s="475"/>
      <c r="BH28" s="475"/>
      <c r="BI28" s="475"/>
      <c r="BJ28" s="475"/>
      <c r="BK28" s="475"/>
      <c r="BL28" s="475"/>
      <c r="BM28" s="475"/>
      <c r="BN28" s="475"/>
      <c r="BO28" s="475"/>
      <c r="BP28" s="475"/>
      <c r="BQ28" s="475"/>
      <c r="BR28" s="475"/>
      <c r="BS28" s="475"/>
      <c r="BT28" s="475"/>
      <c r="BU28" s="475"/>
      <c r="BV28" s="475"/>
      <c r="BW28" s="475"/>
      <c r="BX28" s="475"/>
      <c r="BY28" s="475"/>
      <c r="BZ28" s="475"/>
      <c r="CA28" s="475"/>
      <c r="CB28" s="475"/>
      <c r="CC28" s="475"/>
    </row>
    <row r="29" customFormat="false" ht="30" hidden="false" customHeight="true" outlineLevel="0" collapsed="false">
      <c r="A29" s="449" t="s">
        <v>822</v>
      </c>
      <c r="B29" s="460" t="n">
        <v>46025</v>
      </c>
      <c r="C29" s="460" t="n">
        <v>46030</v>
      </c>
      <c r="D29" s="259" t="s">
        <v>312</v>
      </c>
      <c r="E29" s="461" t="n">
        <v>5</v>
      </c>
      <c r="F29" s="461"/>
      <c r="G29" s="515" t="s">
        <v>823</v>
      </c>
      <c r="H29" s="490" t="s">
        <v>740</v>
      </c>
      <c r="I29" s="484" t="s">
        <v>824</v>
      </c>
      <c r="J29" s="259" t="s">
        <v>825</v>
      </c>
      <c r="K29" s="504" t="s">
        <v>826</v>
      </c>
      <c r="L29" s="505" t="s">
        <v>827</v>
      </c>
      <c r="M29" s="465" t="s">
        <v>828</v>
      </c>
      <c r="N29" s="484" t="s">
        <v>642</v>
      </c>
      <c r="O29" s="466"/>
      <c r="P29" s="497" t="s">
        <v>560</v>
      </c>
      <c r="Q29" s="467"/>
      <c r="R29" s="467"/>
      <c r="S29" s="467" t="n">
        <v>1</v>
      </c>
      <c r="T29" s="466" t="n">
        <v>2</v>
      </c>
      <c r="U29" s="468"/>
      <c r="V29" s="469"/>
      <c r="W29" s="470"/>
      <c r="X29" s="461" t="n">
        <v>5280</v>
      </c>
      <c r="Y29" s="470"/>
      <c r="Z29" s="461" t="n">
        <v>3630</v>
      </c>
      <c r="AA29" s="472" t="s">
        <v>736</v>
      </c>
      <c r="AB29" s="466"/>
      <c r="AC29" s="466"/>
      <c r="AD29" s="466"/>
      <c r="AE29" s="466"/>
      <c r="AF29" s="466" t="n">
        <v>10</v>
      </c>
      <c r="AG29" s="478"/>
      <c r="AH29" s="475"/>
      <c r="AI29" s="475"/>
      <c r="AJ29" s="475"/>
      <c r="AK29" s="475"/>
      <c r="AL29" s="475"/>
      <c r="AM29" s="475"/>
      <c r="AN29" s="475"/>
      <c r="AO29" s="475"/>
      <c r="AP29" s="475"/>
      <c r="AQ29" s="475"/>
      <c r="AR29" s="475"/>
      <c r="AS29" s="475"/>
      <c r="AT29" s="475"/>
      <c r="AU29" s="475"/>
      <c r="AV29" s="475"/>
      <c r="AW29" s="475"/>
      <c r="AX29" s="475"/>
      <c r="AY29" s="475"/>
      <c r="AZ29" s="475"/>
      <c r="BA29" s="475"/>
      <c r="BB29" s="475"/>
      <c r="BC29" s="475"/>
      <c r="BD29" s="475"/>
      <c r="BE29" s="475"/>
      <c r="BF29" s="475"/>
      <c r="BG29" s="475"/>
      <c r="BH29" s="475"/>
      <c r="BI29" s="475"/>
      <c r="BJ29" s="475"/>
      <c r="BK29" s="475"/>
      <c r="BL29" s="475"/>
      <c r="BM29" s="475"/>
      <c r="BN29" s="475"/>
      <c r="BO29" s="475"/>
      <c r="BP29" s="475"/>
      <c r="BQ29" s="475"/>
      <c r="BR29" s="475"/>
      <c r="BS29" s="475"/>
      <c r="BT29" s="475"/>
      <c r="BU29" s="475"/>
      <c r="BV29" s="475"/>
      <c r="BW29" s="475"/>
      <c r="BX29" s="475"/>
      <c r="BY29" s="475"/>
      <c r="BZ29" s="475"/>
      <c r="CA29" s="475"/>
      <c r="CB29" s="475"/>
      <c r="CC29" s="475"/>
    </row>
    <row r="30" customFormat="false" ht="30" hidden="false" customHeight="true" outlineLevel="0" collapsed="false">
      <c r="A30" s="449" t="s">
        <v>829</v>
      </c>
      <c r="B30" s="460" t="n">
        <v>45659</v>
      </c>
      <c r="C30" s="460" t="n">
        <v>45662</v>
      </c>
      <c r="D30" s="259" t="s">
        <v>312</v>
      </c>
      <c r="E30" s="461" t="n">
        <v>3</v>
      </c>
      <c r="F30" s="461"/>
      <c r="G30" s="515" t="s">
        <v>830</v>
      </c>
      <c r="H30" s="474"/>
      <c r="I30" s="484" t="s">
        <v>831</v>
      </c>
      <c r="J30" s="259" t="s">
        <v>832</v>
      </c>
      <c r="K30" s="259" t="s">
        <v>833</v>
      </c>
      <c r="L30" s="464" t="s">
        <v>834</v>
      </c>
      <c r="M30" s="465" t="s">
        <v>835</v>
      </c>
      <c r="N30" s="484" t="s">
        <v>740</v>
      </c>
      <c r="O30" s="466" t="s">
        <v>675</v>
      </c>
      <c r="P30" s="484" t="s">
        <v>560</v>
      </c>
      <c r="Q30" s="467"/>
      <c r="R30" s="467"/>
      <c r="S30" s="467" t="n">
        <v>1</v>
      </c>
      <c r="T30" s="466" t="n">
        <v>2</v>
      </c>
      <c r="U30" s="468"/>
      <c r="V30" s="469"/>
      <c r="W30" s="470"/>
      <c r="X30" s="461" t="n">
        <v>5280</v>
      </c>
      <c r="Y30" s="470"/>
      <c r="Z30" s="461" t="n">
        <v>3630</v>
      </c>
      <c r="AA30" s="472" t="s">
        <v>736</v>
      </c>
      <c r="AB30" s="466"/>
      <c r="AC30" s="466"/>
      <c r="AD30" s="466"/>
      <c r="AE30" s="466"/>
      <c r="AF30" s="466" t="n">
        <v>10</v>
      </c>
      <c r="AG30" s="478"/>
      <c r="AH30" s="475"/>
      <c r="AI30" s="475"/>
      <c r="AJ30" s="475"/>
      <c r="AK30" s="475"/>
      <c r="AL30" s="475"/>
      <c r="AM30" s="475"/>
      <c r="AN30" s="475"/>
      <c r="AO30" s="475"/>
      <c r="AP30" s="475"/>
      <c r="AQ30" s="475"/>
      <c r="AR30" s="475"/>
      <c r="AS30" s="475"/>
      <c r="AT30" s="475"/>
      <c r="AU30" s="475"/>
      <c r="AV30" s="475"/>
      <c r="AW30" s="475"/>
      <c r="AX30" s="475"/>
      <c r="AY30" s="475"/>
      <c r="AZ30" s="475"/>
      <c r="BA30" s="475"/>
      <c r="BB30" s="475"/>
      <c r="BC30" s="475"/>
      <c r="BD30" s="475"/>
      <c r="BE30" s="475"/>
      <c r="BF30" s="475"/>
      <c r="BG30" s="475"/>
      <c r="BH30" s="475"/>
      <c r="BI30" s="475"/>
      <c r="BJ30" s="475"/>
      <c r="BK30" s="475"/>
      <c r="BL30" s="475"/>
      <c r="BM30" s="475"/>
      <c r="BN30" s="475"/>
      <c r="BO30" s="475"/>
      <c r="BP30" s="475"/>
      <c r="BQ30" s="475"/>
      <c r="BR30" s="475"/>
      <c r="BS30" s="475"/>
      <c r="BT30" s="475"/>
      <c r="BU30" s="475"/>
      <c r="BV30" s="475"/>
      <c r="BW30" s="475"/>
      <c r="BX30" s="475"/>
      <c r="BY30" s="475"/>
      <c r="BZ30" s="475"/>
      <c r="CA30" s="475"/>
      <c r="CB30" s="475"/>
      <c r="CC30" s="475"/>
    </row>
    <row r="31" customFormat="false" ht="30" hidden="false" customHeight="true" outlineLevel="0" collapsed="false">
      <c r="A31" s="449" t="s">
        <v>836</v>
      </c>
      <c r="B31" s="460" t="n">
        <v>45683</v>
      </c>
      <c r="C31" s="460" t="n">
        <v>45686</v>
      </c>
      <c r="D31" s="259" t="s">
        <v>323</v>
      </c>
      <c r="E31" s="461" t="n">
        <v>3</v>
      </c>
      <c r="F31" s="476" t="n">
        <v>45940</v>
      </c>
      <c r="G31" s="515" t="s">
        <v>837</v>
      </c>
      <c r="H31" s="474" t="s">
        <v>740</v>
      </c>
      <c r="I31" s="484" t="s">
        <v>838</v>
      </c>
      <c r="J31" s="259" t="s">
        <v>839</v>
      </c>
      <c r="K31" s="259" t="s">
        <v>840</v>
      </c>
      <c r="L31" s="464" t="s">
        <v>841</v>
      </c>
      <c r="M31" s="465" t="s">
        <v>778</v>
      </c>
      <c r="N31" s="484" t="s">
        <v>740</v>
      </c>
      <c r="O31" s="466" t="s">
        <v>698</v>
      </c>
      <c r="P31" s="484" t="s">
        <v>560</v>
      </c>
      <c r="Q31" s="467"/>
      <c r="R31" s="467"/>
      <c r="S31" s="467" t="n">
        <v>3</v>
      </c>
      <c r="T31" s="466" t="n">
        <v>2</v>
      </c>
      <c r="U31" s="468"/>
      <c r="V31" s="469"/>
      <c r="W31" s="470"/>
      <c r="X31" s="461" t="n">
        <v>5280</v>
      </c>
      <c r="Y31" s="470"/>
      <c r="Z31" s="461" t="n">
        <v>3630</v>
      </c>
      <c r="AA31" s="472" t="s">
        <v>736</v>
      </c>
      <c r="AB31" s="466"/>
      <c r="AC31" s="466"/>
      <c r="AD31" s="466"/>
      <c r="AE31" s="466"/>
      <c r="AF31" s="466" t="n">
        <v>10</v>
      </c>
      <c r="AG31" s="478"/>
      <c r="AH31" s="475"/>
      <c r="AI31" s="475"/>
      <c r="AJ31" s="475"/>
      <c r="AK31" s="475"/>
      <c r="AL31" s="475"/>
      <c r="AM31" s="475"/>
      <c r="AN31" s="475"/>
      <c r="AO31" s="475"/>
      <c r="AP31" s="475"/>
      <c r="AQ31" s="475"/>
      <c r="AR31" s="475"/>
      <c r="AS31" s="475"/>
      <c r="AT31" s="475"/>
      <c r="AU31" s="475"/>
      <c r="AV31" s="475"/>
      <c r="AW31" s="475"/>
      <c r="AX31" s="475"/>
      <c r="AY31" s="475"/>
      <c r="AZ31" s="475"/>
      <c r="BA31" s="475"/>
      <c r="BB31" s="475"/>
      <c r="BC31" s="475"/>
      <c r="BD31" s="475"/>
      <c r="BE31" s="475"/>
      <c r="BF31" s="475"/>
      <c r="BG31" s="475"/>
      <c r="BH31" s="475"/>
      <c r="BI31" s="475"/>
      <c r="BJ31" s="475"/>
      <c r="BK31" s="475"/>
      <c r="BL31" s="475"/>
      <c r="BM31" s="475"/>
      <c r="BN31" s="475"/>
      <c r="BO31" s="475"/>
      <c r="BP31" s="475"/>
      <c r="BQ31" s="475"/>
      <c r="BR31" s="475"/>
      <c r="BS31" s="475"/>
      <c r="BT31" s="475"/>
      <c r="BU31" s="475"/>
      <c r="BV31" s="475"/>
      <c r="BW31" s="475"/>
      <c r="BX31" s="475"/>
      <c r="BY31" s="475"/>
      <c r="BZ31" s="475"/>
      <c r="CA31" s="475"/>
      <c r="CB31" s="475"/>
      <c r="CC31" s="475"/>
    </row>
    <row r="32" customFormat="false" ht="30" hidden="false" customHeight="true" outlineLevel="0" collapsed="false">
      <c r="A32" s="449" t="s">
        <v>842</v>
      </c>
      <c r="B32" s="460" t="n">
        <v>45688</v>
      </c>
      <c r="C32" s="460" t="n">
        <v>45689</v>
      </c>
      <c r="D32" s="259" t="s">
        <v>312</v>
      </c>
      <c r="E32" s="461" t="n">
        <v>1</v>
      </c>
      <c r="F32" s="461"/>
      <c r="G32" s="482" t="s">
        <v>843</v>
      </c>
      <c r="H32" s="478" t="s">
        <v>747</v>
      </c>
      <c r="I32" s="259" t="s">
        <v>637</v>
      </c>
      <c r="J32" s="259" t="s">
        <v>844</v>
      </c>
      <c r="K32" s="259" t="s">
        <v>845</v>
      </c>
      <c r="L32" s="516" t="s">
        <v>846</v>
      </c>
      <c r="M32" s="465" t="s">
        <v>847</v>
      </c>
      <c r="N32" s="259"/>
      <c r="O32" s="466" t="s">
        <v>643</v>
      </c>
      <c r="P32" s="484" t="s">
        <v>848</v>
      </c>
      <c r="Q32" s="467"/>
      <c r="R32" s="467"/>
      <c r="S32" s="467" t="n">
        <v>30</v>
      </c>
      <c r="T32" s="488" t="n">
        <v>10</v>
      </c>
      <c r="U32" s="468"/>
      <c r="V32" s="469"/>
      <c r="W32" s="470"/>
      <c r="X32" s="471" t="n">
        <v>5280</v>
      </c>
      <c r="Y32" s="470"/>
      <c r="Z32" s="461" t="n">
        <v>3630</v>
      </c>
      <c r="AA32" s="470"/>
      <c r="AB32" s="466"/>
      <c r="AC32" s="466"/>
      <c r="AD32" s="466"/>
      <c r="AE32" s="466"/>
      <c r="AF32" s="466" t="n">
        <v>0</v>
      </c>
      <c r="AG32" s="478"/>
      <c r="AH32" s="475"/>
      <c r="AI32" s="475"/>
      <c r="AJ32" s="475"/>
      <c r="AK32" s="475"/>
      <c r="AL32" s="475"/>
      <c r="AM32" s="475"/>
      <c r="AN32" s="475"/>
      <c r="AO32" s="475"/>
      <c r="AP32" s="475"/>
      <c r="AQ32" s="475"/>
      <c r="AR32" s="475"/>
      <c r="AS32" s="475"/>
      <c r="AT32" s="475"/>
      <c r="AU32" s="475"/>
      <c r="AV32" s="475"/>
      <c r="AW32" s="475"/>
      <c r="AX32" s="475"/>
      <c r="AY32" s="475"/>
      <c r="AZ32" s="475"/>
      <c r="BA32" s="475"/>
      <c r="BB32" s="475"/>
      <c r="BC32" s="475"/>
      <c r="BD32" s="475"/>
      <c r="BE32" s="475"/>
      <c r="BF32" s="475"/>
      <c r="BG32" s="475"/>
      <c r="BH32" s="475"/>
      <c r="BI32" s="475"/>
      <c r="BJ32" s="475"/>
      <c r="BK32" s="475"/>
      <c r="BL32" s="475"/>
      <c r="BM32" s="475"/>
      <c r="BN32" s="475"/>
      <c r="BO32" s="475"/>
      <c r="BP32" s="475"/>
      <c r="BQ32" s="475"/>
      <c r="BR32" s="475"/>
      <c r="BS32" s="475"/>
      <c r="BT32" s="475"/>
      <c r="BU32" s="475"/>
      <c r="BV32" s="475"/>
      <c r="BW32" s="475"/>
      <c r="BX32" s="475"/>
      <c r="BY32" s="475"/>
      <c r="BZ32" s="475"/>
      <c r="CA32" s="475"/>
      <c r="CB32" s="475"/>
      <c r="CC32" s="475"/>
    </row>
    <row r="33" customFormat="false" ht="42" hidden="false" customHeight="true" outlineLevel="0" collapsed="false">
      <c r="A33" s="449" t="s">
        <v>849</v>
      </c>
      <c r="B33" s="460" t="n">
        <v>45658</v>
      </c>
      <c r="C33" s="460" t="n">
        <v>45659</v>
      </c>
      <c r="D33" s="259" t="s">
        <v>323</v>
      </c>
      <c r="E33" s="461" t="n">
        <v>1</v>
      </c>
      <c r="F33" s="476"/>
      <c r="G33" s="482" t="s">
        <v>850</v>
      </c>
      <c r="H33" s="474" t="s">
        <v>740</v>
      </c>
      <c r="I33" s="259" t="s">
        <v>851</v>
      </c>
      <c r="J33" s="259" t="s">
        <v>852</v>
      </c>
      <c r="K33" s="259" t="s">
        <v>853</v>
      </c>
      <c r="L33" s="516" t="s">
        <v>854</v>
      </c>
      <c r="M33" s="465" t="s">
        <v>855</v>
      </c>
      <c r="N33" s="484" t="s">
        <v>740</v>
      </c>
      <c r="O33" s="466" t="s">
        <v>735</v>
      </c>
      <c r="P33" s="484" t="s">
        <v>560</v>
      </c>
      <c r="Q33" s="467"/>
      <c r="R33" s="467"/>
      <c r="S33" s="467" t="n">
        <v>1</v>
      </c>
      <c r="T33" s="466" t="n">
        <v>3</v>
      </c>
      <c r="U33" s="468"/>
      <c r="V33" s="469"/>
      <c r="W33" s="517"/>
      <c r="X33" s="518"/>
      <c r="Y33" s="470"/>
      <c r="Z33" s="471" t="n">
        <v>3630</v>
      </c>
      <c r="AA33" s="472" t="s">
        <v>856</v>
      </c>
      <c r="AB33" s="466"/>
      <c r="AC33" s="466"/>
      <c r="AD33" s="466"/>
      <c r="AE33" s="466"/>
      <c r="AF33" s="466" t="n">
        <v>0</v>
      </c>
      <c r="AG33" s="478"/>
      <c r="AH33" s="475"/>
      <c r="AI33" s="475"/>
      <c r="AJ33" s="475"/>
      <c r="AK33" s="475"/>
      <c r="AL33" s="475"/>
      <c r="AM33" s="475"/>
      <c r="AN33" s="475"/>
      <c r="AO33" s="475"/>
      <c r="AP33" s="475"/>
      <c r="AQ33" s="475"/>
      <c r="AR33" s="475"/>
      <c r="AS33" s="475"/>
      <c r="AT33" s="475"/>
      <c r="AU33" s="475"/>
      <c r="AV33" s="475"/>
      <c r="AW33" s="475"/>
      <c r="AX33" s="475"/>
      <c r="AY33" s="475"/>
      <c r="AZ33" s="475"/>
      <c r="BA33" s="475"/>
      <c r="BB33" s="475"/>
      <c r="BC33" s="475"/>
      <c r="BD33" s="475"/>
      <c r="BE33" s="475"/>
      <c r="BF33" s="475"/>
      <c r="BG33" s="475"/>
      <c r="BH33" s="475"/>
      <c r="BI33" s="475"/>
      <c r="BJ33" s="475"/>
      <c r="BK33" s="475"/>
      <c r="BL33" s="475"/>
      <c r="BM33" s="475"/>
      <c r="BN33" s="475"/>
      <c r="BO33" s="475"/>
      <c r="BP33" s="475"/>
      <c r="BQ33" s="475"/>
      <c r="BR33" s="475"/>
      <c r="BS33" s="475"/>
      <c r="BT33" s="475"/>
      <c r="BU33" s="475"/>
      <c r="BV33" s="475"/>
      <c r="BW33" s="475"/>
      <c r="BX33" s="475"/>
      <c r="BY33" s="475"/>
      <c r="BZ33" s="475"/>
      <c r="CA33" s="475"/>
      <c r="CB33" s="475"/>
      <c r="CC33" s="475"/>
    </row>
    <row r="34" customFormat="false" ht="30" hidden="false" customHeight="true" outlineLevel="0" collapsed="false">
      <c r="A34" s="449" t="s">
        <v>857</v>
      </c>
      <c r="B34" s="460" t="n">
        <v>45673</v>
      </c>
      <c r="C34" s="460" t="n">
        <v>45674</v>
      </c>
      <c r="D34" s="259" t="s">
        <v>312</v>
      </c>
      <c r="E34" s="461" t="n">
        <v>2</v>
      </c>
      <c r="F34" s="476" t="n">
        <v>46007</v>
      </c>
      <c r="G34" s="482" t="s">
        <v>858</v>
      </c>
      <c r="H34" s="478" t="s">
        <v>859</v>
      </c>
      <c r="I34" s="259" t="s">
        <v>860</v>
      </c>
      <c r="J34" s="259" t="s">
        <v>861</v>
      </c>
      <c r="K34" s="259" t="s">
        <v>862</v>
      </c>
      <c r="L34" s="516" t="s">
        <v>863</v>
      </c>
      <c r="M34" s="465" t="s">
        <v>864</v>
      </c>
      <c r="N34" s="484" t="s">
        <v>740</v>
      </c>
      <c r="O34" s="466" t="s">
        <v>865</v>
      </c>
      <c r="P34" s="484" t="s">
        <v>560</v>
      </c>
      <c r="Q34" s="467"/>
      <c r="R34" s="467"/>
      <c r="S34" s="467" t="n">
        <v>8</v>
      </c>
      <c r="T34" s="466" t="n">
        <v>9</v>
      </c>
      <c r="U34" s="468"/>
      <c r="V34" s="469"/>
      <c r="W34" s="470"/>
      <c r="X34" s="471"/>
      <c r="Y34" s="470"/>
      <c r="Z34" s="471" t="n">
        <v>3630</v>
      </c>
      <c r="AA34" s="472" t="s">
        <v>866</v>
      </c>
      <c r="AB34" s="466"/>
      <c r="AC34" s="466"/>
      <c r="AD34" s="466"/>
      <c r="AE34" s="466"/>
      <c r="AF34" s="466" t="n">
        <v>0</v>
      </c>
      <c r="AG34" s="478"/>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5"/>
      <c r="BD34" s="475"/>
      <c r="BE34" s="475"/>
      <c r="BF34" s="475"/>
      <c r="BG34" s="475"/>
      <c r="BH34" s="475"/>
      <c r="BI34" s="475"/>
      <c r="BJ34" s="475"/>
      <c r="BK34" s="475"/>
      <c r="BL34" s="475"/>
      <c r="BM34" s="475"/>
      <c r="BN34" s="475"/>
      <c r="BO34" s="475"/>
      <c r="BP34" s="475"/>
      <c r="BQ34" s="475"/>
      <c r="BR34" s="475"/>
      <c r="BS34" s="475"/>
      <c r="BT34" s="475"/>
      <c r="BU34" s="475"/>
      <c r="BV34" s="475"/>
      <c r="BW34" s="475"/>
      <c r="BX34" s="475"/>
      <c r="BY34" s="475"/>
      <c r="BZ34" s="475"/>
      <c r="CA34" s="475"/>
      <c r="CB34" s="475"/>
      <c r="CC34" s="475"/>
    </row>
    <row r="35" customFormat="false" ht="30" hidden="false" customHeight="true" outlineLevel="0" collapsed="false">
      <c r="A35" s="449" t="s">
        <v>867</v>
      </c>
      <c r="B35" s="460" t="n">
        <v>46303</v>
      </c>
      <c r="C35" s="460" t="n">
        <v>46304</v>
      </c>
      <c r="D35" s="519" t="s">
        <v>868</v>
      </c>
      <c r="E35" s="461" t="n">
        <v>1</v>
      </c>
      <c r="F35" s="520" t="s">
        <v>869</v>
      </c>
      <c r="G35" s="482" t="s">
        <v>870</v>
      </c>
      <c r="H35" s="482" t="s">
        <v>871</v>
      </c>
      <c r="I35" s="482" t="s">
        <v>872</v>
      </c>
      <c r="J35" s="259" t="s">
        <v>873</v>
      </c>
      <c r="K35" s="259" t="s">
        <v>874</v>
      </c>
      <c r="L35" s="516" t="s">
        <v>875</v>
      </c>
      <c r="M35" s="465"/>
      <c r="N35" s="259" t="s">
        <v>876</v>
      </c>
      <c r="O35" s="466" t="s">
        <v>643</v>
      </c>
      <c r="P35" s="259" t="s">
        <v>644</v>
      </c>
      <c r="Q35" s="467"/>
      <c r="R35" s="467"/>
      <c r="S35" s="467" t="n">
        <v>60</v>
      </c>
      <c r="T35" s="466" t="n">
        <v>60</v>
      </c>
      <c r="U35" s="468"/>
      <c r="V35" s="469"/>
      <c r="W35" s="470"/>
      <c r="X35" s="471"/>
      <c r="Y35" s="470"/>
      <c r="Z35" s="471" t="n">
        <v>2500</v>
      </c>
      <c r="AA35" s="472" t="s">
        <v>877</v>
      </c>
      <c r="AB35" s="466"/>
      <c r="AC35" s="466"/>
      <c r="AD35" s="466"/>
      <c r="AE35" s="466"/>
      <c r="AF35" s="466"/>
      <c r="AG35" s="474" t="s">
        <v>878</v>
      </c>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5"/>
      <c r="BD35" s="475"/>
      <c r="BE35" s="475"/>
      <c r="BF35" s="475"/>
      <c r="BG35" s="475"/>
      <c r="BH35" s="475"/>
      <c r="BI35" s="475"/>
      <c r="BJ35" s="475"/>
      <c r="BK35" s="475"/>
      <c r="BL35" s="475"/>
      <c r="BM35" s="475"/>
      <c r="BN35" s="475"/>
      <c r="BO35" s="475"/>
      <c r="BP35" s="475"/>
      <c r="BQ35" s="475"/>
      <c r="BR35" s="475"/>
      <c r="BS35" s="475"/>
      <c r="BT35" s="475"/>
      <c r="BU35" s="475"/>
      <c r="BV35" s="475"/>
      <c r="BW35" s="475"/>
      <c r="BX35" s="475"/>
      <c r="BY35" s="475"/>
      <c r="BZ35" s="475"/>
      <c r="CA35" s="475"/>
      <c r="CB35" s="475"/>
      <c r="CC35" s="475"/>
    </row>
    <row r="36" customFormat="false" ht="30" hidden="false" customHeight="true" outlineLevel="0" collapsed="false">
      <c r="A36" s="449" t="s">
        <v>879</v>
      </c>
      <c r="B36" s="460" t="n">
        <v>46147</v>
      </c>
      <c r="C36" s="460" t="n">
        <v>46150</v>
      </c>
      <c r="D36" s="259" t="s">
        <v>312</v>
      </c>
      <c r="E36" s="461" t="n">
        <v>3</v>
      </c>
      <c r="F36" s="476" t="n">
        <v>46017</v>
      </c>
      <c r="G36" s="482" t="s">
        <v>880</v>
      </c>
      <c r="H36" s="478" t="s">
        <v>881</v>
      </c>
      <c r="I36" s="474" t="s">
        <v>882</v>
      </c>
      <c r="J36" s="259" t="s">
        <v>883</v>
      </c>
      <c r="K36" s="259" t="s">
        <v>884</v>
      </c>
      <c r="L36" s="464" t="s">
        <v>885</v>
      </c>
      <c r="M36" s="465" t="s">
        <v>886</v>
      </c>
      <c r="N36" s="259" t="s">
        <v>803</v>
      </c>
      <c r="O36" s="466" t="s">
        <v>887</v>
      </c>
      <c r="P36" s="484" t="s">
        <v>560</v>
      </c>
      <c r="Q36" s="467"/>
      <c r="R36" s="467"/>
      <c r="S36" s="467" t="n">
        <v>22</v>
      </c>
      <c r="T36" s="466" t="n">
        <v>51</v>
      </c>
      <c r="U36" s="468"/>
      <c r="V36" s="469"/>
      <c r="W36" s="470"/>
      <c r="X36" s="471" t="n">
        <v>3600</v>
      </c>
      <c r="Y36" s="470"/>
      <c r="Z36" s="471" t="n">
        <v>1870</v>
      </c>
      <c r="AA36" s="470" t="s">
        <v>753</v>
      </c>
      <c r="AB36" s="466"/>
      <c r="AC36" s="466"/>
      <c r="AD36" s="466"/>
      <c r="AE36" s="466"/>
      <c r="AF36" s="466" t="n">
        <v>15</v>
      </c>
      <c r="AG36" s="478"/>
      <c r="AH36" s="475"/>
      <c r="AI36" s="475"/>
      <c r="AJ36" s="475"/>
      <c r="AK36" s="475"/>
      <c r="AL36" s="475"/>
      <c r="AM36" s="475"/>
      <c r="AN36" s="475"/>
      <c r="AO36" s="475"/>
      <c r="AP36" s="475"/>
      <c r="AQ36" s="475"/>
      <c r="AR36" s="475"/>
      <c r="AS36" s="475"/>
      <c r="AT36" s="475"/>
      <c r="AU36" s="475"/>
      <c r="AV36" s="475"/>
      <c r="AW36" s="475"/>
      <c r="AX36" s="475"/>
      <c r="AY36" s="475"/>
      <c r="AZ36" s="475"/>
      <c r="BA36" s="475"/>
      <c r="BB36" s="475"/>
      <c r="BC36" s="475"/>
      <c r="BD36" s="475"/>
      <c r="BE36" s="475"/>
      <c r="BF36" s="475"/>
      <c r="BG36" s="475"/>
      <c r="BH36" s="475"/>
      <c r="BI36" s="475"/>
      <c r="BJ36" s="475"/>
      <c r="BK36" s="475"/>
      <c r="BL36" s="475"/>
      <c r="BM36" s="475"/>
      <c r="BN36" s="475"/>
      <c r="BO36" s="475"/>
      <c r="BP36" s="475"/>
      <c r="BQ36" s="475"/>
      <c r="BR36" s="475"/>
      <c r="BS36" s="475"/>
      <c r="BT36" s="475"/>
      <c r="BU36" s="475"/>
      <c r="BV36" s="475"/>
      <c r="BW36" s="475"/>
      <c r="BX36" s="475"/>
      <c r="BY36" s="475"/>
      <c r="BZ36" s="475"/>
      <c r="CA36" s="475"/>
      <c r="CB36" s="475"/>
      <c r="CC36" s="475"/>
    </row>
    <row r="37" customFormat="false" ht="30" hidden="false" customHeight="true" outlineLevel="0" collapsed="false">
      <c r="A37" s="449" t="s">
        <v>888</v>
      </c>
      <c r="B37" s="460" t="n">
        <v>46275</v>
      </c>
      <c r="C37" s="460" t="n">
        <v>46276</v>
      </c>
      <c r="D37" s="521" t="s">
        <v>312</v>
      </c>
      <c r="E37" s="461" t="n">
        <v>1</v>
      </c>
      <c r="F37" s="476" t="n">
        <v>46017</v>
      </c>
      <c r="G37" s="482" t="s">
        <v>889</v>
      </c>
      <c r="H37" s="478" t="s">
        <v>881</v>
      </c>
      <c r="I37" s="259" t="s">
        <v>890</v>
      </c>
      <c r="J37" s="259" t="s">
        <v>891</v>
      </c>
      <c r="K37" s="259" t="s">
        <v>892</v>
      </c>
      <c r="L37" s="464" t="s">
        <v>893</v>
      </c>
      <c r="M37" s="465" t="s">
        <v>894</v>
      </c>
      <c r="N37" s="259" t="s">
        <v>803</v>
      </c>
      <c r="O37" s="466" t="s">
        <v>643</v>
      </c>
      <c r="P37" s="484" t="s">
        <v>560</v>
      </c>
      <c r="Q37" s="467"/>
      <c r="R37" s="467"/>
      <c r="S37" s="467" t="n">
        <v>5</v>
      </c>
      <c r="T37" s="466" t="n">
        <v>9</v>
      </c>
      <c r="U37" s="468"/>
      <c r="V37" s="469"/>
      <c r="W37" s="470"/>
      <c r="X37" s="471" t="n">
        <v>3900</v>
      </c>
      <c r="Y37" s="470"/>
      <c r="Z37" s="471" t="n">
        <v>2200</v>
      </c>
      <c r="AA37" s="470"/>
      <c r="AB37" s="466"/>
      <c r="AC37" s="466"/>
      <c r="AD37" s="466"/>
      <c r="AE37" s="466"/>
      <c r="AF37" s="466" t="n">
        <v>10</v>
      </c>
      <c r="AG37" s="478"/>
      <c r="AH37" s="475"/>
      <c r="AI37" s="475"/>
      <c r="AJ37" s="475"/>
      <c r="AK37" s="475"/>
      <c r="AL37" s="475"/>
      <c r="AM37" s="475"/>
      <c r="AN37" s="475"/>
      <c r="AO37" s="475"/>
      <c r="AP37" s="475"/>
      <c r="AQ37" s="475"/>
      <c r="AR37" s="475"/>
      <c r="AS37" s="475"/>
      <c r="AT37" s="475"/>
      <c r="AU37" s="475"/>
      <c r="AV37" s="475"/>
      <c r="AW37" s="475"/>
      <c r="AX37" s="475"/>
      <c r="AY37" s="475"/>
      <c r="AZ37" s="475"/>
      <c r="BA37" s="475"/>
      <c r="BB37" s="475"/>
      <c r="BC37" s="475"/>
      <c r="BD37" s="475"/>
      <c r="BE37" s="475"/>
      <c r="BF37" s="475"/>
      <c r="BG37" s="475"/>
      <c r="BH37" s="475"/>
      <c r="BI37" s="475"/>
      <c r="BJ37" s="475"/>
      <c r="BK37" s="475"/>
      <c r="BL37" s="475"/>
      <c r="BM37" s="475"/>
      <c r="BN37" s="475"/>
      <c r="BO37" s="475"/>
      <c r="BP37" s="475"/>
      <c r="BQ37" s="475"/>
      <c r="BR37" s="475"/>
      <c r="BS37" s="475"/>
      <c r="BT37" s="475"/>
      <c r="BU37" s="475"/>
      <c r="BV37" s="475"/>
      <c r="BW37" s="475"/>
      <c r="BX37" s="475"/>
      <c r="BY37" s="475"/>
      <c r="BZ37" s="475"/>
      <c r="CA37" s="475"/>
      <c r="CB37" s="475"/>
      <c r="CC37" s="475"/>
    </row>
    <row r="38" customFormat="false" ht="30" hidden="false" customHeight="true" outlineLevel="0" collapsed="false">
      <c r="A38" s="449" t="s">
        <v>895</v>
      </c>
      <c r="B38" s="460" t="n">
        <v>46087</v>
      </c>
      <c r="C38" s="460" t="n">
        <v>46089</v>
      </c>
      <c r="D38" s="259" t="s">
        <v>323</v>
      </c>
      <c r="E38" s="461" t="n">
        <v>3</v>
      </c>
      <c r="F38" s="461"/>
      <c r="G38" s="482" t="s">
        <v>896</v>
      </c>
      <c r="H38" s="478" t="s">
        <v>897</v>
      </c>
      <c r="I38" s="259" t="s">
        <v>637</v>
      </c>
      <c r="J38" s="259" t="s">
        <v>898</v>
      </c>
      <c r="K38" s="259"/>
      <c r="L38" s="464" t="s">
        <v>899</v>
      </c>
      <c r="M38" s="465" t="s">
        <v>900</v>
      </c>
      <c r="N38" s="259"/>
      <c r="O38" s="466"/>
      <c r="P38" s="259" t="s">
        <v>686</v>
      </c>
      <c r="Q38" s="467"/>
      <c r="R38" s="467"/>
      <c r="S38" s="467"/>
      <c r="T38" s="466"/>
      <c r="U38" s="468"/>
      <c r="V38" s="469"/>
      <c r="W38" s="470"/>
      <c r="X38" s="461" t="n">
        <v>5280</v>
      </c>
      <c r="Y38" s="470"/>
      <c r="Z38" s="461" t="n">
        <v>3630</v>
      </c>
      <c r="AA38" s="483"/>
      <c r="AB38" s="466"/>
      <c r="AC38" s="466"/>
      <c r="AD38" s="466"/>
      <c r="AE38" s="466"/>
      <c r="AF38" s="484"/>
      <c r="AG38" s="478"/>
      <c r="AH38" s="475"/>
      <c r="AI38" s="475"/>
      <c r="AJ38" s="475"/>
      <c r="AK38" s="475"/>
      <c r="AL38" s="475"/>
      <c r="AM38" s="475"/>
      <c r="AN38" s="475"/>
      <c r="AO38" s="475"/>
      <c r="AP38" s="475"/>
      <c r="AQ38" s="475"/>
      <c r="AR38" s="475"/>
      <c r="AS38" s="475"/>
      <c r="AT38" s="475"/>
      <c r="AU38" s="475"/>
      <c r="AV38" s="475"/>
      <c r="AW38" s="475"/>
      <c r="AX38" s="475"/>
      <c r="AY38" s="475"/>
      <c r="AZ38" s="475"/>
      <c r="BA38" s="475"/>
      <c r="BB38" s="475"/>
      <c r="BC38" s="475"/>
      <c r="BD38" s="475"/>
      <c r="BE38" s="475"/>
      <c r="BF38" s="475"/>
      <c r="BG38" s="475"/>
      <c r="BH38" s="475"/>
      <c r="BI38" s="475"/>
      <c r="BJ38" s="475"/>
      <c r="BK38" s="475"/>
      <c r="BL38" s="475"/>
      <c r="BM38" s="475"/>
      <c r="BN38" s="475"/>
      <c r="BO38" s="475"/>
      <c r="BP38" s="475"/>
      <c r="BQ38" s="475"/>
      <c r="BR38" s="475"/>
      <c r="BS38" s="475"/>
      <c r="BT38" s="475"/>
      <c r="BU38" s="475"/>
      <c r="BV38" s="475"/>
      <c r="BW38" s="475"/>
      <c r="BX38" s="475"/>
      <c r="BY38" s="475"/>
      <c r="BZ38" s="475"/>
      <c r="CA38" s="475"/>
      <c r="CB38" s="475"/>
      <c r="CC38" s="475"/>
    </row>
    <row r="39" customFormat="false" ht="30" hidden="false" customHeight="true" outlineLevel="0" collapsed="false">
      <c r="A39" s="449" t="s">
        <v>901</v>
      </c>
      <c r="B39" s="460" t="n">
        <v>46087</v>
      </c>
      <c r="C39" s="460" t="n">
        <v>46090</v>
      </c>
      <c r="D39" s="259" t="s">
        <v>323</v>
      </c>
      <c r="E39" s="461" t="n">
        <v>4</v>
      </c>
      <c r="F39" s="461"/>
      <c r="G39" s="482" t="s">
        <v>896</v>
      </c>
      <c r="H39" s="478" t="s">
        <v>897</v>
      </c>
      <c r="I39" s="259" t="s">
        <v>637</v>
      </c>
      <c r="J39" s="259" t="s">
        <v>898</v>
      </c>
      <c r="K39" s="259"/>
      <c r="L39" s="464" t="s">
        <v>902</v>
      </c>
      <c r="M39" s="465" t="s">
        <v>900</v>
      </c>
      <c r="N39" s="259"/>
      <c r="O39" s="466"/>
      <c r="P39" s="259" t="s">
        <v>686</v>
      </c>
      <c r="Q39" s="467"/>
      <c r="R39" s="467"/>
      <c r="S39" s="467"/>
      <c r="T39" s="466"/>
      <c r="U39" s="468"/>
      <c r="V39" s="469"/>
      <c r="W39" s="470"/>
      <c r="X39" s="461" t="n">
        <v>5280</v>
      </c>
      <c r="Y39" s="470"/>
      <c r="Z39" s="461" t="n">
        <v>3630</v>
      </c>
      <c r="AA39" s="483"/>
      <c r="AB39" s="466"/>
      <c r="AC39" s="466"/>
      <c r="AD39" s="466"/>
      <c r="AE39" s="466"/>
      <c r="AF39" s="484"/>
      <c r="AG39" s="478"/>
      <c r="AH39" s="475"/>
      <c r="AI39" s="475"/>
      <c r="AJ39" s="475"/>
      <c r="AK39" s="475"/>
      <c r="AL39" s="475"/>
      <c r="AM39" s="475"/>
      <c r="AN39" s="475"/>
      <c r="AO39" s="475"/>
      <c r="AP39" s="475"/>
      <c r="AQ39" s="475"/>
      <c r="AR39" s="475"/>
      <c r="AS39" s="475"/>
      <c r="AT39" s="475"/>
      <c r="AU39" s="475"/>
      <c r="AV39" s="475"/>
      <c r="AW39" s="475"/>
      <c r="AX39" s="475"/>
      <c r="AY39" s="475"/>
      <c r="AZ39" s="475"/>
      <c r="BA39" s="475"/>
      <c r="BB39" s="475"/>
      <c r="BC39" s="475"/>
      <c r="BD39" s="475"/>
      <c r="BE39" s="475"/>
      <c r="BF39" s="475"/>
      <c r="BG39" s="475"/>
      <c r="BH39" s="475"/>
      <c r="BI39" s="475"/>
      <c r="BJ39" s="475"/>
      <c r="BK39" s="475"/>
      <c r="BL39" s="475"/>
      <c r="BM39" s="475"/>
      <c r="BN39" s="475"/>
      <c r="BO39" s="475"/>
      <c r="BP39" s="475"/>
      <c r="BQ39" s="475"/>
      <c r="BR39" s="475"/>
      <c r="BS39" s="475"/>
      <c r="BT39" s="475"/>
      <c r="BU39" s="475"/>
      <c r="BV39" s="475"/>
      <c r="BW39" s="475"/>
      <c r="BX39" s="475"/>
      <c r="BY39" s="475"/>
      <c r="BZ39" s="475"/>
      <c r="CA39" s="475"/>
      <c r="CB39" s="475"/>
      <c r="CC39" s="475"/>
    </row>
    <row r="40" customFormat="false" ht="30" hidden="false" customHeight="true" outlineLevel="0" collapsed="false">
      <c r="A40" s="449" t="s">
        <v>903</v>
      </c>
      <c r="B40" s="460" t="n">
        <v>46274</v>
      </c>
      <c r="C40" s="460" t="n">
        <v>46275</v>
      </c>
      <c r="D40" s="259" t="s">
        <v>323</v>
      </c>
      <c r="E40" s="461" t="n">
        <v>1</v>
      </c>
      <c r="F40" s="461"/>
      <c r="G40" s="482" t="s">
        <v>904</v>
      </c>
      <c r="H40" s="478" t="s">
        <v>905</v>
      </c>
      <c r="I40" s="259" t="s">
        <v>906</v>
      </c>
      <c r="J40" s="259" t="s">
        <v>907</v>
      </c>
      <c r="K40" s="259" t="s">
        <v>908</v>
      </c>
      <c r="L40" s="464" t="s">
        <v>909</v>
      </c>
      <c r="M40" s="465" t="s">
        <v>910</v>
      </c>
      <c r="N40" s="484" t="s">
        <v>642</v>
      </c>
      <c r="O40" s="466" t="s">
        <v>643</v>
      </c>
      <c r="P40" s="484" t="s">
        <v>560</v>
      </c>
      <c r="Q40" s="467" t="n">
        <v>1</v>
      </c>
      <c r="R40" s="467"/>
      <c r="S40" s="467" t="n">
        <v>53</v>
      </c>
      <c r="T40" s="466" t="n">
        <v>53</v>
      </c>
      <c r="U40" s="468"/>
      <c r="V40" s="469"/>
      <c r="W40" s="470"/>
      <c r="X40" s="471" t="n">
        <v>8000</v>
      </c>
      <c r="Y40" s="470"/>
      <c r="Z40" s="471" t="n">
        <v>3080</v>
      </c>
      <c r="AA40" s="483" t="s">
        <v>911</v>
      </c>
      <c r="AB40" s="466"/>
      <c r="AC40" s="466"/>
      <c r="AD40" s="466"/>
      <c r="AE40" s="466"/>
      <c r="AF40" s="466" t="n">
        <v>10</v>
      </c>
      <c r="AG40" s="478" t="s">
        <v>912</v>
      </c>
      <c r="AH40" s="475"/>
      <c r="AI40" s="475"/>
      <c r="AJ40" s="475"/>
      <c r="AK40" s="475"/>
      <c r="AL40" s="475"/>
      <c r="AM40" s="475"/>
      <c r="AN40" s="475"/>
      <c r="AO40" s="475"/>
      <c r="AP40" s="475"/>
      <c r="AQ40" s="475"/>
      <c r="AR40" s="475"/>
      <c r="AS40" s="475"/>
      <c r="AT40" s="475"/>
      <c r="AU40" s="475"/>
      <c r="AV40" s="475"/>
      <c r="AW40" s="475"/>
      <c r="AX40" s="475"/>
      <c r="AY40" s="475"/>
      <c r="AZ40" s="475"/>
      <c r="BA40" s="475"/>
      <c r="BB40" s="475"/>
      <c r="BC40" s="475"/>
      <c r="BD40" s="475"/>
      <c r="BE40" s="475"/>
      <c r="BF40" s="475"/>
      <c r="BG40" s="475"/>
      <c r="BH40" s="475"/>
      <c r="BI40" s="475"/>
      <c r="BJ40" s="475"/>
      <c r="BK40" s="475"/>
      <c r="BL40" s="475"/>
      <c r="BM40" s="475"/>
      <c r="BN40" s="475"/>
      <c r="BO40" s="475"/>
      <c r="BP40" s="475"/>
      <c r="BQ40" s="475"/>
      <c r="BR40" s="475"/>
      <c r="BS40" s="475"/>
      <c r="BT40" s="475"/>
      <c r="BU40" s="475"/>
      <c r="BV40" s="475"/>
      <c r="BW40" s="475"/>
      <c r="BX40" s="475"/>
      <c r="BY40" s="475"/>
      <c r="BZ40" s="475"/>
      <c r="CA40" s="475"/>
      <c r="CB40" s="475"/>
      <c r="CC40" s="475"/>
    </row>
    <row r="41" customFormat="false" ht="30" hidden="false" customHeight="true" outlineLevel="0" collapsed="false">
      <c r="A41" s="449" t="s">
        <v>913</v>
      </c>
      <c r="B41" s="460" t="n">
        <v>46195</v>
      </c>
      <c r="C41" s="460" t="n">
        <v>46197</v>
      </c>
      <c r="D41" s="259" t="s">
        <v>312</v>
      </c>
      <c r="E41" s="461" t="n">
        <v>2</v>
      </c>
      <c r="F41" s="476" t="n">
        <v>46031</v>
      </c>
      <c r="G41" s="482" t="s">
        <v>914</v>
      </c>
      <c r="H41" s="478" t="s">
        <v>915</v>
      </c>
      <c r="I41" s="259" t="s">
        <v>916</v>
      </c>
      <c r="J41" s="259" t="s">
        <v>917</v>
      </c>
      <c r="K41" s="259"/>
      <c r="L41" s="464" t="s">
        <v>918</v>
      </c>
      <c r="M41" s="465" t="s">
        <v>919</v>
      </c>
      <c r="N41" s="259" t="s">
        <v>803</v>
      </c>
      <c r="O41" s="466" t="s">
        <v>643</v>
      </c>
      <c r="P41" s="484" t="s">
        <v>560</v>
      </c>
      <c r="Q41" s="467"/>
      <c r="R41" s="467"/>
      <c r="S41" s="467" t="n">
        <v>70</v>
      </c>
      <c r="T41" s="466" t="n">
        <v>140</v>
      </c>
      <c r="U41" s="468"/>
      <c r="V41" s="469"/>
      <c r="W41" s="470"/>
      <c r="X41" s="471" t="n">
        <v>3900</v>
      </c>
      <c r="Y41" s="470"/>
      <c r="Z41" s="471" t="n">
        <v>2200</v>
      </c>
      <c r="AA41" s="472" t="s">
        <v>920</v>
      </c>
      <c r="AB41" s="466"/>
      <c r="AC41" s="466"/>
      <c r="AD41" s="466"/>
      <c r="AE41" s="466"/>
      <c r="AF41" s="466" t="n">
        <v>10</v>
      </c>
      <c r="AG41" s="522" t="s">
        <v>921</v>
      </c>
      <c r="AH41" s="475"/>
      <c r="AI41" s="475"/>
      <c r="AJ41" s="475"/>
      <c r="AK41" s="475"/>
      <c r="AL41" s="475"/>
      <c r="AM41" s="475"/>
      <c r="AN41" s="475"/>
      <c r="AO41" s="475"/>
      <c r="AP41" s="475"/>
      <c r="AQ41" s="475"/>
      <c r="AR41" s="475"/>
      <c r="AS41" s="475"/>
      <c r="AT41" s="475"/>
      <c r="AU41" s="475"/>
      <c r="AV41" s="475"/>
      <c r="AW41" s="475"/>
      <c r="AX41" s="475"/>
      <c r="AY41" s="475"/>
      <c r="AZ41" s="475"/>
      <c r="BA41" s="475"/>
      <c r="BB41" s="475"/>
      <c r="BC41" s="475"/>
      <c r="BD41" s="475"/>
      <c r="BE41" s="475"/>
      <c r="BF41" s="475"/>
      <c r="BG41" s="475"/>
      <c r="BH41" s="475"/>
      <c r="BI41" s="475"/>
      <c r="BJ41" s="475"/>
      <c r="BK41" s="475"/>
      <c r="BL41" s="475"/>
      <c r="BM41" s="475"/>
      <c r="BN41" s="475"/>
      <c r="BO41" s="475"/>
      <c r="BP41" s="475"/>
      <c r="BQ41" s="475"/>
      <c r="BR41" s="475"/>
      <c r="BS41" s="475"/>
      <c r="BT41" s="475"/>
      <c r="BU41" s="475"/>
      <c r="BV41" s="475"/>
      <c r="BW41" s="475"/>
      <c r="BX41" s="475"/>
      <c r="BY41" s="475"/>
      <c r="BZ41" s="475"/>
      <c r="CA41" s="475"/>
      <c r="CB41" s="475"/>
      <c r="CC41" s="475"/>
    </row>
    <row r="42" customFormat="false" ht="30" hidden="false" customHeight="true" outlineLevel="0" collapsed="false">
      <c r="A42" s="449" t="s">
        <v>922</v>
      </c>
      <c r="B42" s="460" t="n">
        <v>46197</v>
      </c>
      <c r="C42" s="460" t="n">
        <v>46199</v>
      </c>
      <c r="D42" s="259" t="s">
        <v>312</v>
      </c>
      <c r="E42" s="461" t="n">
        <v>2</v>
      </c>
      <c r="F42" s="476" t="n">
        <v>46031</v>
      </c>
      <c r="G42" s="482" t="s">
        <v>923</v>
      </c>
      <c r="H42" s="478" t="s">
        <v>915</v>
      </c>
      <c r="I42" s="259" t="s">
        <v>916</v>
      </c>
      <c r="J42" s="259" t="s">
        <v>917</v>
      </c>
      <c r="K42" s="259"/>
      <c r="L42" s="464" t="s">
        <v>918</v>
      </c>
      <c r="M42" s="465" t="s">
        <v>919</v>
      </c>
      <c r="N42" s="259" t="s">
        <v>803</v>
      </c>
      <c r="O42" s="466" t="s">
        <v>643</v>
      </c>
      <c r="P42" s="484" t="s">
        <v>560</v>
      </c>
      <c r="Q42" s="467"/>
      <c r="R42" s="467"/>
      <c r="S42" s="467" t="n">
        <v>140</v>
      </c>
      <c r="T42" s="466" t="n">
        <v>235</v>
      </c>
      <c r="U42" s="468"/>
      <c r="V42" s="469"/>
      <c r="W42" s="470"/>
      <c r="X42" s="471" t="n">
        <v>3900</v>
      </c>
      <c r="Y42" s="470"/>
      <c r="Z42" s="471" t="n">
        <v>2200</v>
      </c>
      <c r="AA42" s="472" t="s">
        <v>920</v>
      </c>
      <c r="AB42" s="466"/>
      <c r="AC42" s="466"/>
      <c r="AD42" s="466"/>
      <c r="AE42" s="466"/>
      <c r="AF42" s="466" t="n">
        <v>10</v>
      </c>
      <c r="AG42" s="522" t="s">
        <v>921</v>
      </c>
      <c r="AH42" s="475"/>
      <c r="AI42" s="475"/>
      <c r="AJ42" s="475"/>
      <c r="AK42" s="475"/>
      <c r="AL42" s="475"/>
      <c r="AM42" s="475"/>
      <c r="AN42" s="475"/>
      <c r="AO42" s="475"/>
      <c r="AP42" s="475"/>
      <c r="AQ42" s="475"/>
      <c r="AR42" s="475"/>
      <c r="AS42" s="475"/>
      <c r="AT42" s="475"/>
      <c r="AU42" s="475"/>
      <c r="AV42" s="475"/>
      <c r="AW42" s="475"/>
      <c r="AX42" s="475"/>
      <c r="AY42" s="475"/>
      <c r="AZ42" s="475"/>
      <c r="BA42" s="475"/>
      <c r="BB42" s="475"/>
      <c r="BC42" s="475"/>
      <c r="BD42" s="475"/>
      <c r="BE42" s="475"/>
      <c r="BF42" s="475"/>
      <c r="BG42" s="475"/>
      <c r="BH42" s="475"/>
      <c r="BI42" s="475"/>
      <c r="BJ42" s="475"/>
      <c r="BK42" s="475"/>
      <c r="BL42" s="475"/>
      <c r="BM42" s="475"/>
      <c r="BN42" s="475"/>
      <c r="BO42" s="475"/>
      <c r="BP42" s="475"/>
      <c r="BQ42" s="475"/>
      <c r="BR42" s="475"/>
      <c r="BS42" s="475"/>
      <c r="BT42" s="475"/>
      <c r="BU42" s="475"/>
      <c r="BV42" s="475"/>
      <c r="BW42" s="475"/>
      <c r="BX42" s="475"/>
      <c r="BY42" s="475"/>
      <c r="BZ42" s="475"/>
      <c r="CA42" s="475"/>
      <c r="CB42" s="475"/>
      <c r="CC42" s="475"/>
    </row>
    <row r="43" customFormat="false" ht="30" hidden="false" customHeight="true" outlineLevel="0" collapsed="false">
      <c r="A43" s="449" t="s">
        <v>924</v>
      </c>
      <c r="B43" s="460" t="n">
        <v>46106</v>
      </c>
      <c r="C43" s="460" t="n">
        <v>46109</v>
      </c>
      <c r="D43" s="259" t="s">
        <v>312</v>
      </c>
      <c r="E43" s="461" t="n">
        <v>3</v>
      </c>
      <c r="F43" s="461"/>
      <c r="G43" s="482" t="s">
        <v>925</v>
      </c>
      <c r="H43" s="478" t="s">
        <v>926</v>
      </c>
      <c r="I43" s="259" t="s">
        <v>927</v>
      </c>
      <c r="J43" s="259" t="s">
        <v>928</v>
      </c>
      <c r="K43" s="512" t="s">
        <v>929</v>
      </c>
      <c r="L43" s="464" t="s">
        <v>930</v>
      </c>
      <c r="M43" s="465" t="s">
        <v>931</v>
      </c>
      <c r="N43" s="259" t="s">
        <v>803</v>
      </c>
      <c r="O43" s="466" t="s">
        <v>887</v>
      </c>
      <c r="P43" s="484" t="s">
        <v>932</v>
      </c>
      <c r="Q43" s="467"/>
      <c r="R43" s="467"/>
      <c r="S43" s="467" t="n">
        <v>23</v>
      </c>
      <c r="T43" s="466" t="n">
        <v>55</v>
      </c>
      <c r="U43" s="468"/>
      <c r="V43" s="469"/>
      <c r="W43" s="470"/>
      <c r="X43" s="471" t="n">
        <v>5280</v>
      </c>
      <c r="Y43" s="470"/>
      <c r="Z43" s="471" t="n">
        <v>3630</v>
      </c>
      <c r="AA43" s="483" t="s">
        <v>920</v>
      </c>
      <c r="AB43" s="466"/>
      <c r="AC43" s="466"/>
      <c r="AD43" s="466"/>
      <c r="AE43" s="466"/>
      <c r="AF43" s="466"/>
      <c r="AG43" s="481"/>
      <c r="AH43" s="475"/>
      <c r="AI43" s="475"/>
      <c r="AJ43" s="475"/>
      <c r="AK43" s="475"/>
      <c r="AL43" s="475"/>
      <c r="AM43" s="475"/>
      <c r="AN43" s="475"/>
      <c r="AO43" s="475"/>
      <c r="AP43" s="475"/>
      <c r="AQ43" s="475"/>
      <c r="AR43" s="475"/>
      <c r="AS43" s="475"/>
      <c r="AT43" s="475"/>
      <c r="AU43" s="475"/>
      <c r="AV43" s="475"/>
      <c r="AW43" s="475"/>
      <c r="AX43" s="475"/>
      <c r="AY43" s="475"/>
      <c r="AZ43" s="475"/>
      <c r="BA43" s="475"/>
      <c r="BB43" s="475"/>
      <c r="BC43" s="475"/>
      <c r="BD43" s="475"/>
      <c r="BE43" s="475"/>
      <c r="BF43" s="475"/>
      <c r="BG43" s="475"/>
      <c r="BH43" s="475"/>
      <c r="BI43" s="475"/>
      <c r="BJ43" s="475"/>
      <c r="BK43" s="475"/>
      <c r="BL43" s="475"/>
      <c r="BM43" s="475"/>
      <c r="BN43" s="475"/>
      <c r="BO43" s="475"/>
      <c r="BP43" s="475"/>
      <c r="BQ43" s="475"/>
      <c r="BR43" s="475"/>
      <c r="BS43" s="475"/>
      <c r="BT43" s="475"/>
      <c r="BU43" s="475"/>
      <c r="BV43" s="475"/>
      <c r="BW43" s="475"/>
      <c r="BX43" s="475"/>
      <c r="BY43" s="475"/>
      <c r="BZ43" s="475"/>
      <c r="CA43" s="475"/>
      <c r="CB43" s="475"/>
      <c r="CC43" s="475"/>
    </row>
    <row r="44" customFormat="false" ht="30" hidden="false" customHeight="true" outlineLevel="0" collapsed="false">
      <c r="A44" s="449" t="s">
        <v>933</v>
      </c>
      <c r="B44" s="460" t="n">
        <v>45943</v>
      </c>
      <c r="C44" s="460" t="n">
        <v>45945</v>
      </c>
      <c r="D44" s="259" t="s">
        <v>312</v>
      </c>
      <c r="E44" s="461" t="n">
        <v>2</v>
      </c>
      <c r="F44" s="476" t="n">
        <v>46055</v>
      </c>
      <c r="G44" s="486" t="s">
        <v>934</v>
      </c>
      <c r="H44" s="478" t="s">
        <v>729</v>
      </c>
      <c r="I44" s="259" t="s">
        <v>935</v>
      </c>
      <c r="J44" s="259"/>
      <c r="K44" s="521" t="s">
        <v>936</v>
      </c>
      <c r="L44" s="464" t="s">
        <v>937</v>
      </c>
      <c r="M44" s="465" t="s">
        <v>938</v>
      </c>
      <c r="N44" s="484" t="s">
        <v>642</v>
      </c>
      <c r="O44" s="466" t="s">
        <v>675</v>
      </c>
      <c r="P44" s="484" t="s">
        <v>560</v>
      </c>
      <c r="Q44" s="467"/>
      <c r="R44" s="467"/>
      <c r="S44" s="467" t="n">
        <v>12</v>
      </c>
      <c r="T44" s="466" t="n">
        <v>1</v>
      </c>
      <c r="U44" s="468"/>
      <c r="V44" s="469"/>
      <c r="W44" s="470"/>
      <c r="X44" s="471" t="n">
        <v>5280</v>
      </c>
      <c r="Y44" s="470"/>
      <c r="Z44" s="471" t="n">
        <v>3630</v>
      </c>
      <c r="AA44" s="483" t="s">
        <v>808</v>
      </c>
      <c r="AB44" s="466"/>
      <c r="AC44" s="466"/>
      <c r="AD44" s="466"/>
      <c r="AE44" s="466"/>
      <c r="AF44" s="466" t="n">
        <v>15</v>
      </c>
      <c r="AG44" s="481"/>
      <c r="AH44" s="475"/>
      <c r="AI44" s="475"/>
      <c r="AJ44" s="475"/>
      <c r="AK44" s="475"/>
      <c r="AL44" s="475"/>
      <c r="AM44" s="475"/>
      <c r="AN44" s="475"/>
      <c r="AO44" s="475"/>
      <c r="AP44" s="475"/>
      <c r="AQ44" s="475"/>
      <c r="AR44" s="475"/>
      <c r="AS44" s="475"/>
      <c r="AT44" s="475"/>
      <c r="AU44" s="475"/>
      <c r="AV44" s="475"/>
      <c r="AW44" s="475"/>
      <c r="AX44" s="475"/>
      <c r="AY44" s="475"/>
      <c r="AZ44" s="475"/>
      <c r="BA44" s="475"/>
      <c r="BB44" s="475"/>
      <c r="BC44" s="475"/>
      <c r="BD44" s="475"/>
      <c r="BE44" s="475"/>
      <c r="BF44" s="475"/>
      <c r="BG44" s="475"/>
      <c r="BH44" s="475"/>
      <c r="BI44" s="475"/>
      <c r="BJ44" s="475"/>
      <c r="BK44" s="475"/>
      <c r="BL44" s="475"/>
      <c r="BM44" s="475"/>
      <c r="BN44" s="475"/>
      <c r="BO44" s="475"/>
      <c r="BP44" s="475"/>
      <c r="BQ44" s="475"/>
      <c r="BR44" s="475"/>
      <c r="BS44" s="475"/>
      <c r="BT44" s="475"/>
      <c r="BU44" s="475"/>
      <c r="BV44" s="475"/>
      <c r="BW44" s="475"/>
      <c r="BX44" s="475"/>
      <c r="BY44" s="475"/>
      <c r="BZ44" s="475"/>
      <c r="CA44" s="475"/>
      <c r="CB44" s="475"/>
      <c r="CC44" s="475"/>
    </row>
    <row r="45" customFormat="false" ht="30" hidden="false" customHeight="true" outlineLevel="0" collapsed="false">
      <c r="A45" s="449" t="s">
        <v>939</v>
      </c>
      <c r="B45" s="460" t="n">
        <v>46156</v>
      </c>
      <c r="C45" s="460" t="n">
        <v>46157</v>
      </c>
      <c r="D45" s="259" t="s">
        <v>312</v>
      </c>
      <c r="E45" s="461" t="n">
        <v>1</v>
      </c>
      <c r="F45" s="476" t="n">
        <v>46094</v>
      </c>
      <c r="G45" s="523" t="s">
        <v>940</v>
      </c>
      <c r="H45" s="478" t="s">
        <v>941</v>
      </c>
      <c r="I45" s="259" t="s">
        <v>637</v>
      </c>
      <c r="J45" s="259" t="s">
        <v>942</v>
      </c>
      <c r="K45" s="524" t="s">
        <v>943</v>
      </c>
      <c r="L45" s="525" t="s">
        <v>944</v>
      </c>
      <c r="M45" s="465" t="s">
        <v>945</v>
      </c>
      <c r="N45" s="259" t="s">
        <v>946</v>
      </c>
      <c r="O45" s="466" t="s">
        <v>643</v>
      </c>
      <c r="P45" s="259" t="s">
        <v>644</v>
      </c>
      <c r="Q45" s="467"/>
      <c r="R45" s="467"/>
      <c r="S45" s="467" t="n">
        <v>60</v>
      </c>
      <c r="T45" s="466" t="n">
        <v>60</v>
      </c>
      <c r="U45" s="468"/>
      <c r="V45" s="469"/>
      <c r="W45" s="470"/>
      <c r="X45" s="471"/>
      <c r="Y45" s="470"/>
      <c r="Z45" s="471" t="n">
        <v>3630</v>
      </c>
      <c r="AA45" s="470"/>
      <c r="AB45" s="466"/>
      <c r="AC45" s="466"/>
      <c r="AD45" s="466"/>
      <c r="AE45" s="466"/>
      <c r="AF45" s="466"/>
      <c r="AG45" s="522" t="s">
        <v>947</v>
      </c>
      <c r="AH45" s="475"/>
      <c r="AI45" s="475"/>
      <c r="AJ45" s="475"/>
      <c r="AK45" s="475"/>
      <c r="AL45" s="475"/>
      <c r="AM45" s="475"/>
      <c r="AN45" s="475"/>
      <c r="AO45" s="475"/>
      <c r="AP45" s="475"/>
      <c r="AQ45" s="475"/>
      <c r="AR45" s="475"/>
      <c r="AS45" s="475"/>
      <c r="AT45" s="475"/>
      <c r="AU45" s="475"/>
      <c r="AV45" s="475"/>
      <c r="AW45" s="475"/>
      <c r="AX45" s="475"/>
      <c r="AY45" s="475"/>
      <c r="AZ45" s="475"/>
      <c r="BA45" s="475"/>
      <c r="BB45" s="475"/>
      <c r="BC45" s="475"/>
      <c r="BD45" s="475"/>
      <c r="BE45" s="475"/>
      <c r="BF45" s="475"/>
      <c r="BG45" s="475"/>
      <c r="BH45" s="475"/>
      <c r="BI45" s="475"/>
      <c r="BJ45" s="475"/>
      <c r="BK45" s="475"/>
      <c r="BL45" s="475"/>
      <c r="BM45" s="475"/>
      <c r="BN45" s="475"/>
      <c r="BO45" s="475"/>
      <c r="BP45" s="475"/>
      <c r="BQ45" s="475"/>
      <c r="BR45" s="475"/>
      <c r="BS45" s="475"/>
      <c r="BT45" s="475"/>
      <c r="BU45" s="475"/>
      <c r="BV45" s="475"/>
      <c r="BW45" s="475"/>
      <c r="BX45" s="475"/>
      <c r="BY45" s="475"/>
      <c r="BZ45" s="475"/>
      <c r="CA45" s="475"/>
      <c r="CB45" s="475"/>
      <c r="CC45" s="475"/>
    </row>
    <row r="46" customFormat="false" ht="30" hidden="false" customHeight="true" outlineLevel="0" collapsed="false">
      <c r="A46" s="449" t="s">
        <v>948</v>
      </c>
      <c r="B46" s="460" t="n">
        <v>46116</v>
      </c>
      <c r="C46" s="460" t="n">
        <v>46117</v>
      </c>
      <c r="D46" s="259" t="s">
        <v>312</v>
      </c>
      <c r="E46" s="461" t="n">
        <v>1</v>
      </c>
      <c r="F46" s="461"/>
      <c r="G46" s="482" t="s">
        <v>949</v>
      </c>
      <c r="H46" s="478" t="s">
        <v>950</v>
      </c>
      <c r="I46" s="259" t="s">
        <v>951</v>
      </c>
      <c r="J46" s="484" t="s">
        <v>952</v>
      </c>
      <c r="K46" s="112" t="s">
        <v>953</v>
      </c>
      <c r="L46" s="525" t="s">
        <v>954</v>
      </c>
      <c r="M46" s="465"/>
      <c r="N46" s="259" t="s">
        <v>946</v>
      </c>
      <c r="O46" s="259" t="s">
        <v>768</v>
      </c>
      <c r="P46" s="259" t="s">
        <v>656</v>
      </c>
      <c r="Q46" s="467" t="n">
        <v>1</v>
      </c>
      <c r="R46" s="467" t="n">
        <v>1</v>
      </c>
      <c r="S46" s="467" t="n">
        <v>12</v>
      </c>
      <c r="T46" s="466" t="n">
        <v>24</v>
      </c>
      <c r="U46" s="468"/>
      <c r="V46" s="469"/>
      <c r="W46" s="470"/>
      <c r="X46" s="471" t="n">
        <v>3300</v>
      </c>
      <c r="Y46" s="472" t="s">
        <v>645</v>
      </c>
      <c r="Z46" s="471" t="n">
        <v>2200</v>
      </c>
      <c r="AA46" s="472" t="s">
        <v>955</v>
      </c>
      <c r="AB46" s="466"/>
      <c r="AC46" s="466"/>
      <c r="AD46" s="466"/>
      <c r="AE46" s="466"/>
      <c r="AF46" s="466"/>
      <c r="AG46" s="481"/>
      <c r="AH46" s="475"/>
      <c r="AI46" s="475"/>
      <c r="AJ46" s="475"/>
      <c r="AK46" s="475"/>
      <c r="AL46" s="475"/>
      <c r="AM46" s="475"/>
      <c r="AN46" s="475"/>
      <c r="AO46" s="475"/>
      <c r="AP46" s="475"/>
      <c r="AQ46" s="475"/>
      <c r="AR46" s="475"/>
      <c r="AS46" s="475"/>
      <c r="AT46" s="475"/>
      <c r="AU46" s="475"/>
      <c r="AV46" s="475"/>
      <c r="AW46" s="475"/>
      <c r="AX46" s="475"/>
      <c r="AY46" s="475"/>
      <c r="AZ46" s="475"/>
      <c r="BA46" s="475"/>
      <c r="BB46" s="475"/>
      <c r="BC46" s="475"/>
      <c r="BD46" s="475"/>
      <c r="BE46" s="475"/>
      <c r="BF46" s="475"/>
      <c r="BG46" s="475"/>
      <c r="BH46" s="475"/>
      <c r="BI46" s="475"/>
      <c r="BJ46" s="475"/>
      <c r="BK46" s="475"/>
      <c r="BL46" s="475"/>
      <c r="BM46" s="475"/>
      <c r="BN46" s="475"/>
      <c r="BO46" s="475"/>
      <c r="BP46" s="475"/>
      <c r="BQ46" s="475"/>
      <c r="BR46" s="475"/>
      <c r="BS46" s="475"/>
      <c r="BT46" s="475"/>
      <c r="BU46" s="475"/>
      <c r="BV46" s="475"/>
      <c r="BW46" s="475"/>
      <c r="BX46" s="475"/>
      <c r="BY46" s="475"/>
      <c r="BZ46" s="475"/>
      <c r="CA46" s="475"/>
      <c r="CB46" s="475"/>
      <c r="CC46" s="475"/>
    </row>
    <row r="47" customFormat="false" ht="39.75" hidden="false" customHeight="true" outlineLevel="0" collapsed="false">
      <c r="A47" s="449" t="s">
        <v>956</v>
      </c>
      <c r="B47" s="460" t="n">
        <v>46136</v>
      </c>
      <c r="C47" s="460" t="n">
        <v>46137</v>
      </c>
      <c r="D47" s="259" t="s">
        <v>312</v>
      </c>
      <c r="E47" s="461" t="n">
        <v>1</v>
      </c>
      <c r="F47" s="461"/>
      <c r="G47" s="482" t="s">
        <v>957</v>
      </c>
      <c r="H47" s="478" t="s">
        <v>950</v>
      </c>
      <c r="I47" s="259" t="s">
        <v>958</v>
      </c>
      <c r="J47" s="259" t="s">
        <v>764</v>
      </c>
      <c r="K47" s="478" t="s">
        <v>959</v>
      </c>
      <c r="L47" s="465" t="s">
        <v>766</v>
      </c>
      <c r="M47" s="492" t="s">
        <v>767</v>
      </c>
      <c r="N47" s="259" t="s">
        <v>946</v>
      </c>
      <c r="O47" s="259" t="s">
        <v>768</v>
      </c>
      <c r="P47" s="259" t="s">
        <v>686</v>
      </c>
      <c r="Q47" s="467" t="n">
        <v>1</v>
      </c>
      <c r="R47" s="467" t="n">
        <v>1</v>
      </c>
      <c r="S47" s="467" t="n">
        <v>20</v>
      </c>
      <c r="T47" s="466" t="n">
        <v>10</v>
      </c>
      <c r="U47" s="468"/>
      <c r="V47" s="469"/>
      <c r="W47" s="471"/>
      <c r="X47" s="471"/>
      <c r="Y47" s="471"/>
      <c r="Z47" s="471"/>
      <c r="AA47" s="470"/>
      <c r="AB47" s="466"/>
      <c r="AC47" s="466"/>
      <c r="AD47" s="484"/>
      <c r="AE47" s="466"/>
      <c r="AF47" s="466"/>
      <c r="AG47" s="481"/>
      <c r="AH47" s="475"/>
      <c r="AI47" s="475"/>
      <c r="AJ47" s="475"/>
      <c r="AK47" s="475"/>
      <c r="AL47" s="475"/>
      <c r="AM47" s="475"/>
      <c r="AN47" s="475"/>
      <c r="AO47" s="475"/>
      <c r="AP47" s="475"/>
      <c r="AQ47" s="475"/>
      <c r="AR47" s="475"/>
      <c r="AS47" s="475"/>
      <c r="AT47" s="475"/>
      <c r="AU47" s="475"/>
      <c r="AV47" s="475"/>
      <c r="AW47" s="475"/>
      <c r="AX47" s="475"/>
      <c r="AY47" s="475"/>
      <c r="AZ47" s="475"/>
      <c r="BA47" s="475"/>
      <c r="BB47" s="475"/>
      <c r="BC47" s="475"/>
      <c r="BD47" s="475"/>
      <c r="BE47" s="475"/>
      <c r="BF47" s="475"/>
      <c r="BG47" s="475"/>
      <c r="BH47" s="475"/>
      <c r="BI47" s="475"/>
      <c r="BJ47" s="475"/>
      <c r="BK47" s="475"/>
      <c r="BL47" s="475"/>
      <c r="BM47" s="475"/>
      <c r="BN47" s="475"/>
      <c r="BO47" s="475"/>
      <c r="BP47" s="475"/>
      <c r="BQ47" s="475"/>
      <c r="BR47" s="475"/>
      <c r="BS47" s="475"/>
      <c r="BT47" s="475"/>
      <c r="BU47" s="475"/>
      <c r="BV47" s="475"/>
      <c r="BW47" s="475"/>
      <c r="BX47" s="475"/>
      <c r="BY47" s="475"/>
      <c r="BZ47" s="475"/>
      <c r="CA47" s="475"/>
      <c r="CB47" s="475"/>
      <c r="CC47" s="475"/>
    </row>
    <row r="48" customFormat="false" ht="30" hidden="false" customHeight="true" outlineLevel="0" collapsed="false">
      <c r="A48" s="449" t="s">
        <v>960</v>
      </c>
      <c r="B48" s="460" t="n">
        <v>46137</v>
      </c>
      <c r="C48" s="460" t="n">
        <v>46138</v>
      </c>
      <c r="D48" s="259" t="s">
        <v>312</v>
      </c>
      <c r="E48" s="461" t="n">
        <v>1</v>
      </c>
      <c r="F48" s="461"/>
      <c r="G48" s="482" t="s">
        <v>957</v>
      </c>
      <c r="H48" s="478" t="s">
        <v>950</v>
      </c>
      <c r="I48" s="259" t="s">
        <v>958</v>
      </c>
      <c r="J48" s="259" t="s">
        <v>764</v>
      </c>
      <c r="K48" s="478" t="s">
        <v>959</v>
      </c>
      <c r="L48" s="465" t="s">
        <v>766</v>
      </c>
      <c r="M48" s="465" t="s">
        <v>767</v>
      </c>
      <c r="N48" s="259" t="s">
        <v>946</v>
      </c>
      <c r="O48" s="259" t="s">
        <v>768</v>
      </c>
      <c r="P48" s="259" t="s">
        <v>686</v>
      </c>
      <c r="Q48" s="467" t="n">
        <v>1</v>
      </c>
      <c r="R48" s="467" t="n">
        <v>1</v>
      </c>
      <c r="S48" s="467" t="n">
        <v>20</v>
      </c>
      <c r="T48" s="466" t="n">
        <v>10</v>
      </c>
      <c r="U48" s="468"/>
      <c r="V48" s="469"/>
      <c r="W48" s="471"/>
      <c r="X48" s="471"/>
      <c r="Y48" s="471"/>
      <c r="Z48" s="471"/>
      <c r="AA48" s="470"/>
      <c r="AB48" s="466"/>
      <c r="AC48" s="466"/>
      <c r="AD48" s="484"/>
      <c r="AE48" s="466"/>
      <c r="AF48" s="466"/>
      <c r="AG48" s="481"/>
      <c r="AH48" s="475"/>
      <c r="AI48" s="475"/>
      <c r="AJ48" s="475"/>
      <c r="AK48" s="475"/>
      <c r="AL48" s="475"/>
      <c r="AM48" s="475"/>
      <c r="AN48" s="475"/>
      <c r="AO48" s="475"/>
      <c r="AP48" s="475"/>
      <c r="AQ48" s="475"/>
      <c r="AR48" s="475"/>
      <c r="AS48" s="475"/>
      <c r="AT48" s="475"/>
      <c r="AU48" s="475"/>
      <c r="AV48" s="475"/>
      <c r="AW48" s="475"/>
      <c r="AX48" s="475"/>
      <c r="AY48" s="475"/>
      <c r="AZ48" s="475"/>
      <c r="BA48" s="475"/>
      <c r="BB48" s="475"/>
      <c r="BC48" s="475"/>
      <c r="BD48" s="475"/>
      <c r="BE48" s="475"/>
      <c r="BF48" s="475"/>
      <c r="BG48" s="475"/>
      <c r="BH48" s="475"/>
      <c r="BI48" s="475"/>
      <c r="BJ48" s="475"/>
      <c r="BK48" s="475"/>
      <c r="BL48" s="475"/>
      <c r="BM48" s="475"/>
      <c r="BN48" s="475"/>
      <c r="BO48" s="475"/>
      <c r="BP48" s="475"/>
      <c r="BQ48" s="475"/>
      <c r="BR48" s="475"/>
      <c r="BS48" s="475"/>
      <c r="BT48" s="475"/>
      <c r="BU48" s="475"/>
      <c r="BV48" s="475"/>
      <c r="BW48" s="475"/>
      <c r="BX48" s="475"/>
      <c r="BY48" s="475"/>
      <c r="BZ48" s="475"/>
      <c r="CA48" s="475"/>
      <c r="CB48" s="475"/>
      <c r="CC48" s="475"/>
    </row>
    <row r="49" customFormat="false" ht="30" hidden="false" customHeight="true" outlineLevel="0" collapsed="false">
      <c r="A49" s="449" t="s">
        <v>961</v>
      </c>
      <c r="B49" s="460" t="n">
        <v>46165</v>
      </c>
      <c r="C49" s="460" t="n">
        <v>46166</v>
      </c>
      <c r="D49" s="259" t="s">
        <v>323</v>
      </c>
      <c r="E49" s="461" t="n">
        <v>1</v>
      </c>
      <c r="F49" s="461"/>
      <c r="G49" s="489" t="s">
        <v>962</v>
      </c>
      <c r="H49" s="463" t="s">
        <v>963</v>
      </c>
      <c r="I49" s="259" t="s">
        <v>964</v>
      </c>
      <c r="J49" s="259" t="s">
        <v>965</v>
      </c>
      <c r="K49" s="259" t="s">
        <v>966</v>
      </c>
      <c r="L49" s="464" t="s">
        <v>967</v>
      </c>
      <c r="M49" s="465" t="s">
        <v>968</v>
      </c>
      <c r="N49" s="484" t="s">
        <v>969</v>
      </c>
      <c r="O49" s="466" t="s">
        <v>970</v>
      </c>
      <c r="P49" s="259" t="s">
        <v>644</v>
      </c>
      <c r="Q49" s="467"/>
      <c r="R49" s="467"/>
      <c r="S49" s="467" t="n">
        <v>23</v>
      </c>
      <c r="T49" s="466" t="n">
        <v>32</v>
      </c>
      <c r="U49" s="526"/>
      <c r="V49" s="491"/>
      <c r="W49" s="470"/>
      <c r="X49" s="471"/>
      <c r="Y49" s="470"/>
      <c r="Z49" s="471"/>
      <c r="AA49" s="470"/>
      <c r="AB49" s="466"/>
      <c r="AC49" s="466"/>
      <c r="AD49" s="466"/>
      <c r="AE49" s="466"/>
      <c r="AF49" s="466"/>
      <c r="AG49" s="481"/>
      <c r="AH49" s="475"/>
      <c r="AI49" s="475"/>
      <c r="AJ49" s="475"/>
      <c r="AK49" s="475"/>
      <c r="AL49" s="475"/>
      <c r="AM49" s="475"/>
      <c r="AN49" s="475"/>
      <c r="AO49" s="475"/>
      <c r="AP49" s="475"/>
      <c r="AQ49" s="475"/>
      <c r="AR49" s="475"/>
      <c r="AS49" s="475"/>
      <c r="AT49" s="475"/>
      <c r="AU49" s="475"/>
      <c r="AV49" s="475"/>
      <c r="AW49" s="475"/>
      <c r="AX49" s="475"/>
      <c r="AY49" s="475"/>
      <c r="AZ49" s="475"/>
      <c r="BA49" s="475"/>
      <c r="BB49" s="475"/>
      <c r="BC49" s="475"/>
      <c r="BD49" s="475"/>
      <c r="BE49" s="475"/>
      <c r="BF49" s="475"/>
      <c r="BG49" s="475"/>
      <c r="BH49" s="475"/>
      <c r="BI49" s="475"/>
      <c r="BJ49" s="475"/>
      <c r="BK49" s="475"/>
      <c r="BL49" s="475"/>
      <c r="BM49" s="475"/>
      <c r="BN49" s="475"/>
      <c r="BO49" s="475"/>
      <c r="BP49" s="475"/>
      <c r="BQ49" s="475"/>
      <c r="BR49" s="475"/>
      <c r="BS49" s="475"/>
      <c r="BT49" s="475"/>
      <c r="BU49" s="475"/>
      <c r="BV49" s="475"/>
      <c r="BW49" s="475"/>
      <c r="BX49" s="475"/>
      <c r="BY49" s="475"/>
      <c r="BZ49" s="475"/>
      <c r="CA49" s="475"/>
      <c r="CB49" s="475"/>
      <c r="CC49" s="475"/>
    </row>
    <row r="50" customFormat="false" ht="30" hidden="false" customHeight="true" outlineLevel="0" collapsed="false">
      <c r="A50" s="449" t="s">
        <v>971</v>
      </c>
      <c r="B50" s="460" t="n">
        <v>46140</v>
      </c>
      <c r="C50" s="460" t="n">
        <v>46143</v>
      </c>
      <c r="D50" s="259" t="s">
        <v>312</v>
      </c>
      <c r="E50" s="461" t="n">
        <v>4</v>
      </c>
      <c r="F50" s="476" t="n">
        <v>46112</v>
      </c>
      <c r="G50" s="482" t="s">
        <v>972</v>
      </c>
      <c r="H50" s="474" t="s">
        <v>973</v>
      </c>
      <c r="I50" s="259" t="s">
        <v>637</v>
      </c>
      <c r="J50" s="259" t="s">
        <v>974</v>
      </c>
      <c r="K50" s="259" t="s">
        <v>975</v>
      </c>
      <c r="L50" s="464" t="s">
        <v>976</v>
      </c>
      <c r="M50" s="465" t="s">
        <v>977</v>
      </c>
      <c r="N50" s="259" t="s">
        <v>978</v>
      </c>
      <c r="O50" s="466" t="s">
        <v>643</v>
      </c>
      <c r="P50" s="259" t="s">
        <v>644</v>
      </c>
      <c r="Q50" s="467"/>
      <c r="R50" s="467"/>
      <c r="S50" s="467" t="n">
        <v>16</v>
      </c>
      <c r="T50" s="466" t="n">
        <v>16</v>
      </c>
      <c r="U50" s="468"/>
      <c r="V50" s="491"/>
      <c r="W50" s="517"/>
      <c r="X50" s="518"/>
      <c r="Y50" s="470"/>
      <c r="Z50" s="471" t="n">
        <v>3630</v>
      </c>
      <c r="AA50" s="472" t="s">
        <v>646</v>
      </c>
      <c r="AB50" s="466"/>
      <c r="AC50" s="466"/>
      <c r="AD50" s="466"/>
      <c r="AE50" s="466"/>
      <c r="AF50" s="466"/>
      <c r="AG50" s="478"/>
      <c r="AH50" s="475"/>
      <c r="AI50" s="475"/>
      <c r="AJ50" s="475"/>
      <c r="AK50" s="475"/>
      <c r="AL50" s="475"/>
      <c r="AM50" s="475"/>
      <c r="AN50" s="475"/>
      <c r="AO50" s="475"/>
      <c r="AP50" s="475"/>
      <c r="AQ50" s="475"/>
      <c r="AR50" s="475"/>
      <c r="AS50" s="475"/>
      <c r="AT50" s="475"/>
      <c r="AU50" s="475"/>
      <c r="AV50" s="475"/>
      <c r="AW50" s="475"/>
      <c r="AX50" s="475"/>
      <c r="AY50" s="475"/>
      <c r="AZ50" s="475"/>
      <c r="BA50" s="475"/>
      <c r="BB50" s="475"/>
      <c r="BC50" s="475"/>
      <c r="BD50" s="475"/>
      <c r="BE50" s="475"/>
      <c r="BF50" s="475"/>
      <c r="BG50" s="475"/>
      <c r="BH50" s="475"/>
      <c r="BI50" s="475"/>
      <c r="BJ50" s="475"/>
      <c r="BK50" s="475"/>
      <c r="BL50" s="475"/>
      <c r="BM50" s="475"/>
      <c r="BN50" s="475"/>
      <c r="BO50" s="475"/>
      <c r="BP50" s="475"/>
      <c r="BQ50" s="475"/>
      <c r="BR50" s="475"/>
      <c r="BS50" s="475"/>
      <c r="BT50" s="475"/>
      <c r="BU50" s="475"/>
      <c r="BV50" s="475"/>
      <c r="BW50" s="475"/>
      <c r="BX50" s="475"/>
      <c r="BY50" s="475"/>
      <c r="BZ50" s="475"/>
      <c r="CA50" s="475"/>
      <c r="CB50" s="475"/>
      <c r="CC50" s="475"/>
    </row>
    <row r="51" customFormat="false" ht="30" hidden="false" customHeight="true" outlineLevel="0" collapsed="false">
      <c r="A51" s="449" t="s">
        <v>979</v>
      </c>
      <c r="B51" s="460" t="n">
        <v>46235</v>
      </c>
      <c r="C51" s="460" t="n">
        <v>46236</v>
      </c>
      <c r="D51" s="259"/>
      <c r="E51" s="461" t="n">
        <v>1</v>
      </c>
      <c r="F51" s="476" t="n">
        <v>46053</v>
      </c>
      <c r="G51" s="482" t="s">
        <v>980</v>
      </c>
      <c r="H51" s="463" t="s">
        <v>981</v>
      </c>
      <c r="I51" s="259" t="s">
        <v>982</v>
      </c>
      <c r="J51" s="259" t="s">
        <v>983</v>
      </c>
      <c r="K51" s="259" t="s">
        <v>984</v>
      </c>
      <c r="L51" s="464" t="s">
        <v>985</v>
      </c>
      <c r="M51" s="465" t="s">
        <v>986</v>
      </c>
      <c r="N51" s="259" t="s">
        <v>946</v>
      </c>
      <c r="O51" s="466"/>
      <c r="P51" s="259"/>
      <c r="Q51" s="467"/>
      <c r="R51" s="467"/>
      <c r="S51" s="467"/>
      <c r="T51" s="466" t="n">
        <v>40</v>
      </c>
      <c r="U51" s="468"/>
      <c r="V51" s="491"/>
      <c r="W51" s="472" t="s">
        <v>987</v>
      </c>
      <c r="X51" s="471" t="n">
        <v>8000</v>
      </c>
      <c r="Y51" s="472" t="s">
        <v>645</v>
      </c>
      <c r="Z51" s="471" t="n">
        <v>3630</v>
      </c>
      <c r="AA51" s="483" t="s">
        <v>920</v>
      </c>
      <c r="AB51" s="466"/>
      <c r="AC51" s="466"/>
      <c r="AD51" s="466"/>
      <c r="AE51" s="466"/>
      <c r="AF51" s="466"/>
      <c r="AG51" s="478"/>
      <c r="AH51" s="475"/>
      <c r="AI51" s="475"/>
      <c r="AJ51" s="475"/>
      <c r="AK51" s="475"/>
      <c r="AL51" s="475"/>
      <c r="AM51" s="475"/>
      <c r="AN51" s="475"/>
      <c r="AO51" s="475"/>
      <c r="AP51" s="475"/>
      <c r="AQ51" s="475"/>
      <c r="AR51" s="475"/>
      <c r="AS51" s="475"/>
      <c r="AT51" s="475"/>
      <c r="AU51" s="475"/>
      <c r="AV51" s="475"/>
      <c r="AW51" s="475"/>
      <c r="AX51" s="475"/>
      <c r="AY51" s="475"/>
      <c r="AZ51" s="475"/>
      <c r="BA51" s="475"/>
      <c r="BB51" s="475"/>
      <c r="BC51" s="475"/>
      <c r="BD51" s="475"/>
      <c r="BE51" s="475"/>
      <c r="BF51" s="475"/>
      <c r="BG51" s="475"/>
      <c r="BH51" s="475"/>
      <c r="BI51" s="475"/>
      <c r="BJ51" s="475"/>
      <c r="BK51" s="475"/>
      <c r="BL51" s="475"/>
      <c r="BM51" s="475"/>
      <c r="BN51" s="475"/>
      <c r="BO51" s="475"/>
      <c r="BP51" s="475"/>
      <c r="BQ51" s="475"/>
      <c r="BR51" s="475"/>
      <c r="BS51" s="475"/>
      <c r="BT51" s="475"/>
      <c r="BU51" s="475"/>
      <c r="BV51" s="475"/>
      <c r="BW51" s="475"/>
      <c r="BX51" s="475"/>
      <c r="BY51" s="475"/>
      <c r="BZ51" s="475"/>
      <c r="CA51" s="475"/>
      <c r="CB51" s="475"/>
      <c r="CC51" s="475"/>
    </row>
    <row r="52" customFormat="false" ht="30" hidden="false" customHeight="true" outlineLevel="0" collapsed="false">
      <c r="A52" s="449" t="s">
        <v>988</v>
      </c>
      <c r="B52" s="460" t="n">
        <v>46129</v>
      </c>
      <c r="C52" s="460" t="n">
        <v>46130</v>
      </c>
      <c r="D52" s="259" t="s">
        <v>323</v>
      </c>
      <c r="E52" s="461" t="n">
        <v>1</v>
      </c>
      <c r="F52" s="461"/>
      <c r="G52" s="491" t="s">
        <v>989</v>
      </c>
      <c r="H52" s="463" t="s">
        <v>990</v>
      </c>
      <c r="I52" s="259" t="s">
        <v>991</v>
      </c>
      <c r="J52" s="259" t="s">
        <v>992</v>
      </c>
      <c r="K52" s="259" t="s">
        <v>993</v>
      </c>
      <c r="L52" s="527" t="s">
        <v>994</v>
      </c>
      <c r="M52" s="465"/>
      <c r="N52" s="259" t="s">
        <v>990</v>
      </c>
      <c r="O52" s="466" t="s">
        <v>643</v>
      </c>
      <c r="P52" s="259" t="s">
        <v>656</v>
      </c>
      <c r="Q52" s="467" t="n">
        <v>1</v>
      </c>
      <c r="R52" s="467" t="n">
        <v>1</v>
      </c>
      <c r="S52" s="467" t="n">
        <v>14</v>
      </c>
      <c r="T52" s="466" t="n">
        <v>28</v>
      </c>
      <c r="U52" s="468" t="n">
        <v>13000</v>
      </c>
      <c r="V52" s="469"/>
      <c r="W52" s="470" t="s">
        <v>658</v>
      </c>
      <c r="X52" s="471" t="n">
        <v>3300</v>
      </c>
      <c r="Y52" s="470" t="s">
        <v>658</v>
      </c>
      <c r="Z52" s="461" t="n">
        <v>2200</v>
      </c>
      <c r="AA52" s="472"/>
      <c r="AB52" s="466"/>
      <c r="AC52" s="466"/>
      <c r="AD52" s="466"/>
      <c r="AE52" s="466"/>
      <c r="AF52" s="466"/>
      <c r="AG52" s="478"/>
      <c r="AH52" s="475"/>
      <c r="AI52" s="475"/>
      <c r="AJ52" s="475"/>
      <c r="AK52" s="475"/>
      <c r="AL52" s="475"/>
      <c r="AM52" s="475"/>
      <c r="AN52" s="475"/>
      <c r="AO52" s="475"/>
      <c r="AP52" s="475"/>
      <c r="AQ52" s="475"/>
      <c r="AR52" s="475"/>
      <c r="AS52" s="475"/>
      <c r="AT52" s="475"/>
      <c r="AU52" s="475"/>
      <c r="AV52" s="475"/>
      <c r="AW52" s="475"/>
      <c r="AX52" s="475"/>
      <c r="AY52" s="475"/>
      <c r="AZ52" s="475"/>
      <c r="BA52" s="475"/>
      <c r="BB52" s="475"/>
      <c r="BC52" s="475"/>
      <c r="BD52" s="475"/>
      <c r="BE52" s="475"/>
      <c r="BF52" s="475"/>
      <c r="BG52" s="475"/>
      <c r="BH52" s="475"/>
      <c r="BI52" s="475"/>
      <c r="BJ52" s="475"/>
      <c r="BK52" s="475"/>
      <c r="BL52" s="475"/>
      <c r="BM52" s="475"/>
      <c r="BN52" s="475"/>
      <c r="BO52" s="475"/>
      <c r="BP52" s="475"/>
      <c r="BQ52" s="475"/>
      <c r="BR52" s="475"/>
      <c r="BS52" s="475"/>
      <c r="BT52" s="475"/>
      <c r="BU52" s="475"/>
      <c r="BV52" s="475"/>
      <c r="BW52" s="475"/>
      <c r="BX52" s="475"/>
      <c r="BY52" s="475"/>
      <c r="BZ52" s="475"/>
      <c r="CA52" s="475"/>
      <c r="CB52" s="475"/>
      <c r="CC52" s="475"/>
    </row>
    <row r="53" customFormat="false" ht="30" hidden="false" customHeight="true" outlineLevel="0" collapsed="false">
      <c r="A53" s="449" t="s">
        <v>995</v>
      </c>
      <c r="B53" s="460" t="n">
        <v>46132</v>
      </c>
      <c r="C53" s="460" t="n">
        <v>46133</v>
      </c>
      <c r="D53" s="259" t="s">
        <v>323</v>
      </c>
      <c r="E53" s="461" t="n">
        <v>1</v>
      </c>
      <c r="F53" s="461"/>
      <c r="G53" s="491" t="s">
        <v>996</v>
      </c>
      <c r="H53" s="463" t="s">
        <v>990</v>
      </c>
      <c r="I53" s="259" t="s">
        <v>991</v>
      </c>
      <c r="J53" s="259" t="s">
        <v>992</v>
      </c>
      <c r="K53" s="259" t="s">
        <v>993</v>
      </c>
      <c r="L53" s="527" t="s">
        <v>994</v>
      </c>
      <c r="M53" s="465"/>
      <c r="N53" s="259" t="s">
        <v>990</v>
      </c>
      <c r="O53" s="466" t="s">
        <v>643</v>
      </c>
      <c r="P53" s="259" t="s">
        <v>656</v>
      </c>
      <c r="Q53" s="467" t="n">
        <v>1</v>
      </c>
      <c r="R53" s="467" t="n">
        <v>1</v>
      </c>
      <c r="S53" s="467" t="n">
        <v>14</v>
      </c>
      <c r="T53" s="466" t="n">
        <v>28</v>
      </c>
      <c r="U53" s="468" t="n">
        <v>13000</v>
      </c>
      <c r="V53" s="469"/>
      <c r="W53" s="470" t="s">
        <v>658</v>
      </c>
      <c r="X53" s="471" t="n">
        <v>3300</v>
      </c>
      <c r="Y53" s="470" t="s">
        <v>658</v>
      </c>
      <c r="Z53" s="461" t="n">
        <v>2200</v>
      </c>
      <c r="AA53" s="472"/>
      <c r="AB53" s="473"/>
      <c r="AC53" s="473"/>
      <c r="AD53" s="466"/>
      <c r="AE53" s="466"/>
      <c r="AF53" s="466"/>
      <c r="AG53" s="481"/>
      <c r="AH53" s="475"/>
      <c r="AI53" s="475"/>
      <c r="AJ53" s="475"/>
      <c r="AK53" s="475"/>
      <c r="AL53" s="475"/>
      <c r="AM53" s="475"/>
      <c r="AN53" s="475"/>
      <c r="AO53" s="475"/>
      <c r="AP53" s="475"/>
      <c r="AQ53" s="475"/>
      <c r="AR53" s="475"/>
      <c r="AS53" s="475"/>
      <c r="AT53" s="475"/>
      <c r="AU53" s="475"/>
      <c r="AV53" s="475"/>
      <c r="AW53" s="475"/>
      <c r="AX53" s="475"/>
      <c r="AY53" s="475"/>
      <c r="AZ53" s="475"/>
      <c r="BA53" s="475"/>
      <c r="BB53" s="475"/>
      <c r="BC53" s="475"/>
      <c r="BD53" s="475"/>
      <c r="BE53" s="475"/>
      <c r="BF53" s="475"/>
      <c r="BG53" s="475"/>
      <c r="BH53" s="475"/>
      <c r="BI53" s="475"/>
      <c r="BJ53" s="475"/>
      <c r="BK53" s="475"/>
      <c r="BL53" s="475"/>
      <c r="BM53" s="475"/>
      <c r="BN53" s="475"/>
      <c r="BO53" s="475"/>
      <c r="BP53" s="475"/>
      <c r="BQ53" s="475"/>
      <c r="BR53" s="475"/>
      <c r="BS53" s="475"/>
      <c r="BT53" s="475"/>
      <c r="BU53" s="475"/>
      <c r="BV53" s="475"/>
      <c r="BW53" s="475"/>
      <c r="BX53" s="475"/>
      <c r="BY53" s="475"/>
      <c r="BZ53" s="475"/>
      <c r="CA53" s="475"/>
      <c r="CB53" s="475"/>
      <c r="CC53" s="475"/>
    </row>
    <row r="54" customFormat="false" ht="30" hidden="false" customHeight="true" outlineLevel="0" collapsed="false">
      <c r="A54" s="449" t="s">
        <v>997</v>
      </c>
      <c r="B54" s="460" t="n">
        <v>46135</v>
      </c>
      <c r="C54" s="460" t="n">
        <v>46136</v>
      </c>
      <c r="D54" s="259" t="s">
        <v>323</v>
      </c>
      <c r="E54" s="461" t="n">
        <v>1</v>
      </c>
      <c r="F54" s="461"/>
      <c r="G54" s="491" t="s">
        <v>998</v>
      </c>
      <c r="H54" s="463" t="s">
        <v>990</v>
      </c>
      <c r="I54" s="259" t="s">
        <v>991</v>
      </c>
      <c r="J54" s="259" t="s">
        <v>992</v>
      </c>
      <c r="K54" s="259" t="s">
        <v>993</v>
      </c>
      <c r="L54" s="527" t="s">
        <v>994</v>
      </c>
      <c r="M54" s="465"/>
      <c r="N54" s="259" t="s">
        <v>990</v>
      </c>
      <c r="O54" s="466" t="s">
        <v>643</v>
      </c>
      <c r="P54" s="259" t="s">
        <v>656</v>
      </c>
      <c r="Q54" s="467" t="n">
        <v>1</v>
      </c>
      <c r="R54" s="467" t="n">
        <v>1</v>
      </c>
      <c r="S54" s="467" t="n">
        <v>14</v>
      </c>
      <c r="T54" s="466" t="n">
        <v>28</v>
      </c>
      <c r="U54" s="468" t="n">
        <v>13000</v>
      </c>
      <c r="V54" s="469"/>
      <c r="W54" s="470" t="s">
        <v>658</v>
      </c>
      <c r="X54" s="471" t="n">
        <v>3300</v>
      </c>
      <c r="Y54" s="470" t="s">
        <v>658</v>
      </c>
      <c r="Z54" s="461" t="n">
        <v>2200</v>
      </c>
      <c r="AA54" s="472"/>
      <c r="AB54" s="473"/>
      <c r="AC54" s="473"/>
      <c r="AD54" s="466"/>
      <c r="AE54" s="466"/>
      <c r="AF54" s="466"/>
      <c r="AG54" s="481"/>
      <c r="AH54" s="475"/>
      <c r="AI54" s="475"/>
      <c r="AJ54" s="475"/>
      <c r="AK54" s="475"/>
      <c r="AL54" s="475"/>
      <c r="AM54" s="475"/>
      <c r="AN54" s="475"/>
      <c r="AO54" s="475"/>
      <c r="AP54" s="475"/>
      <c r="AQ54" s="475"/>
      <c r="AR54" s="475"/>
      <c r="AS54" s="475"/>
      <c r="AT54" s="475"/>
      <c r="AU54" s="475"/>
      <c r="AV54" s="475"/>
      <c r="AW54" s="475"/>
      <c r="AX54" s="475"/>
      <c r="AY54" s="475"/>
      <c r="AZ54" s="475"/>
      <c r="BA54" s="475"/>
      <c r="BB54" s="475"/>
      <c r="BC54" s="475"/>
      <c r="BD54" s="475"/>
      <c r="BE54" s="475"/>
      <c r="BF54" s="475"/>
      <c r="BG54" s="475"/>
      <c r="BH54" s="475"/>
      <c r="BI54" s="475"/>
      <c r="BJ54" s="475"/>
      <c r="BK54" s="475"/>
      <c r="BL54" s="475"/>
      <c r="BM54" s="475"/>
      <c r="BN54" s="475"/>
      <c r="BO54" s="475"/>
      <c r="BP54" s="475"/>
      <c r="BQ54" s="475"/>
      <c r="BR54" s="475"/>
      <c r="BS54" s="475"/>
      <c r="BT54" s="475"/>
      <c r="BU54" s="475"/>
      <c r="BV54" s="475"/>
      <c r="BW54" s="475"/>
      <c r="BX54" s="475"/>
      <c r="BY54" s="475"/>
      <c r="BZ54" s="475"/>
      <c r="CA54" s="475"/>
      <c r="CB54" s="475"/>
      <c r="CC54" s="475"/>
    </row>
    <row r="55" customFormat="false" ht="30" hidden="false" customHeight="true" outlineLevel="0" collapsed="false">
      <c r="A55" s="449" t="s">
        <v>999</v>
      </c>
      <c r="B55" s="460" t="n">
        <v>46125</v>
      </c>
      <c r="C55" s="460" t="n">
        <v>46126</v>
      </c>
      <c r="D55" s="259" t="s">
        <v>323</v>
      </c>
      <c r="E55" s="461" t="n">
        <v>1</v>
      </c>
      <c r="F55" s="461"/>
      <c r="G55" s="462" t="s">
        <v>1000</v>
      </c>
      <c r="H55" s="463" t="s">
        <v>990</v>
      </c>
      <c r="I55" s="259" t="s">
        <v>1001</v>
      </c>
      <c r="J55" s="259" t="s">
        <v>1002</v>
      </c>
      <c r="K55" s="463" t="s">
        <v>1003</v>
      </c>
      <c r="L55" s="528" t="s">
        <v>1004</v>
      </c>
      <c r="M55" s="465"/>
      <c r="N55" s="259" t="s">
        <v>990</v>
      </c>
      <c r="O55" s="466" t="s">
        <v>643</v>
      </c>
      <c r="P55" s="259" t="s">
        <v>656</v>
      </c>
      <c r="Q55" s="467" t="n">
        <v>1</v>
      </c>
      <c r="R55" s="467" t="n">
        <v>1</v>
      </c>
      <c r="S55" s="467" t="n">
        <v>17</v>
      </c>
      <c r="T55" s="466" t="n">
        <v>31</v>
      </c>
      <c r="U55" s="468" t="n">
        <v>17400</v>
      </c>
      <c r="V55" s="491"/>
      <c r="W55" s="470" t="s">
        <v>658</v>
      </c>
      <c r="X55" s="471" t="n">
        <v>3300</v>
      </c>
      <c r="Y55" s="470" t="s">
        <v>658</v>
      </c>
      <c r="Z55" s="461" t="n">
        <v>2200</v>
      </c>
      <c r="AA55" s="472"/>
      <c r="AB55" s="473"/>
      <c r="AC55" s="473"/>
      <c r="AD55" s="466"/>
      <c r="AE55" s="466"/>
      <c r="AF55" s="466"/>
      <c r="AG55" s="478"/>
      <c r="AH55" s="475"/>
      <c r="AI55" s="475"/>
      <c r="AJ55" s="475"/>
      <c r="AK55" s="475"/>
      <c r="AL55" s="475"/>
      <c r="AM55" s="475"/>
      <c r="AN55" s="475"/>
      <c r="AO55" s="475"/>
      <c r="AP55" s="475"/>
      <c r="AQ55" s="475"/>
      <c r="AR55" s="475"/>
      <c r="AS55" s="475"/>
      <c r="AT55" s="475"/>
      <c r="AU55" s="475"/>
      <c r="AV55" s="475"/>
      <c r="AW55" s="475"/>
      <c r="AX55" s="475"/>
      <c r="AY55" s="475"/>
      <c r="AZ55" s="475"/>
      <c r="BA55" s="475"/>
      <c r="BB55" s="475"/>
      <c r="BC55" s="475"/>
      <c r="BD55" s="475"/>
      <c r="BE55" s="475"/>
      <c r="BF55" s="475"/>
      <c r="BG55" s="475"/>
      <c r="BH55" s="475"/>
      <c r="BI55" s="475"/>
      <c r="BJ55" s="475"/>
      <c r="BK55" s="475"/>
      <c r="BL55" s="475"/>
      <c r="BM55" s="475"/>
      <c r="BN55" s="475"/>
      <c r="BO55" s="475"/>
      <c r="BP55" s="475"/>
      <c r="BQ55" s="475"/>
      <c r="BR55" s="475"/>
      <c r="BS55" s="475"/>
      <c r="BT55" s="475"/>
      <c r="BU55" s="475"/>
      <c r="BV55" s="475"/>
      <c r="BW55" s="475"/>
      <c r="BX55" s="475"/>
      <c r="BY55" s="475"/>
      <c r="BZ55" s="475"/>
      <c r="CA55" s="475"/>
      <c r="CB55" s="475"/>
      <c r="CC55" s="475"/>
    </row>
    <row r="56" customFormat="false" ht="30" hidden="false" customHeight="true" outlineLevel="0" collapsed="false">
      <c r="A56" s="449" t="s">
        <v>1005</v>
      </c>
      <c r="B56" s="460" t="n">
        <v>46137</v>
      </c>
      <c r="C56" s="460" t="n">
        <v>46138</v>
      </c>
      <c r="D56" s="259" t="s">
        <v>323</v>
      </c>
      <c r="E56" s="461" t="n">
        <v>1</v>
      </c>
      <c r="F56" s="461"/>
      <c r="G56" s="477" t="s">
        <v>1006</v>
      </c>
      <c r="H56" s="484"/>
      <c r="I56" s="259" t="s">
        <v>1007</v>
      </c>
      <c r="J56" s="259" t="s">
        <v>1008</v>
      </c>
      <c r="K56" s="522" t="s">
        <v>1009</v>
      </c>
      <c r="L56" s="464" t="s">
        <v>1010</v>
      </c>
      <c r="M56" s="465" t="s">
        <v>1011</v>
      </c>
      <c r="N56" s="259" t="s">
        <v>1012</v>
      </c>
      <c r="O56" s="466" t="s">
        <v>643</v>
      </c>
      <c r="P56" s="259" t="s">
        <v>686</v>
      </c>
      <c r="Q56" s="467" t="n">
        <v>1</v>
      </c>
      <c r="R56" s="467" t="n">
        <v>1</v>
      </c>
      <c r="S56" s="467" t="n">
        <v>7</v>
      </c>
      <c r="T56" s="466" t="n">
        <v>14</v>
      </c>
      <c r="U56" s="526"/>
      <c r="V56" s="491"/>
      <c r="W56" s="470" t="s">
        <v>658</v>
      </c>
      <c r="X56" s="471" t="n">
        <v>5280</v>
      </c>
      <c r="Y56" s="470" t="s">
        <v>658</v>
      </c>
      <c r="Z56" s="471" t="n">
        <v>3630</v>
      </c>
      <c r="AA56" s="472"/>
      <c r="AB56" s="466"/>
      <c r="AC56" s="466"/>
      <c r="AD56" s="466"/>
      <c r="AE56" s="466"/>
      <c r="AF56" s="466"/>
      <c r="AG56" s="529" t="s">
        <v>1013</v>
      </c>
      <c r="AH56" s="475"/>
      <c r="AI56" s="475"/>
      <c r="AJ56" s="475"/>
      <c r="AK56" s="475"/>
      <c r="AL56" s="475"/>
      <c r="AM56" s="475"/>
      <c r="AN56" s="475"/>
      <c r="AO56" s="475"/>
      <c r="AP56" s="475"/>
      <c r="AQ56" s="475"/>
      <c r="AR56" s="475"/>
      <c r="AS56" s="475"/>
      <c r="AT56" s="475"/>
      <c r="AU56" s="475"/>
      <c r="AV56" s="475"/>
      <c r="AW56" s="475"/>
      <c r="AX56" s="475"/>
      <c r="AY56" s="475"/>
      <c r="AZ56" s="475"/>
      <c r="BA56" s="475"/>
      <c r="BB56" s="475"/>
      <c r="BC56" s="475"/>
      <c r="BD56" s="475"/>
      <c r="BE56" s="475"/>
      <c r="BF56" s="475"/>
      <c r="BG56" s="475"/>
      <c r="BH56" s="475"/>
      <c r="BI56" s="475"/>
      <c r="BJ56" s="475"/>
      <c r="BK56" s="475"/>
      <c r="BL56" s="475"/>
      <c r="BM56" s="475"/>
      <c r="BN56" s="475"/>
      <c r="BO56" s="475"/>
      <c r="BP56" s="475"/>
      <c r="BQ56" s="475"/>
      <c r="BR56" s="475"/>
      <c r="BS56" s="475"/>
      <c r="BT56" s="475"/>
      <c r="BU56" s="475"/>
      <c r="BV56" s="475"/>
      <c r="BW56" s="475"/>
      <c r="BX56" s="475"/>
      <c r="BY56" s="475"/>
      <c r="BZ56" s="475"/>
      <c r="CA56" s="475"/>
      <c r="CB56" s="475"/>
      <c r="CC56" s="475"/>
    </row>
    <row r="57" customFormat="false" ht="30" hidden="false" customHeight="true" outlineLevel="0" collapsed="false">
      <c r="A57" s="449" t="s">
        <v>1014</v>
      </c>
      <c r="B57" s="460" t="n">
        <v>46328</v>
      </c>
      <c r="C57" s="460" t="n">
        <v>46329</v>
      </c>
      <c r="D57" s="259" t="s">
        <v>312</v>
      </c>
      <c r="E57" s="461" t="n">
        <v>1</v>
      </c>
      <c r="F57" s="476" t="n">
        <v>46203</v>
      </c>
      <c r="G57" s="489" t="s">
        <v>1015</v>
      </c>
      <c r="H57" s="259" t="s">
        <v>1016</v>
      </c>
      <c r="I57" s="484" t="s">
        <v>1017</v>
      </c>
      <c r="J57" s="259" t="s">
        <v>1018</v>
      </c>
      <c r="K57" s="259" t="s">
        <v>1019</v>
      </c>
      <c r="L57" s="464" t="s">
        <v>1020</v>
      </c>
      <c r="M57" s="465" t="s">
        <v>1021</v>
      </c>
      <c r="N57" s="259" t="s">
        <v>697</v>
      </c>
      <c r="O57" s="466" t="s">
        <v>643</v>
      </c>
      <c r="P57" s="259" t="s">
        <v>1022</v>
      </c>
      <c r="Q57" s="467" t="n">
        <v>2</v>
      </c>
      <c r="R57" s="467" t="n">
        <v>1</v>
      </c>
      <c r="S57" s="467" t="n">
        <v>15</v>
      </c>
      <c r="T57" s="466" t="n">
        <v>33</v>
      </c>
      <c r="U57" s="526"/>
      <c r="V57" s="491"/>
      <c r="W57" s="470" t="s">
        <v>658</v>
      </c>
      <c r="X57" s="471" t="n">
        <v>4000</v>
      </c>
      <c r="Y57" s="470" t="s">
        <v>658</v>
      </c>
      <c r="Z57" s="471" t="n">
        <v>2800</v>
      </c>
      <c r="AA57" s="472" t="s">
        <v>1023</v>
      </c>
      <c r="AB57" s="466"/>
      <c r="AC57" s="466"/>
      <c r="AD57" s="466"/>
      <c r="AE57" s="466"/>
      <c r="AF57" s="466"/>
      <c r="AG57" s="481"/>
      <c r="AH57" s="475"/>
      <c r="AI57" s="475"/>
      <c r="AJ57" s="475"/>
      <c r="AK57" s="475"/>
      <c r="AL57" s="475"/>
      <c r="AM57" s="475"/>
      <c r="AN57" s="475"/>
      <c r="AO57" s="475"/>
      <c r="AP57" s="475"/>
      <c r="AQ57" s="475"/>
      <c r="AR57" s="475"/>
      <c r="AS57" s="475"/>
      <c r="AT57" s="475"/>
      <c r="AU57" s="475"/>
      <c r="AV57" s="475"/>
      <c r="AW57" s="475"/>
      <c r="AX57" s="475"/>
      <c r="AY57" s="475"/>
      <c r="AZ57" s="475"/>
      <c r="BA57" s="475"/>
      <c r="BB57" s="475"/>
      <c r="BC57" s="475"/>
      <c r="BD57" s="475"/>
      <c r="BE57" s="475"/>
      <c r="BF57" s="475"/>
      <c r="BG57" s="475"/>
      <c r="BH57" s="475"/>
      <c r="BI57" s="475"/>
      <c r="BJ57" s="475"/>
      <c r="BK57" s="475"/>
      <c r="BL57" s="475"/>
      <c r="BM57" s="475"/>
      <c r="BN57" s="475"/>
      <c r="BO57" s="475"/>
      <c r="BP57" s="475"/>
      <c r="BQ57" s="475"/>
      <c r="BR57" s="475"/>
      <c r="BS57" s="475"/>
      <c r="BT57" s="475"/>
      <c r="BU57" s="475"/>
      <c r="BV57" s="475"/>
      <c r="BW57" s="475"/>
      <c r="BX57" s="475"/>
      <c r="BY57" s="475"/>
      <c r="BZ57" s="475"/>
      <c r="CA57" s="475"/>
      <c r="CB57" s="475"/>
      <c r="CC57" s="475"/>
    </row>
    <row r="58" customFormat="false" ht="30" hidden="false" customHeight="true" outlineLevel="0" collapsed="false">
      <c r="A58" s="449" t="s">
        <v>1024</v>
      </c>
      <c r="B58" s="460" t="n">
        <v>46335</v>
      </c>
      <c r="C58" s="460" t="n">
        <v>46336</v>
      </c>
      <c r="D58" s="259" t="s">
        <v>312</v>
      </c>
      <c r="E58" s="461" t="n">
        <v>1</v>
      </c>
      <c r="F58" s="476" t="n">
        <v>46203</v>
      </c>
      <c r="G58" s="489" t="s">
        <v>1025</v>
      </c>
      <c r="H58" s="259" t="s">
        <v>1016</v>
      </c>
      <c r="I58" s="484" t="s">
        <v>1017</v>
      </c>
      <c r="J58" s="259" t="s">
        <v>1018</v>
      </c>
      <c r="K58" s="259" t="s">
        <v>1019</v>
      </c>
      <c r="L58" s="464" t="s">
        <v>1020</v>
      </c>
      <c r="M58" s="465" t="s">
        <v>1021</v>
      </c>
      <c r="N58" s="259" t="s">
        <v>697</v>
      </c>
      <c r="O58" s="466" t="s">
        <v>643</v>
      </c>
      <c r="P58" s="259" t="s">
        <v>1022</v>
      </c>
      <c r="Q58" s="467" t="n">
        <v>2</v>
      </c>
      <c r="R58" s="467" t="n">
        <v>1</v>
      </c>
      <c r="S58" s="467" t="n">
        <v>15</v>
      </c>
      <c r="T58" s="466" t="n">
        <v>33</v>
      </c>
      <c r="U58" s="530"/>
      <c r="V58" s="469"/>
      <c r="W58" s="470" t="s">
        <v>658</v>
      </c>
      <c r="X58" s="471" t="n">
        <v>4000</v>
      </c>
      <c r="Y58" s="470" t="s">
        <v>658</v>
      </c>
      <c r="Z58" s="471" t="n">
        <v>2800</v>
      </c>
      <c r="AA58" s="472" t="s">
        <v>1023</v>
      </c>
      <c r="AB58" s="473"/>
      <c r="AC58" s="473"/>
      <c r="AD58" s="466"/>
      <c r="AE58" s="466"/>
      <c r="AF58" s="466"/>
      <c r="AG58" s="481"/>
      <c r="AH58" s="475"/>
      <c r="AI58" s="475"/>
      <c r="AJ58" s="475"/>
      <c r="AK58" s="475"/>
      <c r="AL58" s="475"/>
      <c r="AM58" s="475"/>
      <c r="AN58" s="475"/>
      <c r="AO58" s="475"/>
      <c r="AP58" s="475"/>
      <c r="AQ58" s="475"/>
      <c r="AR58" s="475"/>
      <c r="AS58" s="475"/>
      <c r="AT58" s="475"/>
      <c r="AU58" s="475"/>
      <c r="AV58" s="475"/>
      <c r="AW58" s="475"/>
      <c r="AX58" s="475"/>
      <c r="AY58" s="475"/>
      <c r="AZ58" s="475"/>
      <c r="BA58" s="475"/>
      <c r="BB58" s="475"/>
      <c r="BC58" s="475"/>
      <c r="BD58" s="475"/>
      <c r="BE58" s="475"/>
      <c r="BF58" s="475"/>
      <c r="BG58" s="475"/>
      <c r="BH58" s="475"/>
      <c r="BI58" s="475"/>
      <c r="BJ58" s="475"/>
      <c r="BK58" s="475"/>
      <c r="BL58" s="475"/>
      <c r="BM58" s="475"/>
      <c r="BN58" s="475"/>
      <c r="BO58" s="475"/>
      <c r="BP58" s="475"/>
      <c r="BQ58" s="475"/>
      <c r="BR58" s="475"/>
      <c r="BS58" s="475"/>
      <c r="BT58" s="475"/>
      <c r="BU58" s="475"/>
      <c r="BV58" s="475"/>
      <c r="BW58" s="475"/>
      <c r="BX58" s="475"/>
      <c r="BY58" s="475"/>
      <c r="BZ58" s="475"/>
      <c r="CA58" s="475"/>
      <c r="CB58" s="475"/>
      <c r="CC58" s="475"/>
    </row>
    <row r="59" customFormat="false" ht="30" hidden="false" customHeight="true" outlineLevel="0" collapsed="false">
      <c r="A59" s="449" t="s">
        <v>1026</v>
      </c>
      <c r="B59" s="460" t="n">
        <v>46210</v>
      </c>
      <c r="C59" s="460" t="n">
        <v>46212</v>
      </c>
      <c r="D59" s="259" t="s">
        <v>323</v>
      </c>
      <c r="E59" s="461" t="n">
        <v>3</v>
      </c>
      <c r="F59" s="531"/>
      <c r="G59" s="477" t="s">
        <v>1027</v>
      </c>
      <c r="H59" s="259" t="s">
        <v>1028</v>
      </c>
      <c r="I59" s="259" t="s">
        <v>637</v>
      </c>
      <c r="J59" s="259" t="s">
        <v>1029</v>
      </c>
      <c r="K59" s="259" t="s">
        <v>1030</v>
      </c>
      <c r="L59" s="492" t="s">
        <v>1031</v>
      </c>
      <c r="M59" s="465"/>
      <c r="N59" s="259" t="s">
        <v>946</v>
      </c>
      <c r="O59" s="466" t="s">
        <v>643</v>
      </c>
      <c r="P59" s="259" t="s">
        <v>644</v>
      </c>
      <c r="Q59" s="467"/>
      <c r="R59" s="467"/>
      <c r="S59" s="467" t="n">
        <v>50</v>
      </c>
      <c r="T59" s="466" t="n">
        <v>70</v>
      </c>
      <c r="U59" s="526"/>
      <c r="V59" s="469"/>
      <c r="W59" s="472" t="s">
        <v>322</v>
      </c>
      <c r="X59" s="471" t="n">
        <v>5280</v>
      </c>
      <c r="Y59" s="470" t="s">
        <v>658</v>
      </c>
      <c r="Z59" s="471" t="n">
        <v>3630</v>
      </c>
      <c r="AA59" s="472" t="s">
        <v>1023</v>
      </c>
      <c r="AB59" s="466"/>
      <c r="AC59" s="466"/>
      <c r="AD59" s="466"/>
      <c r="AE59" s="466"/>
      <c r="AF59" s="475"/>
      <c r="AG59" s="481"/>
      <c r="AH59" s="475"/>
      <c r="AI59" s="475"/>
      <c r="AJ59" s="475"/>
      <c r="AK59" s="475"/>
      <c r="AL59" s="475"/>
      <c r="AM59" s="475"/>
      <c r="AN59" s="475"/>
      <c r="AO59" s="475"/>
      <c r="AP59" s="475"/>
      <c r="AQ59" s="475"/>
      <c r="AR59" s="475"/>
      <c r="AS59" s="475"/>
      <c r="AT59" s="475"/>
      <c r="AU59" s="475"/>
      <c r="AV59" s="475"/>
      <c r="AW59" s="475"/>
      <c r="AX59" s="475"/>
      <c r="AY59" s="475"/>
      <c r="AZ59" s="475"/>
      <c r="BA59" s="475"/>
      <c r="BB59" s="475"/>
      <c r="BC59" s="475"/>
      <c r="BD59" s="475"/>
      <c r="BE59" s="475"/>
      <c r="BF59" s="475"/>
      <c r="BG59" s="475"/>
      <c r="BH59" s="475"/>
      <c r="BI59" s="475"/>
      <c r="BJ59" s="475"/>
      <c r="BK59" s="475"/>
      <c r="BL59" s="475"/>
      <c r="BM59" s="475"/>
      <c r="BN59" s="475"/>
      <c r="BO59" s="475"/>
      <c r="BP59" s="475"/>
      <c r="BQ59" s="475"/>
      <c r="BR59" s="475"/>
      <c r="BS59" s="475"/>
      <c r="BT59" s="475"/>
      <c r="BU59" s="475"/>
      <c r="BV59" s="475"/>
      <c r="BW59" s="475"/>
      <c r="BX59" s="475"/>
      <c r="BY59" s="475"/>
      <c r="BZ59" s="475"/>
      <c r="CA59" s="475"/>
      <c r="CB59" s="475"/>
      <c r="CC59" s="475"/>
    </row>
    <row r="60" customFormat="false" ht="30" hidden="false" customHeight="true" outlineLevel="0" collapsed="false">
      <c r="A60" s="449" t="s">
        <v>1032</v>
      </c>
      <c r="B60" s="460" t="n">
        <v>46222</v>
      </c>
      <c r="C60" s="460" t="n">
        <v>46223</v>
      </c>
      <c r="D60" s="259" t="s">
        <v>323</v>
      </c>
      <c r="E60" s="461" t="n">
        <v>1</v>
      </c>
      <c r="F60" s="461"/>
      <c r="G60" s="477" t="s">
        <v>1033</v>
      </c>
      <c r="H60" s="484" t="s">
        <v>642</v>
      </c>
      <c r="I60" s="259" t="s">
        <v>1034</v>
      </c>
      <c r="J60" s="259" t="s">
        <v>1035</v>
      </c>
      <c r="K60" s="259" t="s">
        <v>1036</v>
      </c>
      <c r="L60" s="532" t="s">
        <v>1037</v>
      </c>
      <c r="M60" s="465" t="s">
        <v>1038</v>
      </c>
      <c r="N60" s="259" t="s">
        <v>946</v>
      </c>
      <c r="O60" s="466" t="s">
        <v>643</v>
      </c>
      <c r="P60" s="259" t="s">
        <v>1022</v>
      </c>
      <c r="Q60" s="467"/>
      <c r="R60" s="467" t="n">
        <v>1</v>
      </c>
      <c r="S60" s="467" t="n">
        <v>11</v>
      </c>
      <c r="T60" s="466" t="n">
        <v>13</v>
      </c>
      <c r="U60" s="526"/>
      <c r="V60" s="469"/>
      <c r="W60" s="470"/>
      <c r="X60" s="471" t="n">
        <v>4000</v>
      </c>
      <c r="Y60" s="470"/>
      <c r="Z60" s="471" t="n">
        <v>2800</v>
      </c>
      <c r="AA60" s="470" t="s">
        <v>753</v>
      </c>
      <c r="AB60" s="473"/>
      <c r="AC60" s="473"/>
      <c r="AD60" s="466"/>
      <c r="AE60" s="466"/>
      <c r="AF60" s="466" t="n">
        <v>15</v>
      </c>
      <c r="AG60" s="494"/>
      <c r="AH60" s="475"/>
      <c r="AI60" s="475"/>
      <c r="AJ60" s="475"/>
      <c r="AK60" s="475"/>
      <c r="AL60" s="475"/>
      <c r="AM60" s="475"/>
      <c r="AN60" s="475"/>
      <c r="AO60" s="475"/>
      <c r="AP60" s="475"/>
      <c r="AQ60" s="475"/>
      <c r="AR60" s="475"/>
      <c r="AS60" s="475"/>
      <c r="AT60" s="475"/>
      <c r="AU60" s="475"/>
      <c r="AV60" s="475"/>
      <c r="AW60" s="475"/>
      <c r="AX60" s="475"/>
      <c r="AY60" s="475"/>
      <c r="AZ60" s="475"/>
      <c r="BA60" s="475"/>
      <c r="BB60" s="475"/>
      <c r="BC60" s="475"/>
      <c r="BD60" s="475"/>
      <c r="BE60" s="475"/>
      <c r="BF60" s="475"/>
      <c r="BG60" s="475"/>
      <c r="BH60" s="475"/>
      <c r="BI60" s="475"/>
      <c r="BJ60" s="475"/>
      <c r="BK60" s="475"/>
      <c r="BL60" s="475"/>
      <c r="BM60" s="475"/>
      <c r="BN60" s="475"/>
      <c r="BO60" s="475"/>
      <c r="BP60" s="475"/>
      <c r="BQ60" s="475"/>
      <c r="BR60" s="475"/>
      <c r="BS60" s="475"/>
      <c r="BT60" s="475"/>
      <c r="BU60" s="475"/>
      <c r="BV60" s="475"/>
      <c r="BW60" s="475"/>
      <c r="BX60" s="475"/>
      <c r="BY60" s="475"/>
      <c r="BZ60" s="475"/>
      <c r="CA60" s="475"/>
      <c r="CB60" s="475"/>
      <c r="CC60" s="475"/>
    </row>
    <row r="61" customFormat="false" ht="30" hidden="false" customHeight="true" outlineLevel="0" collapsed="false">
      <c r="A61" s="449" t="s">
        <v>1039</v>
      </c>
      <c r="B61" s="460" t="n">
        <v>46097</v>
      </c>
      <c r="C61" s="460" t="n">
        <v>46099</v>
      </c>
      <c r="D61" s="259" t="s">
        <v>323</v>
      </c>
      <c r="E61" s="461" t="n">
        <v>2</v>
      </c>
      <c r="F61" s="461"/>
      <c r="G61" s="477" t="s">
        <v>1040</v>
      </c>
      <c r="H61" s="259" t="s">
        <v>1041</v>
      </c>
      <c r="I61" s="259" t="s">
        <v>637</v>
      </c>
      <c r="J61" s="259" t="s">
        <v>1042</v>
      </c>
      <c r="K61" s="259" t="s">
        <v>1043</v>
      </c>
      <c r="L61" s="464" t="s">
        <v>1044</v>
      </c>
      <c r="M61" s="465"/>
      <c r="N61" s="259" t="s">
        <v>1012</v>
      </c>
      <c r="O61" s="466" t="s">
        <v>643</v>
      </c>
      <c r="P61" s="259" t="s">
        <v>644</v>
      </c>
      <c r="Q61" s="467"/>
      <c r="R61" s="467"/>
      <c r="S61" s="467" t="n">
        <v>2</v>
      </c>
      <c r="T61" s="466" t="n">
        <v>4</v>
      </c>
      <c r="U61" s="526" t="n">
        <v>40000</v>
      </c>
      <c r="V61" s="469"/>
      <c r="W61" s="470"/>
      <c r="X61" s="471"/>
      <c r="Y61" s="470"/>
      <c r="Z61" s="471" t="n">
        <v>3630</v>
      </c>
      <c r="AA61" s="472" t="s">
        <v>1023</v>
      </c>
      <c r="AB61" s="473"/>
      <c r="AC61" s="466"/>
      <c r="AD61" s="466"/>
      <c r="AE61" s="466"/>
      <c r="AF61" s="466"/>
      <c r="AG61" s="522" t="s">
        <v>1045</v>
      </c>
      <c r="AH61" s="475"/>
      <c r="AI61" s="475"/>
      <c r="AJ61" s="475"/>
      <c r="AK61" s="475"/>
      <c r="AL61" s="475"/>
      <c r="AM61" s="475"/>
      <c r="AN61" s="475"/>
      <c r="AO61" s="475"/>
      <c r="AP61" s="475"/>
      <c r="AQ61" s="475"/>
      <c r="AR61" s="475"/>
      <c r="AS61" s="475"/>
      <c r="AT61" s="475"/>
      <c r="AU61" s="475"/>
      <c r="AV61" s="475"/>
      <c r="AW61" s="475"/>
      <c r="AX61" s="475"/>
      <c r="AY61" s="475"/>
      <c r="AZ61" s="475"/>
      <c r="BA61" s="475"/>
      <c r="BB61" s="475"/>
      <c r="BC61" s="475"/>
      <c r="BD61" s="475"/>
      <c r="BE61" s="475"/>
      <c r="BF61" s="475"/>
      <c r="BG61" s="475"/>
      <c r="BH61" s="475"/>
      <c r="BI61" s="475"/>
      <c r="BJ61" s="475"/>
      <c r="BK61" s="475"/>
      <c r="BL61" s="475"/>
      <c r="BM61" s="475"/>
      <c r="BN61" s="475"/>
      <c r="BO61" s="475"/>
      <c r="BP61" s="475"/>
      <c r="BQ61" s="475"/>
      <c r="BR61" s="475"/>
      <c r="BS61" s="475"/>
      <c r="BT61" s="475"/>
      <c r="BU61" s="475"/>
      <c r="BV61" s="475"/>
      <c r="BW61" s="475"/>
      <c r="BX61" s="475"/>
      <c r="BY61" s="475"/>
      <c r="BZ61" s="475"/>
      <c r="CA61" s="475"/>
      <c r="CB61" s="475"/>
      <c r="CC61" s="475"/>
    </row>
    <row r="62" customFormat="false" ht="30" hidden="false" customHeight="true" outlineLevel="0" collapsed="false">
      <c r="A62" s="449" t="s">
        <v>1046</v>
      </c>
      <c r="B62" s="460" t="n">
        <v>46116</v>
      </c>
      <c r="C62" s="460" t="n">
        <v>46117</v>
      </c>
      <c r="D62" s="259" t="s">
        <v>323</v>
      </c>
      <c r="E62" s="461" t="n">
        <v>1</v>
      </c>
      <c r="F62" s="461"/>
      <c r="G62" s="489" t="s">
        <v>1047</v>
      </c>
      <c r="H62" s="259" t="s">
        <v>990</v>
      </c>
      <c r="I62" s="259" t="s">
        <v>1048</v>
      </c>
      <c r="J62" s="259" t="s">
        <v>1049</v>
      </c>
      <c r="K62" s="484" t="s">
        <v>1050</v>
      </c>
      <c r="L62" s="464" t="s">
        <v>1051</v>
      </c>
      <c r="M62" s="533"/>
      <c r="N62" s="259" t="s">
        <v>697</v>
      </c>
      <c r="O62" s="466" t="s">
        <v>643</v>
      </c>
      <c r="P62" s="259" t="s">
        <v>656</v>
      </c>
      <c r="Q62" s="467" t="n">
        <v>1</v>
      </c>
      <c r="R62" s="467" t="n">
        <v>1</v>
      </c>
      <c r="S62" s="467" t="n">
        <v>12</v>
      </c>
      <c r="T62" s="466" t="n">
        <v>24</v>
      </c>
      <c r="U62" s="526"/>
      <c r="V62" s="463" t="s">
        <v>1052</v>
      </c>
      <c r="W62" s="470" t="s">
        <v>658</v>
      </c>
      <c r="X62" s="471" t="n">
        <v>3300</v>
      </c>
      <c r="Y62" s="470" t="s">
        <v>658</v>
      </c>
      <c r="Z62" s="471" t="n">
        <v>2200</v>
      </c>
      <c r="AA62" s="470"/>
      <c r="AB62" s="473"/>
      <c r="AC62" s="466"/>
      <c r="AD62" s="466"/>
      <c r="AE62" s="466"/>
      <c r="AF62" s="466"/>
      <c r="AG62" s="481"/>
      <c r="AH62" s="475"/>
      <c r="AI62" s="475"/>
      <c r="AJ62" s="475"/>
      <c r="AK62" s="475"/>
      <c r="AL62" s="475"/>
      <c r="AM62" s="475"/>
      <c r="AN62" s="475"/>
      <c r="AO62" s="475"/>
      <c r="AP62" s="475"/>
      <c r="AQ62" s="475"/>
      <c r="AR62" s="475"/>
      <c r="AS62" s="475"/>
      <c r="AT62" s="475"/>
      <c r="AU62" s="475"/>
      <c r="AV62" s="475"/>
      <c r="AW62" s="475"/>
      <c r="AX62" s="475"/>
      <c r="AY62" s="475"/>
      <c r="AZ62" s="475"/>
      <c r="BA62" s="475"/>
      <c r="BB62" s="475"/>
      <c r="BC62" s="475"/>
      <c r="BD62" s="475"/>
      <c r="BE62" s="475"/>
      <c r="BF62" s="475"/>
      <c r="BG62" s="475"/>
      <c r="BH62" s="475"/>
      <c r="BI62" s="475"/>
      <c r="BJ62" s="475"/>
      <c r="BK62" s="475"/>
      <c r="BL62" s="475"/>
      <c r="BM62" s="475"/>
      <c r="BN62" s="475"/>
      <c r="BO62" s="475"/>
      <c r="BP62" s="475"/>
      <c r="BQ62" s="475"/>
      <c r="BR62" s="475"/>
      <c r="BS62" s="475"/>
      <c r="BT62" s="475"/>
      <c r="BU62" s="475"/>
      <c r="BV62" s="475"/>
      <c r="BW62" s="475"/>
      <c r="BX62" s="475"/>
      <c r="BY62" s="475"/>
      <c r="BZ62" s="475"/>
      <c r="CA62" s="475"/>
      <c r="CB62" s="475"/>
      <c r="CC62" s="475"/>
    </row>
    <row r="63" customFormat="false" ht="30" hidden="false" customHeight="true" outlineLevel="0" collapsed="false">
      <c r="A63" s="449" t="s">
        <v>1053</v>
      </c>
      <c r="B63" s="460" t="n">
        <v>46273</v>
      </c>
      <c r="C63" s="460" t="n">
        <v>46276</v>
      </c>
      <c r="D63" s="259" t="s">
        <v>323</v>
      </c>
      <c r="E63" s="461" t="n">
        <v>3</v>
      </c>
      <c r="F63" s="461"/>
      <c r="G63" s="477" t="s">
        <v>1027</v>
      </c>
      <c r="H63" s="259" t="s">
        <v>1028</v>
      </c>
      <c r="I63" s="259" t="s">
        <v>637</v>
      </c>
      <c r="J63" s="259" t="s">
        <v>1054</v>
      </c>
      <c r="K63" s="259" t="s">
        <v>1030</v>
      </c>
      <c r="L63" s="492" t="s">
        <v>1031</v>
      </c>
      <c r="M63" s="465"/>
      <c r="N63" s="259" t="s">
        <v>946</v>
      </c>
      <c r="O63" s="466" t="s">
        <v>643</v>
      </c>
      <c r="P63" s="259" t="s">
        <v>644</v>
      </c>
      <c r="Q63" s="467"/>
      <c r="R63" s="467"/>
      <c r="S63" s="467" t="n">
        <v>50</v>
      </c>
      <c r="T63" s="466" t="n">
        <v>70</v>
      </c>
      <c r="U63" s="526"/>
      <c r="V63" s="463"/>
      <c r="W63" s="472" t="s">
        <v>322</v>
      </c>
      <c r="X63" s="471" t="n">
        <v>5280</v>
      </c>
      <c r="Y63" s="470" t="s">
        <v>658</v>
      </c>
      <c r="Z63" s="471" t="n">
        <v>3630</v>
      </c>
      <c r="AA63" s="472" t="s">
        <v>1023</v>
      </c>
      <c r="AB63" s="466"/>
      <c r="AC63" s="466"/>
      <c r="AD63" s="466"/>
      <c r="AE63" s="466"/>
      <c r="AF63" s="475"/>
      <c r="AG63" s="481"/>
      <c r="AH63" s="475"/>
      <c r="AI63" s="475"/>
      <c r="AJ63" s="475"/>
      <c r="AK63" s="475"/>
      <c r="AL63" s="475"/>
      <c r="AM63" s="475"/>
      <c r="AN63" s="475"/>
      <c r="AO63" s="475"/>
      <c r="AP63" s="475"/>
      <c r="AQ63" s="475"/>
      <c r="AR63" s="475"/>
      <c r="AS63" s="475"/>
      <c r="AT63" s="475"/>
      <c r="AU63" s="475"/>
      <c r="AV63" s="475"/>
      <c r="AW63" s="475"/>
      <c r="AX63" s="475"/>
      <c r="AY63" s="475"/>
      <c r="AZ63" s="475"/>
      <c r="BA63" s="475"/>
      <c r="BB63" s="475"/>
      <c r="BC63" s="475"/>
      <c r="BD63" s="475"/>
      <c r="BE63" s="475"/>
      <c r="BF63" s="475"/>
      <c r="BG63" s="475"/>
      <c r="BH63" s="475"/>
      <c r="BI63" s="475"/>
      <c r="BJ63" s="475"/>
      <c r="BK63" s="475"/>
      <c r="BL63" s="475"/>
      <c r="BM63" s="475"/>
      <c r="BN63" s="475"/>
      <c r="BO63" s="475"/>
      <c r="BP63" s="475"/>
      <c r="BQ63" s="475"/>
      <c r="BR63" s="475"/>
      <c r="BS63" s="475"/>
      <c r="BT63" s="475"/>
      <c r="BU63" s="475"/>
      <c r="BV63" s="475"/>
      <c r="BW63" s="475"/>
      <c r="BX63" s="475"/>
      <c r="BY63" s="475"/>
      <c r="BZ63" s="475"/>
      <c r="CA63" s="475"/>
      <c r="CB63" s="475"/>
      <c r="CC63" s="475"/>
    </row>
    <row r="64" customFormat="false" ht="30" hidden="false" customHeight="true" outlineLevel="0" collapsed="false">
      <c r="A64" s="449" t="s">
        <v>1055</v>
      </c>
      <c r="B64" s="460" t="n">
        <v>46103</v>
      </c>
      <c r="C64" s="460" t="n">
        <v>46106</v>
      </c>
      <c r="D64" s="259" t="s">
        <v>323</v>
      </c>
      <c r="E64" s="461" t="n">
        <f aca="false">C64-B64</f>
        <v>3</v>
      </c>
      <c r="F64" s="461"/>
      <c r="G64" s="477" t="s">
        <v>1056</v>
      </c>
      <c r="H64" s="521" t="s">
        <v>803</v>
      </c>
      <c r="I64" s="259" t="s">
        <v>804</v>
      </c>
      <c r="J64" s="259" t="s">
        <v>805</v>
      </c>
      <c r="K64" s="484"/>
      <c r="L64" s="464" t="s">
        <v>806</v>
      </c>
      <c r="M64" s="465" t="s">
        <v>807</v>
      </c>
      <c r="N64" s="259" t="s">
        <v>946</v>
      </c>
      <c r="O64" s="466" t="s">
        <v>643</v>
      </c>
      <c r="P64" s="259" t="s">
        <v>1022</v>
      </c>
      <c r="Q64" s="467"/>
      <c r="R64" s="467"/>
      <c r="S64" s="467"/>
      <c r="T64" s="466"/>
      <c r="U64" s="526"/>
      <c r="V64" s="491"/>
      <c r="W64" s="470"/>
      <c r="X64" s="471" t="n">
        <v>3900</v>
      </c>
      <c r="Y64" s="470"/>
      <c r="Z64" s="471" t="n">
        <v>2200</v>
      </c>
      <c r="AA64" s="472"/>
      <c r="AB64" s="466"/>
      <c r="AC64" s="466"/>
      <c r="AD64" s="466"/>
      <c r="AE64" s="466"/>
      <c r="AF64" s="466" t="n">
        <v>15</v>
      </c>
      <c r="AG64" s="481"/>
      <c r="AH64" s="475"/>
      <c r="AI64" s="475"/>
      <c r="AJ64" s="475"/>
      <c r="AK64" s="475"/>
      <c r="AL64" s="475"/>
      <c r="AM64" s="475"/>
      <c r="AN64" s="475"/>
      <c r="AO64" s="475"/>
      <c r="AP64" s="475"/>
      <c r="AQ64" s="475"/>
      <c r="AR64" s="475"/>
      <c r="AS64" s="475"/>
      <c r="AT64" s="475"/>
      <c r="AU64" s="475"/>
      <c r="AV64" s="475"/>
      <c r="AW64" s="475"/>
      <c r="AX64" s="475"/>
      <c r="AY64" s="475"/>
      <c r="AZ64" s="475"/>
      <c r="BA64" s="475"/>
      <c r="BB64" s="475"/>
      <c r="BC64" s="475"/>
      <c r="BD64" s="475"/>
      <c r="BE64" s="475"/>
      <c r="BF64" s="475"/>
      <c r="BG64" s="475"/>
      <c r="BH64" s="475"/>
      <c r="BI64" s="475"/>
      <c r="BJ64" s="475"/>
      <c r="BK64" s="475"/>
      <c r="BL64" s="475"/>
      <c r="BM64" s="475"/>
      <c r="BN64" s="475"/>
      <c r="BO64" s="475"/>
      <c r="BP64" s="475"/>
      <c r="BQ64" s="475"/>
      <c r="BR64" s="475"/>
      <c r="BS64" s="475"/>
      <c r="BT64" s="475"/>
      <c r="BU64" s="475"/>
      <c r="BV64" s="475"/>
      <c r="BW64" s="475"/>
      <c r="BX64" s="475"/>
      <c r="BY64" s="475"/>
      <c r="BZ64" s="475"/>
      <c r="CA64" s="475"/>
      <c r="CB64" s="475"/>
      <c r="CC64" s="475"/>
    </row>
    <row r="65" customFormat="false" ht="30" hidden="false" customHeight="true" outlineLevel="0" collapsed="false">
      <c r="A65" s="449" t="s">
        <v>1057</v>
      </c>
      <c r="B65" s="460" t="n">
        <v>46165</v>
      </c>
      <c r="C65" s="460" t="n">
        <v>46165</v>
      </c>
      <c r="D65" s="259" t="s">
        <v>312</v>
      </c>
      <c r="E65" s="461"/>
      <c r="F65" s="476" t="n">
        <v>46097</v>
      </c>
      <c r="G65" s="477" t="s">
        <v>1058</v>
      </c>
      <c r="H65" s="512" t="s">
        <v>642</v>
      </c>
      <c r="I65" s="259" t="s">
        <v>637</v>
      </c>
      <c r="J65" s="259" t="s">
        <v>1059</v>
      </c>
      <c r="K65" s="259" t="s">
        <v>1060</v>
      </c>
      <c r="L65" s="464" t="s">
        <v>1061</v>
      </c>
      <c r="M65" s="465" t="s">
        <v>1062</v>
      </c>
      <c r="N65" s="259" t="s">
        <v>946</v>
      </c>
      <c r="O65" s="466" t="s">
        <v>643</v>
      </c>
      <c r="P65" s="259" t="s">
        <v>644</v>
      </c>
      <c r="Q65" s="467"/>
      <c r="R65" s="467"/>
      <c r="S65" s="467"/>
      <c r="T65" s="466"/>
      <c r="U65" s="526"/>
      <c r="V65" s="491"/>
      <c r="W65" s="470"/>
      <c r="X65" s="471"/>
      <c r="Y65" s="470"/>
      <c r="Z65" s="471"/>
      <c r="AA65" s="472"/>
      <c r="AB65" s="466"/>
      <c r="AC65" s="466"/>
      <c r="AD65" s="466"/>
      <c r="AE65" s="466"/>
      <c r="AF65" s="466"/>
      <c r="AG65" s="534" t="s">
        <v>1063</v>
      </c>
      <c r="AH65" s="475"/>
      <c r="AI65" s="475"/>
      <c r="AJ65" s="475"/>
      <c r="AK65" s="475"/>
      <c r="AL65" s="475"/>
      <c r="AM65" s="475"/>
      <c r="AN65" s="475"/>
      <c r="AO65" s="475"/>
      <c r="AP65" s="475"/>
      <c r="AQ65" s="475"/>
      <c r="AR65" s="475"/>
      <c r="AS65" s="475"/>
      <c r="AT65" s="475"/>
      <c r="AU65" s="475"/>
      <c r="AV65" s="475"/>
      <c r="AW65" s="475"/>
      <c r="AX65" s="475"/>
      <c r="AY65" s="475"/>
      <c r="AZ65" s="475"/>
      <c r="BA65" s="475"/>
      <c r="BB65" s="475"/>
      <c r="BC65" s="475"/>
      <c r="BD65" s="475"/>
      <c r="BE65" s="475"/>
      <c r="BF65" s="475"/>
      <c r="BG65" s="475"/>
      <c r="BH65" s="475"/>
      <c r="BI65" s="475"/>
      <c r="BJ65" s="475"/>
      <c r="BK65" s="475"/>
      <c r="BL65" s="475"/>
      <c r="BM65" s="475"/>
      <c r="BN65" s="475"/>
      <c r="BO65" s="475"/>
      <c r="BP65" s="475"/>
      <c r="BQ65" s="475"/>
      <c r="BR65" s="475"/>
      <c r="BS65" s="475"/>
      <c r="BT65" s="475"/>
      <c r="BU65" s="475"/>
      <c r="BV65" s="475"/>
      <c r="BW65" s="475"/>
      <c r="BX65" s="475"/>
      <c r="BY65" s="475"/>
      <c r="BZ65" s="475"/>
      <c r="CA65" s="475"/>
      <c r="CB65" s="475"/>
      <c r="CC65" s="475"/>
    </row>
    <row r="66" customFormat="false" ht="30" hidden="false" customHeight="true" outlineLevel="0" collapsed="false">
      <c r="A66" s="449" t="s">
        <v>1064</v>
      </c>
      <c r="B66" s="460" t="n">
        <v>46174</v>
      </c>
      <c r="C66" s="460" t="n">
        <v>46175</v>
      </c>
      <c r="D66" s="259" t="s">
        <v>312</v>
      </c>
      <c r="E66" s="461" t="n">
        <v>1</v>
      </c>
      <c r="F66" s="476" t="n">
        <v>46127</v>
      </c>
      <c r="G66" s="477" t="s">
        <v>1065</v>
      </c>
      <c r="H66" s="521" t="s">
        <v>1066</v>
      </c>
      <c r="I66" s="259" t="s">
        <v>637</v>
      </c>
      <c r="J66" s="259" t="s">
        <v>1067</v>
      </c>
      <c r="K66" s="535" t="s">
        <v>1068</v>
      </c>
      <c r="L66" s="464" t="s">
        <v>1069</v>
      </c>
      <c r="M66" s="465"/>
      <c r="N66" s="259" t="s">
        <v>946</v>
      </c>
      <c r="O66" s="466" t="s">
        <v>643</v>
      </c>
      <c r="P66" s="259" t="s">
        <v>644</v>
      </c>
      <c r="Q66" s="467"/>
      <c r="R66" s="467"/>
      <c r="S66" s="467" t="n">
        <v>10</v>
      </c>
      <c r="T66" s="466" t="n">
        <v>20</v>
      </c>
      <c r="U66" s="526"/>
      <c r="V66" s="491"/>
      <c r="W66" s="472" t="s">
        <v>322</v>
      </c>
      <c r="X66" s="471" t="n">
        <v>6000</v>
      </c>
      <c r="Y66" s="470" t="s">
        <v>658</v>
      </c>
      <c r="Z66" s="471" t="n">
        <v>3630</v>
      </c>
      <c r="AA66" s="472"/>
      <c r="AB66" s="466"/>
      <c r="AC66" s="466"/>
      <c r="AD66" s="466"/>
      <c r="AE66" s="466"/>
      <c r="AF66" s="466"/>
      <c r="AG66" s="481" t="s">
        <v>1070</v>
      </c>
      <c r="AH66" s="475"/>
      <c r="AI66" s="475"/>
      <c r="AJ66" s="475"/>
      <c r="AK66" s="475"/>
      <c r="AL66" s="475"/>
      <c r="AM66" s="475"/>
      <c r="AN66" s="475"/>
      <c r="AO66" s="475"/>
      <c r="AP66" s="475"/>
      <c r="AQ66" s="475"/>
      <c r="AR66" s="475"/>
      <c r="AS66" s="475"/>
      <c r="AT66" s="475"/>
      <c r="AU66" s="475"/>
      <c r="AV66" s="475"/>
      <c r="AW66" s="475"/>
      <c r="AX66" s="475"/>
      <c r="AY66" s="475"/>
      <c r="AZ66" s="475"/>
      <c r="BA66" s="475"/>
      <c r="BB66" s="475"/>
      <c r="BC66" s="475"/>
      <c r="BD66" s="475"/>
      <c r="BE66" s="475"/>
      <c r="BF66" s="475"/>
      <c r="BG66" s="475"/>
      <c r="BH66" s="475"/>
      <c r="BI66" s="475"/>
      <c r="BJ66" s="475"/>
      <c r="BK66" s="475"/>
      <c r="BL66" s="475"/>
      <c r="BM66" s="475"/>
      <c r="BN66" s="475"/>
      <c r="BO66" s="475"/>
      <c r="BP66" s="475"/>
      <c r="BQ66" s="475"/>
      <c r="BR66" s="475"/>
      <c r="BS66" s="475"/>
      <c r="BT66" s="475"/>
      <c r="BU66" s="475"/>
      <c r="BV66" s="475"/>
      <c r="BW66" s="475"/>
      <c r="BX66" s="475"/>
      <c r="BY66" s="475"/>
      <c r="BZ66" s="475"/>
      <c r="CA66" s="475"/>
      <c r="CB66" s="475"/>
      <c r="CC66" s="475"/>
    </row>
    <row r="67" customFormat="false" ht="30" hidden="false" customHeight="true" outlineLevel="0" collapsed="false">
      <c r="A67" s="449" t="s">
        <v>1071</v>
      </c>
      <c r="B67" s="460" t="n">
        <v>46185</v>
      </c>
      <c r="C67" s="460" t="n">
        <v>46186</v>
      </c>
      <c r="D67" s="259" t="s">
        <v>312</v>
      </c>
      <c r="E67" s="461" t="n">
        <v>1</v>
      </c>
      <c r="F67" s="536" t="s">
        <v>323</v>
      </c>
      <c r="G67" s="477" t="s">
        <v>1072</v>
      </c>
      <c r="H67" s="521" t="s">
        <v>1073</v>
      </c>
      <c r="I67" s="259" t="s">
        <v>637</v>
      </c>
      <c r="J67" s="259" t="s">
        <v>1074</v>
      </c>
      <c r="K67" s="259" t="s">
        <v>1075</v>
      </c>
      <c r="L67" s="464" t="s">
        <v>1076</v>
      </c>
      <c r="M67" s="465"/>
      <c r="N67" s="259" t="s">
        <v>946</v>
      </c>
      <c r="O67" s="466" t="s">
        <v>643</v>
      </c>
      <c r="P67" s="259" t="s">
        <v>644</v>
      </c>
      <c r="Q67" s="467"/>
      <c r="R67" s="467"/>
      <c r="S67" s="467" t="n">
        <v>4</v>
      </c>
      <c r="T67" s="466" t="n">
        <v>8</v>
      </c>
      <c r="U67" s="526"/>
      <c r="V67" s="491"/>
      <c r="W67" s="472" t="s">
        <v>322</v>
      </c>
      <c r="X67" s="471" t="n">
        <v>5800</v>
      </c>
      <c r="Y67" s="470" t="s">
        <v>658</v>
      </c>
      <c r="Z67" s="471" t="n">
        <v>3630</v>
      </c>
      <c r="AA67" s="472"/>
      <c r="AB67" s="466"/>
      <c r="AC67" s="466"/>
      <c r="AD67" s="466"/>
      <c r="AE67" s="466"/>
      <c r="AF67" s="466"/>
      <c r="AG67" s="463" t="s">
        <v>1077</v>
      </c>
      <c r="AH67" s="475"/>
      <c r="AI67" s="475"/>
      <c r="AJ67" s="475"/>
      <c r="AK67" s="475"/>
      <c r="AL67" s="475"/>
      <c r="AM67" s="475"/>
      <c r="AN67" s="475"/>
      <c r="AO67" s="475"/>
      <c r="AP67" s="475"/>
      <c r="AQ67" s="475"/>
      <c r="AR67" s="475"/>
      <c r="AS67" s="475"/>
      <c r="AT67" s="475"/>
      <c r="AU67" s="475"/>
      <c r="AV67" s="475"/>
      <c r="AW67" s="475"/>
      <c r="AX67" s="475"/>
      <c r="AY67" s="475"/>
      <c r="AZ67" s="475"/>
      <c r="BA67" s="475"/>
      <c r="BB67" s="475"/>
      <c r="BC67" s="475"/>
      <c r="BD67" s="475"/>
      <c r="BE67" s="475"/>
      <c r="BF67" s="475"/>
      <c r="BG67" s="475"/>
      <c r="BH67" s="475"/>
      <c r="BI67" s="475"/>
      <c r="BJ67" s="475"/>
      <c r="BK67" s="475"/>
      <c r="BL67" s="475"/>
      <c r="BM67" s="475"/>
      <c r="BN67" s="475"/>
      <c r="BO67" s="475"/>
      <c r="BP67" s="475"/>
      <c r="BQ67" s="475"/>
      <c r="BR67" s="475"/>
      <c r="BS67" s="475"/>
      <c r="BT67" s="475"/>
      <c r="BU67" s="475"/>
      <c r="BV67" s="475"/>
      <c r="BW67" s="475"/>
      <c r="BX67" s="475"/>
      <c r="BY67" s="475"/>
      <c r="BZ67" s="475"/>
      <c r="CA67" s="475"/>
      <c r="CB67" s="475"/>
      <c r="CC67" s="475"/>
    </row>
    <row r="68" customFormat="false" ht="30" hidden="false" customHeight="true" outlineLevel="0" collapsed="false">
      <c r="A68" s="449" t="s">
        <v>1078</v>
      </c>
      <c r="B68" s="460" t="n">
        <v>46136</v>
      </c>
      <c r="C68" s="460" t="n">
        <v>46137</v>
      </c>
      <c r="D68" s="259" t="s">
        <v>323</v>
      </c>
      <c r="E68" s="461" t="n">
        <v>1</v>
      </c>
      <c r="F68" s="536" t="s">
        <v>323</v>
      </c>
      <c r="G68" s="486" t="s">
        <v>668</v>
      </c>
      <c r="H68" s="478" t="s">
        <v>669</v>
      </c>
      <c r="I68" s="484" t="s">
        <v>670</v>
      </c>
      <c r="J68" s="483" t="s">
        <v>671</v>
      </c>
      <c r="K68" s="487" t="s">
        <v>672</v>
      </c>
      <c r="L68" s="464" t="s">
        <v>673</v>
      </c>
      <c r="M68" s="465" t="s">
        <v>674</v>
      </c>
      <c r="N68" s="259"/>
      <c r="O68" s="466" t="s">
        <v>675</v>
      </c>
      <c r="P68" s="488" t="s">
        <v>676</v>
      </c>
      <c r="Q68" s="467" t="n">
        <v>3</v>
      </c>
      <c r="R68" s="467" t="n">
        <v>1</v>
      </c>
      <c r="S68" s="467" t="n">
        <v>25</v>
      </c>
      <c r="T68" s="466" t="n">
        <v>41</v>
      </c>
      <c r="U68" s="468"/>
      <c r="V68" s="469"/>
      <c r="W68" s="470"/>
      <c r="X68" s="471" t="n">
        <v>4224</v>
      </c>
      <c r="Y68" s="470"/>
      <c r="Z68" s="471" t="n">
        <v>2905</v>
      </c>
      <c r="AA68" s="470"/>
      <c r="AB68" s="473" t="n">
        <v>0.6875</v>
      </c>
      <c r="AC68" s="473" t="n">
        <v>0.395833333333333</v>
      </c>
      <c r="AD68" s="484" t="n">
        <v>3</v>
      </c>
      <c r="AE68" s="466" t="n">
        <v>2</v>
      </c>
      <c r="AF68" s="466" t="n">
        <v>0</v>
      </c>
      <c r="AG68" s="474" t="s">
        <v>1079</v>
      </c>
      <c r="AH68" s="475"/>
      <c r="AI68" s="475"/>
      <c r="AJ68" s="475"/>
      <c r="AK68" s="475"/>
      <c r="AL68" s="475"/>
      <c r="AM68" s="475"/>
      <c r="AN68" s="475"/>
      <c r="AO68" s="475"/>
      <c r="AP68" s="475"/>
      <c r="AQ68" s="475"/>
      <c r="AR68" s="475"/>
      <c r="AS68" s="475"/>
      <c r="AT68" s="475"/>
      <c r="AU68" s="475"/>
      <c r="AV68" s="475"/>
      <c r="AW68" s="475"/>
      <c r="AX68" s="475"/>
      <c r="AY68" s="475"/>
      <c r="AZ68" s="475"/>
      <c r="BA68" s="475"/>
      <c r="BB68" s="475"/>
      <c r="BC68" s="475"/>
      <c r="BD68" s="475"/>
      <c r="BE68" s="475"/>
      <c r="BF68" s="475"/>
      <c r="BG68" s="475"/>
      <c r="BH68" s="475"/>
      <c r="BI68" s="475"/>
      <c r="BJ68" s="475"/>
      <c r="BK68" s="475"/>
      <c r="BL68" s="475"/>
      <c r="BM68" s="475"/>
      <c r="BN68" s="475"/>
      <c r="BO68" s="475"/>
      <c r="BP68" s="475"/>
      <c r="BQ68" s="475"/>
      <c r="BR68" s="475"/>
      <c r="BS68" s="475"/>
      <c r="BT68" s="475"/>
      <c r="BU68" s="475"/>
      <c r="BV68" s="475"/>
      <c r="BW68" s="475"/>
      <c r="BX68" s="475"/>
      <c r="BY68" s="475"/>
      <c r="BZ68" s="475"/>
      <c r="CA68" s="475"/>
      <c r="CB68" s="475"/>
      <c r="CC68" s="475"/>
    </row>
    <row r="69" customFormat="false" ht="30" hidden="false" customHeight="true" outlineLevel="0" collapsed="false">
      <c r="A69" s="449" t="s">
        <v>1080</v>
      </c>
      <c r="B69" s="460" t="n">
        <v>46167</v>
      </c>
      <c r="C69" s="460" t="n">
        <v>46168</v>
      </c>
      <c r="D69" s="259" t="s">
        <v>323</v>
      </c>
      <c r="E69" s="461" t="n">
        <v>1</v>
      </c>
      <c r="F69" s="536" t="s">
        <v>323</v>
      </c>
      <c r="G69" s="477" t="s">
        <v>1072</v>
      </c>
      <c r="H69" s="521" t="s">
        <v>1073</v>
      </c>
      <c r="I69" s="259" t="s">
        <v>637</v>
      </c>
      <c r="J69" s="259" t="s">
        <v>1074</v>
      </c>
      <c r="K69" s="259" t="s">
        <v>1075</v>
      </c>
      <c r="L69" s="464" t="s">
        <v>1076</v>
      </c>
      <c r="M69" s="533"/>
      <c r="N69" s="259" t="s">
        <v>946</v>
      </c>
      <c r="O69" s="466" t="s">
        <v>643</v>
      </c>
      <c r="P69" s="259" t="s">
        <v>644</v>
      </c>
      <c r="Q69" s="537"/>
      <c r="R69" s="467"/>
      <c r="S69" s="467" t="n">
        <v>2</v>
      </c>
      <c r="T69" s="466" t="n">
        <v>2</v>
      </c>
      <c r="U69" s="468"/>
      <c r="V69" s="491"/>
      <c r="W69" s="470"/>
      <c r="X69" s="471" t="n">
        <v>5280</v>
      </c>
      <c r="Y69" s="470"/>
      <c r="Z69" s="471" t="n">
        <v>3630</v>
      </c>
      <c r="AA69" s="470"/>
      <c r="AB69" s="466"/>
      <c r="AC69" s="466"/>
      <c r="AD69" s="466"/>
      <c r="AE69" s="466"/>
      <c r="AF69" s="466"/>
      <c r="AG69" s="478" t="s">
        <v>1081</v>
      </c>
      <c r="AH69" s="475"/>
      <c r="AI69" s="475"/>
      <c r="AJ69" s="475"/>
      <c r="AK69" s="475"/>
      <c r="AL69" s="475"/>
      <c r="AM69" s="475"/>
      <c r="AN69" s="475"/>
      <c r="AO69" s="475"/>
      <c r="AP69" s="475"/>
      <c r="AQ69" s="475"/>
      <c r="AR69" s="475"/>
      <c r="AS69" s="475"/>
      <c r="AT69" s="475"/>
      <c r="AU69" s="475"/>
      <c r="AV69" s="475"/>
      <c r="AW69" s="475"/>
      <c r="AX69" s="475"/>
      <c r="AY69" s="475"/>
      <c r="AZ69" s="475"/>
      <c r="BA69" s="475"/>
      <c r="BB69" s="475"/>
      <c r="BC69" s="475"/>
      <c r="BD69" s="475"/>
      <c r="BE69" s="475"/>
      <c r="BF69" s="475"/>
      <c r="BG69" s="475"/>
      <c r="BH69" s="475"/>
      <c r="BI69" s="475"/>
      <c r="BJ69" s="475"/>
      <c r="BK69" s="475"/>
      <c r="BL69" s="475"/>
      <c r="BM69" s="475"/>
      <c r="BN69" s="475"/>
      <c r="BO69" s="475"/>
      <c r="BP69" s="475"/>
      <c r="BQ69" s="475"/>
      <c r="BR69" s="475"/>
      <c r="BS69" s="475"/>
      <c r="BT69" s="475"/>
      <c r="BU69" s="475"/>
      <c r="BV69" s="475"/>
      <c r="BW69" s="475"/>
      <c r="BX69" s="475"/>
      <c r="BY69" s="475"/>
      <c r="BZ69" s="475"/>
      <c r="CA69" s="475"/>
      <c r="CB69" s="475"/>
      <c r="CC69" s="475"/>
    </row>
    <row r="70" customFormat="false" ht="30" hidden="false" customHeight="true" outlineLevel="0" collapsed="false">
      <c r="A70" s="449" t="s">
        <v>1082</v>
      </c>
      <c r="B70" s="460" t="n">
        <v>46196</v>
      </c>
      <c r="C70" s="460" t="n">
        <v>46199</v>
      </c>
      <c r="D70" s="259" t="s">
        <v>323</v>
      </c>
      <c r="E70" s="461" t="n">
        <v>3</v>
      </c>
      <c r="F70" s="536" t="s">
        <v>323</v>
      </c>
      <c r="G70" s="489" t="s">
        <v>1083</v>
      </c>
      <c r="H70" s="259" t="s">
        <v>1084</v>
      </c>
      <c r="I70" s="484" t="s">
        <v>1085</v>
      </c>
      <c r="J70" s="484" t="s">
        <v>1086</v>
      </c>
      <c r="K70" s="259" t="s">
        <v>1087</v>
      </c>
      <c r="L70" s="492" t="s">
        <v>1088</v>
      </c>
      <c r="M70" s="465" t="s">
        <v>1089</v>
      </c>
      <c r="N70" s="259" t="s">
        <v>697</v>
      </c>
      <c r="O70" s="466" t="s">
        <v>1090</v>
      </c>
      <c r="P70" s="259" t="s">
        <v>1022</v>
      </c>
      <c r="Q70" s="467" t="n">
        <v>1</v>
      </c>
      <c r="R70" s="467"/>
      <c r="S70" s="467" t="n">
        <v>6</v>
      </c>
      <c r="T70" s="466" t="n">
        <v>10</v>
      </c>
      <c r="U70" s="526"/>
      <c r="V70" s="469"/>
      <c r="W70" s="470" t="s">
        <v>658</v>
      </c>
      <c r="X70" s="471" t="n">
        <v>4000</v>
      </c>
      <c r="Y70" s="470" t="s">
        <v>658</v>
      </c>
      <c r="Z70" s="471" t="n">
        <v>2800</v>
      </c>
      <c r="AA70" s="470"/>
      <c r="AB70" s="473"/>
      <c r="AC70" s="473"/>
      <c r="AD70" s="466"/>
      <c r="AE70" s="466"/>
      <c r="AF70" s="475" t="n">
        <v>10</v>
      </c>
      <c r="AG70" s="481"/>
      <c r="AH70" s="475"/>
      <c r="AI70" s="475"/>
      <c r="AJ70" s="475"/>
      <c r="AK70" s="475"/>
      <c r="AL70" s="475"/>
      <c r="AM70" s="475"/>
      <c r="AN70" s="475"/>
      <c r="AO70" s="475"/>
      <c r="AP70" s="475"/>
      <c r="AQ70" s="475"/>
      <c r="AR70" s="475"/>
      <c r="AS70" s="475"/>
      <c r="AT70" s="475"/>
      <c r="AU70" s="475"/>
      <c r="AV70" s="475"/>
      <c r="AW70" s="475"/>
      <c r="AX70" s="475"/>
      <c r="AY70" s="475"/>
      <c r="AZ70" s="475"/>
      <c r="BA70" s="475"/>
      <c r="BB70" s="475"/>
      <c r="BC70" s="475"/>
      <c r="BD70" s="475"/>
      <c r="BE70" s="475"/>
      <c r="BF70" s="475"/>
      <c r="BG70" s="475"/>
      <c r="BH70" s="475"/>
      <c r="BI70" s="475"/>
      <c r="BJ70" s="475"/>
      <c r="BK70" s="475"/>
      <c r="BL70" s="475"/>
      <c r="BM70" s="475"/>
      <c r="BN70" s="475"/>
      <c r="BO70" s="475"/>
      <c r="BP70" s="475"/>
      <c r="BQ70" s="475"/>
      <c r="BR70" s="475"/>
      <c r="BS70" s="475"/>
      <c r="BT70" s="475"/>
      <c r="BU70" s="475"/>
      <c r="BV70" s="475"/>
      <c r="BW70" s="475"/>
      <c r="BX70" s="475"/>
      <c r="BY70" s="475"/>
      <c r="BZ70" s="475"/>
      <c r="CA70" s="475"/>
      <c r="CB70" s="475"/>
      <c r="CC70" s="475"/>
    </row>
    <row r="71" customFormat="false" ht="30" hidden="false" customHeight="true" outlineLevel="0" collapsed="false">
      <c r="A71" s="449" t="s">
        <v>1091</v>
      </c>
      <c r="B71" s="460" t="n">
        <v>46263</v>
      </c>
      <c r="C71" s="460" t="n">
        <v>46264</v>
      </c>
      <c r="D71" s="259" t="s">
        <v>312</v>
      </c>
      <c r="E71" s="461" t="n">
        <v>1</v>
      </c>
      <c r="F71" s="483" t="s">
        <v>1092</v>
      </c>
      <c r="G71" s="477" t="s">
        <v>1093</v>
      </c>
      <c r="H71" s="521" t="s">
        <v>1094</v>
      </c>
      <c r="I71" s="259" t="s">
        <v>637</v>
      </c>
      <c r="J71" s="259" t="s">
        <v>1095</v>
      </c>
      <c r="K71" s="259" t="s">
        <v>1096</v>
      </c>
      <c r="L71" s="464" t="s">
        <v>1097</v>
      </c>
      <c r="M71" s="465" t="s">
        <v>1098</v>
      </c>
      <c r="N71" s="259" t="s">
        <v>946</v>
      </c>
      <c r="O71" s="466" t="s">
        <v>643</v>
      </c>
      <c r="P71" s="259" t="s">
        <v>686</v>
      </c>
      <c r="Q71" s="537"/>
      <c r="R71" s="467"/>
      <c r="S71" s="467"/>
      <c r="T71" s="466"/>
      <c r="U71" s="468"/>
      <c r="V71" s="491"/>
      <c r="W71" s="470"/>
      <c r="X71" s="471"/>
      <c r="Y71" s="470"/>
      <c r="Z71" s="471"/>
      <c r="AA71" s="470"/>
      <c r="AB71" s="466"/>
      <c r="AC71" s="466"/>
      <c r="AD71" s="466"/>
      <c r="AE71" s="466"/>
      <c r="AF71" s="466"/>
      <c r="AG71" s="463"/>
      <c r="AH71" s="475"/>
      <c r="AI71" s="475"/>
      <c r="AJ71" s="475"/>
      <c r="AK71" s="475"/>
      <c r="AL71" s="475"/>
      <c r="AM71" s="475"/>
      <c r="AN71" s="475"/>
      <c r="AO71" s="475"/>
      <c r="AP71" s="475"/>
      <c r="AQ71" s="475"/>
      <c r="AR71" s="475"/>
      <c r="AS71" s="475"/>
      <c r="AT71" s="475"/>
      <c r="AU71" s="475"/>
      <c r="AV71" s="475"/>
      <c r="AW71" s="475"/>
      <c r="AX71" s="475"/>
      <c r="AY71" s="475"/>
      <c r="AZ71" s="475"/>
      <c r="BA71" s="475"/>
      <c r="BB71" s="475"/>
      <c r="BC71" s="475"/>
      <c r="BD71" s="475"/>
      <c r="BE71" s="475"/>
      <c r="BF71" s="475"/>
      <c r="BG71" s="475"/>
      <c r="BH71" s="475"/>
      <c r="BI71" s="475"/>
      <c r="BJ71" s="475"/>
      <c r="BK71" s="475"/>
      <c r="BL71" s="475"/>
      <c r="BM71" s="475"/>
      <c r="BN71" s="475"/>
      <c r="BO71" s="475"/>
      <c r="BP71" s="475"/>
      <c r="BQ71" s="475"/>
      <c r="BR71" s="475"/>
      <c r="BS71" s="475"/>
      <c r="BT71" s="475"/>
      <c r="BU71" s="475"/>
      <c r="BV71" s="475"/>
      <c r="BW71" s="475"/>
      <c r="BX71" s="475"/>
      <c r="BY71" s="475"/>
      <c r="BZ71" s="475"/>
      <c r="CA71" s="475"/>
      <c r="CB71" s="475"/>
      <c r="CC71" s="475"/>
    </row>
    <row r="72" customFormat="false" ht="30" hidden="false" customHeight="true" outlineLevel="0" collapsed="false">
      <c r="A72" s="449" t="s">
        <v>550</v>
      </c>
      <c r="B72" s="460" t="n">
        <v>46217</v>
      </c>
      <c r="C72" s="460" t="n">
        <v>46220</v>
      </c>
      <c r="D72" s="259" t="s">
        <v>312</v>
      </c>
      <c r="E72" s="461" t="n">
        <v>3</v>
      </c>
      <c r="F72" s="476" t="n">
        <v>46203</v>
      </c>
      <c r="G72" s="489" t="s">
        <v>1083</v>
      </c>
      <c r="H72" s="259" t="s">
        <v>1084</v>
      </c>
      <c r="I72" s="484" t="s">
        <v>1085</v>
      </c>
      <c r="J72" s="484" t="s">
        <v>1086</v>
      </c>
      <c r="K72" s="259" t="s">
        <v>1087</v>
      </c>
      <c r="L72" s="492" t="s">
        <v>1088</v>
      </c>
      <c r="M72" s="465" t="s">
        <v>1089</v>
      </c>
      <c r="N72" s="259" t="s">
        <v>697</v>
      </c>
      <c r="O72" s="466" t="s">
        <v>1090</v>
      </c>
      <c r="P72" s="259" t="s">
        <v>1022</v>
      </c>
      <c r="Q72" s="467" t="n">
        <v>1</v>
      </c>
      <c r="R72" s="467"/>
      <c r="S72" s="467" t="n">
        <v>12</v>
      </c>
      <c r="T72" s="466" t="n">
        <v>9</v>
      </c>
      <c r="U72" s="526"/>
      <c r="V72" s="469"/>
      <c r="W72" s="470" t="s">
        <v>658</v>
      </c>
      <c r="X72" s="471" t="n">
        <v>4000</v>
      </c>
      <c r="Y72" s="470" t="s">
        <v>658</v>
      </c>
      <c r="Z72" s="471" t="n">
        <v>2800</v>
      </c>
      <c r="AA72" s="470"/>
      <c r="AB72" s="473"/>
      <c r="AC72" s="473"/>
      <c r="AD72" s="466"/>
      <c r="AE72" s="466"/>
      <c r="AF72" s="475" t="n">
        <v>10</v>
      </c>
      <c r="AG72" s="481"/>
      <c r="AH72" s="475"/>
      <c r="AI72" s="475"/>
      <c r="AJ72" s="475"/>
      <c r="AK72" s="475"/>
      <c r="AL72" s="475"/>
      <c r="AM72" s="475"/>
      <c r="AN72" s="475"/>
      <c r="AO72" s="475"/>
      <c r="AP72" s="475"/>
      <c r="AQ72" s="475"/>
      <c r="AR72" s="475"/>
      <c r="AS72" s="475"/>
      <c r="AT72" s="475"/>
      <c r="AU72" s="475"/>
      <c r="AV72" s="475"/>
      <c r="AW72" s="475"/>
      <c r="AX72" s="475"/>
      <c r="AY72" s="475"/>
      <c r="AZ72" s="475"/>
      <c r="BA72" s="475"/>
      <c r="BB72" s="475"/>
      <c r="BC72" s="475"/>
      <c r="BD72" s="475"/>
      <c r="BE72" s="475"/>
      <c r="BF72" s="475"/>
      <c r="BG72" s="475"/>
      <c r="BH72" s="475"/>
      <c r="BI72" s="475"/>
      <c r="BJ72" s="475"/>
      <c r="BK72" s="475"/>
      <c r="BL72" s="475"/>
      <c r="BM72" s="475"/>
      <c r="BN72" s="475"/>
      <c r="BO72" s="475"/>
      <c r="BP72" s="475"/>
      <c r="BQ72" s="475"/>
      <c r="BR72" s="475"/>
      <c r="BS72" s="475"/>
      <c r="BT72" s="475"/>
      <c r="BU72" s="475"/>
      <c r="BV72" s="475"/>
      <c r="BW72" s="475"/>
      <c r="BX72" s="475"/>
      <c r="BY72" s="475"/>
      <c r="BZ72" s="475"/>
      <c r="CA72" s="475"/>
      <c r="CB72" s="475"/>
      <c r="CC72" s="475"/>
    </row>
    <row r="73" customFormat="false" ht="30" hidden="false" customHeight="true" outlineLevel="0" collapsed="false">
      <c r="A73" s="449" t="s">
        <v>1099</v>
      </c>
      <c r="B73" s="460" t="n">
        <v>46231</v>
      </c>
      <c r="C73" s="460" t="n">
        <v>46234</v>
      </c>
      <c r="D73" s="259" t="s">
        <v>312</v>
      </c>
      <c r="E73" s="461" t="n">
        <v>3</v>
      </c>
      <c r="F73" s="476" t="n">
        <v>46201</v>
      </c>
      <c r="G73" s="489" t="s">
        <v>1083</v>
      </c>
      <c r="H73" s="259" t="s">
        <v>1084</v>
      </c>
      <c r="I73" s="484" t="s">
        <v>1085</v>
      </c>
      <c r="J73" s="484" t="s">
        <v>1086</v>
      </c>
      <c r="K73" s="259" t="s">
        <v>1087</v>
      </c>
      <c r="L73" s="492" t="s">
        <v>1088</v>
      </c>
      <c r="M73" s="465" t="s">
        <v>1089</v>
      </c>
      <c r="N73" s="259" t="s">
        <v>697</v>
      </c>
      <c r="O73" s="466" t="s">
        <v>1090</v>
      </c>
      <c r="P73" s="259" t="s">
        <v>1022</v>
      </c>
      <c r="Q73" s="467" t="n">
        <v>1</v>
      </c>
      <c r="R73" s="467"/>
      <c r="S73" s="467" t="n">
        <v>12</v>
      </c>
      <c r="T73" s="466" t="n">
        <v>9</v>
      </c>
      <c r="U73" s="526"/>
      <c r="V73" s="469"/>
      <c r="W73" s="470" t="s">
        <v>658</v>
      </c>
      <c r="X73" s="471" t="n">
        <v>4000</v>
      </c>
      <c r="Y73" s="470" t="s">
        <v>658</v>
      </c>
      <c r="Z73" s="471" t="n">
        <v>2800</v>
      </c>
      <c r="AA73" s="470"/>
      <c r="AB73" s="473"/>
      <c r="AC73" s="473"/>
      <c r="AD73" s="466"/>
      <c r="AE73" s="466"/>
      <c r="AF73" s="475" t="n">
        <v>10</v>
      </c>
      <c r="AG73" s="481"/>
      <c r="AH73" s="475"/>
      <c r="AI73" s="475"/>
      <c r="AJ73" s="475"/>
      <c r="AK73" s="475"/>
      <c r="AL73" s="475"/>
      <c r="AM73" s="475"/>
      <c r="AN73" s="475"/>
      <c r="AO73" s="475"/>
      <c r="AP73" s="475"/>
      <c r="AQ73" s="475"/>
      <c r="AR73" s="475"/>
      <c r="AS73" s="475"/>
      <c r="AT73" s="475"/>
      <c r="AU73" s="475"/>
      <c r="AV73" s="475"/>
      <c r="AW73" s="475"/>
      <c r="AX73" s="475"/>
      <c r="AY73" s="475"/>
      <c r="AZ73" s="475"/>
      <c r="BA73" s="475"/>
      <c r="BB73" s="475"/>
      <c r="BC73" s="475"/>
      <c r="BD73" s="475"/>
      <c r="BE73" s="475"/>
      <c r="BF73" s="475"/>
      <c r="BG73" s="475"/>
      <c r="BH73" s="475"/>
      <c r="BI73" s="475"/>
      <c r="BJ73" s="475"/>
      <c r="BK73" s="475"/>
      <c r="BL73" s="475"/>
      <c r="BM73" s="475"/>
      <c r="BN73" s="475"/>
      <c r="BO73" s="475"/>
      <c r="BP73" s="475"/>
      <c r="BQ73" s="475"/>
      <c r="BR73" s="475"/>
      <c r="BS73" s="475"/>
      <c r="BT73" s="475"/>
      <c r="BU73" s="475"/>
      <c r="BV73" s="475"/>
      <c r="BW73" s="475"/>
      <c r="BX73" s="475"/>
      <c r="BY73" s="475"/>
      <c r="BZ73" s="475"/>
      <c r="CA73" s="475"/>
      <c r="CB73" s="475"/>
      <c r="CC73" s="475"/>
    </row>
    <row r="74" customFormat="false" ht="30" hidden="false" customHeight="true" outlineLevel="0" collapsed="false">
      <c r="A74" s="449" t="s">
        <v>1100</v>
      </c>
      <c r="B74" s="460" t="n">
        <v>46238</v>
      </c>
      <c r="C74" s="460" t="n">
        <v>46241</v>
      </c>
      <c r="D74" s="259" t="s">
        <v>312</v>
      </c>
      <c r="E74" s="461" t="n">
        <v>3</v>
      </c>
      <c r="F74" s="476" t="n">
        <v>46207</v>
      </c>
      <c r="G74" s="489" t="s">
        <v>1083</v>
      </c>
      <c r="H74" s="259" t="s">
        <v>1084</v>
      </c>
      <c r="I74" s="484" t="s">
        <v>1085</v>
      </c>
      <c r="J74" s="484" t="s">
        <v>1086</v>
      </c>
      <c r="K74" s="259" t="s">
        <v>1087</v>
      </c>
      <c r="L74" s="492" t="s">
        <v>1088</v>
      </c>
      <c r="M74" s="465" t="s">
        <v>1089</v>
      </c>
      <c r="N74" s="259" t="s">
        <v>697</v>
      </c>
      <c r="O74" s="466" t="s">
        <v>1090</v>
      </c>
      <c r="P74" s="259" t="s">
        <v>1022</v>
      </c>
      <c r="Q74" s="467" t="n">
        <v>1</v>
      </c>
      <c r="R74" s="467"/>
      <c r="S74" s="467" t="n">
        <v>12</v>
      </c>
      <c r="T74" s="466" t="n">
        <v>9</v>
      </c>
      <c r="U74" s="526"/>
      <c r="V74" s="469"/>
      <c r="W74" s="470" t="s">
        <v>658</v>
      </c>
      <c r="X74" s="471" t="n">
        <v>4000</v>
      </c>
      <c r="Y74" s="470" t="s">
        <v>658</v>
      </c>
      <c r="Z74" s="471" t="n">
        <v>2800</v>
      </c>
      <c r="AA74" s="470"/>
      <c r="AB74" s="473"/>
      <c r="AC74" s="473"/>
      <c r="AD74" s="466"/>
      <c r="AE74" s="466"/>
      <c r="AF74" s="475" t="n">
        <v>10</v>
      </c>
      <c r="AG74" s="481"/>
      <c r="AH74" s="475"/>
      <c r="AI74" s="475"/>
      <c r="AJ74" s="475"/>
      <c r="AK74" s="475"/>
      <c r="AL74" s="475"/>
      <c r="AM74" s="475"/>
      <c r="AN74" s="475"/>
      <c r="AO74" s="475"/>
      <c r="AP74" s="475"/>
      <c r="AQ74" s="475"/>
      <c r="AR74" s="475"/>
      <c r="AS74" s="475"/>
      <c r="AT74" s="475"/>
      <c r="AU74" s="475"/>
      <c r="AV74" s="475"/>
      <c r="AW74" s="475"/>
      <c r="AX74" s="475"/>
      <c r="AY74" s="475"/>
      <c r="AZ74" s="475"/>
      <c r="BA74" s="475"/>
      <c r="BB74" s="475"/>
      <c r="BC74" s="475"/>
      <c r="BD74" s="475"/>
      <c r="BE74" s="475"/>
      <c r="BF74" s="475"/>
      <c r="BG74" s="475"/>
      <c r="BH74" s="475"/>
      <c r="BI74" s="475"/>
      <c r="BJ74" s="475"/>
      <c r="BK74" s="475"/>
      <c r="BL74" s="475"/>
      <c r="BM74" s="475"/>
      <c r="BN74" s="475"/>
      <c r="BO74" s="475"/>
      <c r="BP74" s="475"/>
      <c r="BQ74" s="475"/>
      <c r="BR74" s="475"/>
      <c r="BS74" s="475"/>
      <c r="BT74" s="475"/>
      <c r="BU74" s="475"/>
      <c r="BV74" s="475"/>
      <c r="BW74" s="475"/>
      <c r="BX74" s="475"/>
      <c r="BY74" s="475"/>
      <c r="BZ74" s="475"/>
      <c r="CA74" s="475"/>
      <c r="CB74" s="475"/>
      <c r="CC74" s="475"/>
    </row>
    <row r="75" customFormat="false" ht="30" hidden="false" customHeight="true" outlineLevel="0" collapsed="false">
      <c r="A75" s="449" t="s">
        <v>1101</v>
      </c>
      <c r="B75" s="460" t="n">
        <v>46252</v>
      </c>
      <c r="C75" s="460" t="n">
        <v>46255</v>
      </c>
      <c r="D75" s="259" t="s">
        <v>312</v>
      </c>
      <c r="E75" s="461" t="n">
        <v>3</v>
      </c>
      <c r="F75" s="476" t="n">
        <v>46221</v>
      </c>
      <c r="G75" s="489" t="s">
        <v>1083</v>
      </c>
      <c r="H75" s="259" t="s">
        <v>1084</v>
      </c>
      <c r="I75" s="484" t="s">
        <v>1085</v>
      </c>
      <c r="J75" s="484" t="s">
        <v>1086</v>
      </c>
      <c r="K75" s="259" t="s">
        <v>1087</v>
      </c>
      <c r="L75" s="492" t="s">
        <v>1088</v>
      </c>
      <c r="M75" s="465" t="s">
        <v>1089</v>
      </c>
      <c r="N75" s="259" t="s">
        <v>697</v>
      </c>
      <c r="O75" s="466" t="s">
        <v>1090</v>
      </c>
      <c r="P75" s="259" t="s">
        <v>1022</v>
      </c>
      <c r="Q75" s="467" t="n">
        <v>1</v>
      </c>
      <c r="R75" s="467"/>
      <c r="S75" s="467" t="n">
        <v>12</v>
      </c>
      <c r="T75" s="466" t="n">
        <v>9</v>
      </c>
      <c r="U75" s="526"/>
      <c r="V75" s="469"/>
      <c r="W75" s="470" t="s">
        <v>658</v>
      </c>
      <c r="X75" s="471" t="n">
        <v>4000</v>
      </c>
      <c r="Y75" s="470" t="s">
        <v>658</v>
      </c>
      <c r="Z75" s="471" t="n">
        <v>2800</v>
      </c>
      <c r="AA75" s="470"/>
      <c r="AB75" s="473"/>
      <c r="AC75" s="473"/>
      <c r="AD75" s="466"/>
      <c r="AE75" s="466"/>
      <c r="AF75" s="475" t="n">
        <v>10</v>
      </c>
      <c r="AG75" s="481"/>
      <c r="AH75" s="475"/>
      <c r="AI75" s="475"/>
      <c r="AJ75" s="475"/>
      <c r="AK75" s="475"/>
      <c r="AL75" s="475"/>
      <c r="AM75" s="475"/>
      <c r="AN75" s="475"/>
      <c r="AO75" s="475"/>
      <c r="AP75" s="475"/>
      <c r="AQ75" s="475"/>
      <c r="AR75" s="475"/>
      <c r="AS75" s="475"/>
      <c r="AT75" s="475"/>
      <c r="AU75" s="475"/>
      <c r="AV75" s="475"/>
      <c r="AW75" s="475"/>
      <c r="AX75" s="475"/>
      <c r="AY75" s="475"/>
      <c r="AZ75" s="475"/>
      <c r="BA75" s="475"/>
      <c r="BB75" s="475"/>
      <c r="BC75" s="475"/>
      <c r="BD75" s="475"/>
      <c r="BE75" s="475"/>
      <c r="BF75" s="475"/>
      <c r="BG75" s="475"/>
      <c r="BH75" s="475"/>
      <c r="BI75" s="475"/>
      <c r="BJ75" s="475"/>
      <c r="BK75" s="475"/>
      <c r="BL75" s="475"/>
      <c r="BM75" s="475"/>
      <c r="BN75" s="475"/>
      <c r="BO75" s="475"/>
      <c r="BP75" s="475"/>
      <c r="BQ75" s="475"/>
      <c r="BR75" s="475"/>
      <c r="BS75" s="475"/>
      <c r="BT75" s="475"/>
      <c r="BU75" s="475"/>
      <c r="BV75" s="475"/>
      <c r="BW75" s="475"/>
      <c r="BX75" s="475"/>
      <c r="BY75" s="475"/>
      <c r="BZ75" s="475"/>
      <c r="CA75" s="475"/>
      <c r="CB75" s="475"/>
      <c r="CC75" s="475"/>
    </row>
    <row r="76" customFormat="false" ht="30" hidden="false" customHeight="true" outlineLevel="0" collapsed="false">
      <c r="A76" s="449" t="s">
        <v>1102</v>
      </c>
      <c r="B76" s="460" t="n">
        <v>46259</v>
      </c>
      <c r="C76" s="460" t="n">
        <v>46262</v>
      </c>
      <c r="D76" s="259" t="s">
        <v>312</v>
      </c>
      <c r="E76" s="461" t="n">
        <v>3</v>
      </c>
      <c r="F76" s="476" t="n">
        <v>46228</v>
      </c>
      <c r="G76" s="489" t="s">
        <v>1083</v>
      </c>
      <c r="H76" s="259" t="s">
        <v>1084</v>
      </c>
      <c r="I76" s="484" t="s">
        <v>1085</v>
      </c>
      <c r="J76" s="484" t="s">
        <v>1086</v>
      </c>
      <c r="K76" s="259" t="s">
        <v>1087</v>
      </c>
      <c r="L76" s="492" t="s">
        <v>1088</v>
      </c>
      <c r="M76" s="465" t="s">
        <v>1089</v>
      </c>
      <c r="N76" s="259" t="s">
        <v>697</v>
      </c>
      <c r="O76" s="466" t="s">
        <v>1090</v>
      </c>
      <c r="P76" s="259" t="s">
        <v>1022</v>
      </c>
      <c r="Q76" s="467" t="n">
        <v>1</v>
      </c>
      <c r="R76" s="467"/>
      <c r="S76" s="467" t="n">
        <v>12</v>
      </c>
      <c r="T76" s="466" t="n">
        <v>9</v>
      </c>
      <c r="U76" s="526"/>
      <c r="V76" s="469"/>
      <c r="W76" s="470" t="s">
        <v>658</v>
      </c>
      <c r="X76" s="471" t="n">
        <v>4000</v>
      </c>
      <c r="Y76" s="470" t="s">
        <v>658</v>
      </c>
      <c r="Z76" s="471" t="n">
        <v>2800</v>
      </c>
      <c r="AA76" s="470"/>
      <c r="AB76" s="473"/>
      <c r="AC76" s="473"/>
      <c r="AD76" s="466"/>
      <c r="AE76" s="466"/>
      <c r="AF76" s="475" t="n">
        <v>10</v>
      </c>
      <c r="AG76" s="481"/>
      <c r="AH76" s="475"/>
      <c r="AI76" s="475"/>
      <c r="AJ76" s="475"/>
      <c r="AK76" s="475"/>
      <c r="AL76" s="475"/>
      <c r="AM76" s="475"/>
      <c r="AN76" s="475"/>
      <c r="AO76" s="475"/>
      <c r="AP76" s="475"/>
      <c r="AQ76" s="475"/>
      <c r="AR76" s="475"/>
      <c r="AS76" s="475"/>
      <c r="AT76" s="475"/>
      <c r="AU76" s="475"/>
      <c r="AV76" s="475"/>
      <c r="AW76" s="475"/>
      <c r="AX76" s="475"/>
      <c r="AY76" s="475"/>
      <c r="AZ76" s="475"/>
      <c r="BA76" s="475"/>
      <c r="BB76" s="475"/>
      <c r="BC76" s="475"/>
      <c r="BD76" s="475"/>
      <c r="BE76" s="475"/>
      <c r="BF76" s="475"/>
      <c r="BG76" s="475"/>
      <c r="BH76" s="475"/>
      <c r="BI76" s="475"/>
      <c r="BJ76" s="475"/>
      <c r="BK76" s="475"/>
      <c r="BL76" s="475"/>
      <c r="BM76" s="475"/>
      <c r="BN76" s="475"/>
      <c r="BO76" s="475"/>
      <c r="BP76" s="475"/>
      <c r="BQ76" s="475"/>
      <c r="BR76" s="475"/>
      <c r="BS76" s="475"/>
      <c r="BT76" s="475"/>
      <c r="BU76" s="475"/>
      <c r="BV76" s="475"/>
      <c r="BW76" s="475"/>
      <c r="BX76" s="475"/>
      <c r="BY76" s="475"/>
      <c r="BZ76" s="475"/>
      <c r="CA76" s="475"/>
      <c r="CB76" s="475"/>
      <c r="CC76" s="475"/>
    </row>
    <row r="77" customFormat="false" ht="30" hidden="false" customHeight="true" outlineLevel="0" collapsed="false">
      <c r="A77" s="449" t="s">
        <v>1103</v>
      </c>
      <c r="B77" s="460"/>
      <c r="C77" s="460"/>
      <c r="D77" s="259"/>
      <c r="E77" s="461"/>
      <c r="F77" s="483"/>
      <c r="G77" s="489"/>
      <c r="H77" s="490"/>
      <c r="I77" s="259"/>
      <c r="J77" s="259"/>
      <c r="K77" s="259"/>
      <c r="L77" s="464"/>
      <c r="M77" s="533"/>
      <c r="N77" s="484"/>
      <c r="O77" s="484"/>
      <c r="P77" s="484"/>
      <c r="Q77" s="467"/>
      <c r="R77" s="467"/>
      <c r="S77" s="467"/>
      <c r="T77" s="466"/>
      <c r="U77" s="468"/>
      <c r="V77" s="469"/>
      <c r="W77" s="470"/>
      <c r="X77" s="471"/>
      <c r="Y77" s="470"/>
      <c r="Z77" s="471"/>
      <c r="AA77" s="470"/>
      <c r="AB77" s="466"/>
      <c r="AC77" s="466"/>
      <c r="AD77" s="466"/>
      <c r="AE77" s="466"/>
      <c r="AF77" s="466"/>
      <c r="AG77" s="478"/>
      <c r="AH77" s="475"/>
      <c r="AI77" s="475"/>
      <c r="AJ77" s="475"/>
      <c r="AK77" s="475"/>
      <c r="AL77" s="475"/>
      <c r="AM77" s="475"/>
      <c r="AN77" s="475"/>
      <c r="AO77" s="475"/>
      <c r="AP77" s="475"/>
      <c r="AQ77" s="475"/>
      <c r="AR77" s="475"/>
      <c r="AS77" s="475"/>
      <c r="AT77" s="475"/>
      <c r="AU77" s="475"/>
      <c r="AV77" s="475"/>
      <c r="AW77" s="475"/>
      <c r="AX77" s="475"/>
      <c r="AY77" s="475"/>
      <c r="AZ77" s="475"/>
      <c r="BA77" s="475"/>
      <c r="BB77" s="475"/>
      <c r="BC77" s="475"/>
      <c r="BD77" s="475"/>
      <c r="BE77" s="475"/>
      <c r="BF77" s="475"/>
      <c r="BG77" s="475"/>
      <c r="BH77" s="475"/>
      <c r="BI77" s="475"/>
      <c r="BJ77" s="475"/>
      <c r="BK77" s="475"/>
      <c r="BL77" s="475"/>
      <c r="BM77" s="475"/>
      <c r="BN77" s="475"/>
      <c r="BO77" s="475"/>
      <c r="BP77" s="475"/>
      <c r="BQ77" s="475"/>
      <c r="BR77" s="475"/>
      <c r="BS77" s="475"/>
      <c r="BT77" s="475"/>
      <c r="BU77" s="475"/>
      <c r="BV77" s="475"/>
      <c r="BW77" s="475"/>
      <c r="BX77" s="475"/>
      <c r="BY77" s="475"/>
      <c r="BZ77" s="475"/>
      <c r="CA77" s="475"/>
      <c r="CB77" s="475"/>
      <c r="CC77" s="475"/>
    </row>
    <row r="78" customFormat="false" ht="30" hidden="false" customHeight="true" outlineLevel="0" collapsed="false">
      <c r="A78" s="449" t="s">
        <v>1104</v>
      </c>
      <c r="B78" s="460"/>
      <c r="C78" s="460"/>
      <c r="D78" s="259"/>
      <c r="E78" s="461"/>
      <c r="F78" s="461"/>
      <c r="G78" s="489"/>
      <c r="H78" s="490"/>
      <c r="I78" s="259"/>
      <c r="J78" s="259"/>
      <c r="K78" s="259"/>
      <c r="L78" s="464"/>
      <c r="M78" s="533"/>
      <c r="N78" s="484"/>
      <c r="O78" s="484"/>
      <c r="P78" s="484"/>
      <c r="Q78" s="467"/>
      <c r="R78" s="467"/>
      <c r="S78" s="467"/>
      <c r="T78" s="466"/>
      <c r="U78" s="468"/>
      <c r="V78" s="469"/>
      <c r="W78" s="470"/>
      <c r="X78" s="471"/>
      <c r="Y78" s="470"/>
      <c r="Z78" s="471"/>
      <c r="AA78" s="470"/>
      <c r="AB78" s="466"/>
      <c r="AC78" s="466"/>
      <c r="AD78" s="466"/>
      <c r="AE78" s="466"/>
      <c r="AF78" s="466"/>
      <c r="AG78" s="478"/>
      <c r="AH78" s="475"/>
      <c r="AI78" s="475"/>
      <c r="AJ78" s="475"/>
      <c r="AK78" s="475"/>
      <c r="AL78" s="475"/>
      <c r="AM78" s="475"/>
      <c r="AN78" s="475"/>
      <c r="AO78" s="475"/>
      <c r="AP78" s="475"/>
      <c r="AQ78" s="475"/>
      <c r="AR78" s="475"/>
      <c r="AS78" s="475"/>
      <c r="AT78" s="475"/>
      <c r="AU78" s="475"/>
      <c r="AV78" s="475"/>
      <c r="AW78" s="475"/>
      <c r="AX78" s="475"/>
      <c r="AY78" s="475"/>
      <c r="AZ78" s="475"/>
      <c r="BA78" s="475"/>
      <c r="BB78" s="475"/>
      <c r="BC78" s="475"/>
      <c r="BD78" s="475"/>
      <c r="BE78" s="475"/>
      <c r="BF78" s="475"/>
      <c r="BG78" s="475"/>
      <c r="BH78" s="475"/>
      <c r="BI78" s="475"/>
      <c r="BJ78" s="475"/>
      <c r="BK78" s="475"/>
      <c r="BL78" s="475"/>
      <c r="BM78" s="475"/>
      <c r="BN78" s="475"/>
      <c r="BO78" s="475"/>
      <c r="BP78" s="475"/>
      <c r="BQ78" s="475"/>
      <c r="BR78" s="475"/>
      <c r="BS78" s="475"/>
      <c r="BT78" s="475"/>
      <c r="BU78" s="475"/>
      <c r="BV78" s="475"/>
      <c r="BW78" s="475"/>
      <c r="BX78" s="475"/>
      <c r="BY78" s="475"/>
      <c r="BZ78" s="475"/>
      <c r="CA78" s="475"/>
      <c r="CB78" s="475"/>
      <c r="CC78" s="475"/>
    </row>
    <row r="79" customFormat="false" ht="30" hidden="false" customHeight="true" outlineLevel="0" collapsed="false">
      <c r="A79" s="449" t="s">
        <v>1105</v>
      </c>
      <c r="B79" s="460"/>
      <c r="C79" s="460"/>
      <c r="D79" s="259"/>
      <c r="E79" s="461"/>
      <c r="F79" s="461"/>
      <c r="G79" s="489"/>
      <c r="H79" s="490"/>
      <c r="I79" s="259"/>
      <c r="J79" s="259"/>
      <c r="K79" s="259"/>
      <c r="L79" s="464"/>
      <c r="M79" s="484"/>
      <c r="N79" s="484"/>
      <c r="O79" s="484"/>
      <c r="P79" s="484"/>
      <c r="Q79" s="467"/>
      <c r="R79" s="467"/>
      <c r="S79" s="467"/>
      <c r="T79" s="466"/>
      <c r="U79" s="468"/>
      <c r="V79" s="469"/>
      <c r="W79" s="470"/>
      <c r="X79" s="471"/>
      <c r="Y79" s="470"/>
      <c r="Z79" s="471"/>
      <c r="AA79" s="470"/>
      <c r="AB79" s="466"/>
      <c r="AC79" s="466"/>
      <c r="AD79" s="466"/>
      <c r="AE79" s="466"/>
      <c r="AF79" s="466"/>
      <c r="AG79" s="478"/>
      <c r="AH79" s="475"/>
      <c r="AI79" s="475"/>
      <c r="AJ79" s="475"/>
      <c r="AK79" s="475"/>
      <c r="AL79" s="475"/>
      <c r="AM79" s="475"/>
      <c r="AN79" s="475"/>
      <c r="AO79" s="475"/>
      <c r="AP79" s="475"/>
      <c r="AQ79" s="475"/>
      <c r="AR79" s="475"/>
      <c r="AS79" s="475"/>
      <c r="AT79" s="475"/>
      <c r="AU79" s="475"/>
      <c r="AV79" s="475"/>
      <c r="AW79" s="475"/>
      <c r="AX79" s="475"/>
      <c r="AY79" s="475"/>
      <c r="AZ79" s="475"/>
      <c r="BA79" s="475"/>
      <c r="BB79" s="475"/>
      <c r="BC79" s="475"/>
      <c r="BD79" s="475"/>
      <c r="BE79" s="475"/>
      <c r="BF79" s="475"/>
      <c r="BG79" s="475"/>
      <c r="BH79" s="475"/>
      <c r="BI79" s="475"/>
      <c r="BJ79" s="475"/>
      <c r="BK79" s="475"/>
      <c r="BL79" s="475"/>
      <c r="BM79" s="475"/>
      <c r="BN79" s="475"/>
      <c r="BO79" s="475"/>
      <c r="BP79" s="475"/>
      <c r="BQ79" s="475"/>
      <c r="BR79" s="475"/>
      <c r="BS79" s="475"/>
      <c r="BT79" s="475"/>
      <c r="BU79" s="475"/>
      <c r="BV79" s="475"/>
      <c r="BW79" s="475"/>
      <c r="BX79" s="475"/>
      <c r="BY79" s="475"/>
      <c r="BZ79" s="475"/>
      <c r="CA79" s="475"/>
      <c r="CB79" s="475"/>
      <c r="CC79" s="475"/>
    </row>
    <row r="80" customFormat="false" ht="30" hidden="false" customHeight="true" outlineLevel="0" collapsed="false">
      <c r="A80" s="449" t="s">
        <v>1106</v>
      </c>
      <c r="B80" s="460"/>
      <c r="C80" s="460"/>
      <c r="D80" s="259"/>
      <c r="E80" s="461"/>
      <c r="F80" s="461"/>
      <c r="G80" s="489"/>
      <c r="H80" s="490"/>
      <c r="I80" s="259"/>
      <c r="J80" s="259"/>
      <c r="K80" s="259"/>
      <c r="L80" s="464"/>
      <c r="M80" s="484"/>
      <c r="N80" s="484"/>
      <c r="O80" s="484"/>
      <c r="P80" s="484"/>
      <c r="Q80" s="467"/>
      <c r="R80" s="467"/>
      <c r="S80" s="467"/>
      <c r="T80" s="466"/>
      <c r="U80" s="468"/>
      <c r="V80" s="469"/>
      <c r="W80" s="470"/>
      <c r="X80" s="471"/>
      <c r="Y80" s="470"/>
      <c r="Z80" s="471"/>
      <c r="AA80" s="470"/>
      <c r="AB80" s="466"/>
      <c r="AC80" s="466"/>
      <c r="AD80" s="466"/>
      <c r="AE80" s="466"/>
      <c r="AF80" s="466"/>
      <c r="AG80" s="478"/>
      <c r="AH80" s="475"/>
      <c r="AI80" s="475"/>
      <c r="AJ80" s="475"/>
      <c r="AK80" s="475"/>
      <c r="AL80" s="475"/>
      <c r="AM80" s="475"/>
      <c r="AN80" s="475"/>
      <c r="AO80" s="475"/>
      <c r="AP80" s="475"/>
      <c r="AQ80" s="475"/>
      <c r="AR80" s="475"/>
      <c r="AS80" s="475"/>
      <c r="AT80" s="475"/>
      <c r="AU80" s="475"/>
      <c r="AV80" s="475"/>
      <c r="AW80" s="475"/>
      <c r="AX80" s="475"/>
      <c r="AY80" s="475"/>
      <c r="AZ80" s="475"/>
      <c r="BA80" s="475"/>
      <c r="BB80" s="475"/>
      <c r="BC80" s="475"/>
      <c r="BD80" s="475"/>
      <c r="BE80" s="475"/>
      <c r="BF80" s="475"/>
      <c r="BG80" s="475"/>
      <c r="BH80" s="475"/>
      <c r="BI80" s="475"/>
      <c r="BJ80" s="475"/>
      <c r="BK80" s="475"/>
      <c r="BL80" s="475"/>
      <c r="BM80" s="475"/>
      <c r="BN80" s="475"/>
      <c r="BO80" s="475"/>
      <c r="BP80" s="475"/>
      <c r="BQ80" s="475"/>
      <c r="BR80" s="475"/>
      <c r="BS80" s="475"/>
      <c r="BT80" s="475"/>
      <c r="BU80" s="475"/>
      <c r="BV80" s="475"/>
      <c r="BW80" s="475"/>
      <c r="BX80" s="475"/>
      <c r="BY80" s="475"/>
      <c r="BZ80" s="475"/>
      <c r="CA80" s="475"/>
      <c r="CB80" s="475"/>
      <c r="CC80" s="475"/>
    </row>
    <row r="81" customFormat="false" ht="30" hidden="false" customHeight="true" outlineLevel="0" collapsed="false">
      <c r="A81" s="449" t="s">
        <v>1107</v>
      </c>
      <c r="B81" s="460"/>
      <c r="C81" s="460"/>
      <c r="D81" s="259"/>
      <c r="E81" s="461"/>
      <c r="F81" s="461"/>
      <c r="G81" s="489"/>
      <c r="H81" s="490"/>
      <c r="I81" s="259"/>
      <c r="J81" s="259"/>
      <c r="K81" s="259"/>
      <c r="L81" s="464"/>
      <c r="M81" s="484"/>
      <c r="N81" s="484"/>
      <c r="O81" s="484"/>
      <c r="P81" s="484"/>
      <c r="Q81" s="467"/>
      <c r="R81" s="467"/>
      <c r="S81" s="467"/>
      <c r="T81" s="466"/>
      <c r="U81" s="468"/>
      <c r="V81" s="469"/>
      <c r="W81" s="470"/>
      <c r="X81" s="471"/>
      <c r="Y81" s="470"/>
      <c r="Z81" s="471"/>
      <c r="AA81" s="470"/>
      <c r="AB81" s="466"/>
      <c r="AC81" s="466"/>
      <c r="AD81" s="466"/>
      <c r="AE81" s="466"/>
      <c r="AF81" s="466"/>
      <c r="AG81" s="478"/>
      <c r="AH81" s="475"/>
      <c r="AI81" s="475"/>
      <c r="AJ81" s="475"/>
      <c r="AK81" s="475"/>
      <c r="AL81" s="475"/>
      <c r="AM81" s="475"/>
      <c r="AN81" s="475"/>
      <c r="AO81" s="475"/>
      <c r="AP81" s="475"/>
      <c r="AQ81" s="475"/>
      <c r="AR81" s="475"/>
      <c r="AS81" s="475"/>
      <c r="AT81" s="475"/>
      <c r="AU81" s="475"/>
      <c r="AV81" s="475"/>
      <c r="AW81" s="475"/>
      <c r="AX81" s="475"/>
      <c r="AY81" s="475"/>
      <c r="AZ81" s="475"/>
      <c r="BA81" s="475"/>
      <c r="BB81" s="475"/>
      <c r="BC81" s="475"/>
      <c r="BD81" s="475"/>
      <c r="BE81" s="475"/>
      <c r="BF81" s="475"/>
      <c r="BG81" s="475"/>
      <c r="BH81" s="475"/>
      <c r="BI81" s="475"/>
      <c r="BJ81" s="475"/>
      <c r="BK81" s="475"/>
      <c r="BL81" s="475"/>
      <c r="BM81" s="475"/>
      <c r="BN81" s="475"/>
      <c r="BO81" s="475"/>
      <c r="BP81" s="475"/>
      <c r="BQ81" s="475"/>
      <c r="BR81" s="475"/>
      <c r="BS81" s="475"/>
      <c r="BT81" s="475"/>
      <c r="BU81" s="475"/>
      <c r="BV81" s="475"/>
      <c r="BW81" s="475"/>
      <c r="BX81" s="475"/>
      <c r="BY81" s="475"/>
      <c r="BZ81" s="475"/>
      <c r="CA81" s="475"/>
      <c r="CB81" s="475"/>
      <c r="CC81" s="475"/>
    </row>
    <row r="82" customFormat="false" ht="30" hidden="false" customHeight="true" outlineLevel="0" collapsed="false">
      <c r="A82" s="449" t="s">
        <v>1108</v>
      </c>
      <c r="B82" s="460"/>
      <c r="C82" s="460"/>
      <c r="D82" s="259"/>
      <c r="E82" s="461"/>
      <c r="F82" s="461"/>
      <c r="G82" s="489"/>
      <c r="H82" s="490"/>
      <c r="I82" s="259"/>
      <c r="J82" s="259"/>
      <c r="K82" s="259"/>
      <c r="L82" s="464"/>
      <c r="M82" s="533"/>
      <c r="N82" s="484"/>
      <c r="O82" s="484"/>
      <c r="P82" s="484"/>
      <c r="Q82" s="467"/>
      <c r="R82" s="467"/>
      <c r="S82" s="467"/>
      <c r="T82" s="466"/>
      <c r="U82" s="468"/>
      <c r="V82" s="469"/>
      <c r="W82" s="470"/>
      <c r="X82" s="471"/>
      <c r="Y82" s="470"/>
      <c r="Z82" s="471"/>
      <c r="AA82" s="470"/>
      <c r="AB82" s="466"/>
      <c r="AC82" s="466"/>
      <c r="AD82" s="466"/>
      <c r="AE82" s="466"/>
      <c r="AF82" s="466"/>
      <c r="AG82" s="478"/>
      <c r="AH82" s="475"/>
      <c r="AI82" s="475"/>
      <c r="AJ82" s="475"/>
      <c r="AK82" s="475"/>
      <c r="AL82" s="475"/>
      <c r="AM82" s="475"/>
      <c r="AN82" s="475"/>
      <c r="AO82" s="475"/>
      <c r="AP82" s="475"/>
      <c r="AQ82" s="475"/>
      <c r="AR82" s="475"/>
      <c r="AS82" s="475"/>
      <c r="AT82" s="475"/>
      <c r="AU82" s="475"/>
      <c r="AV82" s="475"/>
      <c r="AW82" s="475"/>
      <c r="AX82" s="475"/>
      <c r="AY82" s="475"/>
      <c r="AZ82" s="475"/>
      <c r="BA82" s="475"/>
      <c r="BB82" s="475"/>
      <c r="BC82" s="475"/>
      <c r="BD82" s="475"/>
      <c r="BE82" s="475"/>
      <c r="BF82" s="475"/>
      <c r="BG82" s="475"/>
      <c r="BH82" s="475"/>
      <c r="BI82" s="475"/>
      <c r="BJ82" s="475"/>
      <c r="BK82" s="475"/>
      <c r="BL82" s="475"/>
      <c r="BM82" s="475"/>
      <c r="BN82" s="475"/>
      <c r="BO82" s="475"/>
      <c r="BP82" s="475"/>
      <c r="BQ82" s="475"/>
      <c r="BR82" s="475"/>
      <c r="BS82" s="475"/>
      <c r="BT82" s="475"/>
      <c r="BU82" s="475"/>
      <c r="BV82" s="475"/>
      <c r="BW82" s="475"/>
      <c r="BX82" s="475"/>
      <c r="BY82" s="475"/>
      <c r="BZ82" s="475"/>
      <c r="CA82" s="475"/>
      <c r="CB82" s="475"/>
      <c r="CC82" s="475"/>
    </row>
    <row r="83" customFormat="false" ht="30" hidden="false" customHeight="true" outlineLevel="0" collapsed="false">
      <c r="A83" s="449" t="s">
        <v>1109</v>
      </c>
      <c r="B83" s="460"/>
      <c r="C83" s="460"/>
      <c r="D83" s="538"/>
      <c r="E83" s="461"/>
      <c r="F83" s="461"/>
      <c r="G83" s="486"/>
      <c r="H83" s="490"/>
      <c r="I83" s="259"/>
      <c r="J83" s="259"/>
      <c r="K83" s="259"/>
      <c r="L83" s="464"/>
      <c r="M83" s="533"/>
      <c r="N83" s="484"/>
      <c r="O83" s="466"/>
      <c r="P83" s="484"/>
      <c r="Q83" s="467"/>
      <c r="R83" s="467"/>
      <c r="S83" s="467"/>
      <c r="T83" s="466"/>
      <c r="U83" s="468"/>
      <c r="V83" s="469"/>
      <c r="W83" s="470"/>
      <c r="X83" s="471"/>
      <c r="Y83" s="470"/>
      <c r="Z83" s="471"/>
      <c r="AA83" s="470"/>
      <c r="AB83" s="466"/>
      <c r="AC83" s="466"/>
      <c r="AD83" s="466"/>
      <c r="AE83" s="466"/>
      <c r="AF83" s="466"/>
      <c r="AG83" s="478"/>
      <c r="AH83" s="475"/>
      <c r="AI83" s="475"/>
      <c r="AJ83" s="475"/>
      <c r="AK83" s="475"/>
      <c r="AL83" s="475"/>
      <c r="AM83" s="475"/>
      <c r="AN83" s="475"/>
      <c r="AO83" s="475"/>
      <c r="AP83" s="475"/>
      <c r="AQ83" s="475"/>
      <c r="AR83" s="475"/>
      <c r="AS83" s="475"/>
      <c r="AT83" s="475"/>
      <c r="AU83" s="475"/>
      <c r="AV83" s="475"/>
      <c r="AW83" s="475"/>
      <c r="AX83" s="475"/>
      <c r="AY83" s="475"/>
      <c r="AZ83" s="475"/>
      <c r="BA83" s="475"/>
      <c r="BB83" s="475"/>
      <c r="BC83" s="475"/>
      <c r="BD83" s="475"/>
      <c r="BE83" s="475"/>
      <c r="BF83" s="475"/>
      <c r="BG83" s="475"/>
      <c r="BH83" s="475"/>
      <c r="BI83" s="475"/>
      <c r="BJ83" s="475"/>
      <c r="BK83" s="475"/>
      <c r="BL83" s="475"/>
      <c r="BM83" s="475"/>
      <c r="BN83" s="475"/>
      <c r="BO83" s="475"/>
      <c r="BP83" s="475"/>
      <c r="BQ83" s="475"/>
      <c r="BR83" s="475"/>
      <c r="BS83" s="475"/>
      <c r="BT83" s="475"/>
      <c r="BU83" s="475"/>
      <c r="BV83" s="475"/>
      <c r="BW83" s="475"/>
      <c r="BX83" s="475"/>
      <c r="BY83" s="475"/>
      <c r="BZ83" s="475"/>
      <c r="CA83" s="475"/>
      <c r="CB83" s="475"/>
      <c r="CC83" s="475"/>
    </row>
    <row r="84" customFormat="false" ht="30" hidden="false" customHeight="true" outlineLevel="0" collapsed="false">
      <c r="A84" s="449" t="s">
        <v>1110</v>
      </c>
      <c r="B84" s="460"/>
      <c r="C84" s="460"/>
      <c r="D84" s="538"/>
      <c r="E84" s="461"/>
      <c r="F84" s="461"/>
      <c r="G84" s="486"/>
      <c r="H84" s="490"/>
      <c r="I84" s="484"/>
      <c r="J84" s="484"/>
      <c r="K84" s="484"/>
      <c r="L84" s="464"/>
      <c r="M84" s="533"/>
      <c r="N84" s="484"/>
      <c r="O84" s="484"/>
      <c r="P84" s="484"/>
      <c r="Q84" s="467"/>
      <c r="R84" s="467"/>
      <c r="S84" s="467"/>
      <c r="T84" s="466"/>
      <c r="U84" s="468"/>
      <c r="V84" s="469"/>
      <c r="W84" s="470"/>
      <c r="X84" s="471"/>
      <c r="Y84" s="470"/>
      <c r="Z84" s="471"/>
      <c r="AA84" s="470"/>
      <c r="AB84" s="466"/>
      <c r="AC84" s="466"/>
      <c r="AD84" s="466"/>
      <c r="AE84" s="466"/>
      <c r="AF84" s="466"/>
      <c r="AG84" s="478"/>
      <c r="AH84" s="475"/>
      <c r="AI84" s="475"/>
      <c r="AJ84" s="475"/>
      <c r="AK84" s="475"/>
      <c r="AL84" s="475"/>
      <c r="AM84" s="475"/>
      <c r="AN84" s="475"/>
      <c r="AO84" s="475"/>
      <c r="AP84" s="475"/>
      <c r="AQ84" s="475"/>
      <c r="AR84" s="475"/>
      <c r="AS84" s="475"/>
      <c r="AT84" s="475"/>
      <c r="AU84" s="475"/>
      <c r="AV84" s="475"/>
      <c r="AW84" s="475"/>
      <c r="AX84" s="475"/>
      <c r="AY84" s="475"/>
      <c r="AZ84" s="475"/>
      <c r="BA84" s="475"/>
      <c r="BB84" s="475"/>
      <c r="BC84" s="475"/>
      <c r="BD84" s="475"/>
      <c r="BE84" s="475"/>
      <c r="BF84" s="475"/>
      <c r="BG84" s="475"/>
      <c r="BH84" s="475"/>
      <c r="BI84" s="475"/>
      <c r="BJ84" s="475"/>
      <c r="BK84" s="475"/>
      <c r="BL84" s="475"/>
      <c r="BM84" s="475"/>
      <c r="BN84" s="475"/>
      <c r="BO84" s="475"/>
      <c r="BP84" s="475"/>
      <c r="BQ84" s="475"/>
      <c r="BR84" s="475"/>
      <c r="BS84" s="475"/>
      <c r="BT84" s="475"/>
      <c r="BU84" s="475"/>
      <c r="BV84" s="475"/>
      <c r="BW84" s="475"/>
      <c r="BX84" s="475"/>
      <c r="BY84" s="475"/>
      <c r="BZ84" s="475"/>
      <c r="CA84" s="475"/>
      <c r="CB84" s="475"/>
      <c r="CC84" s="475"/>
    </row>
    <row r="85" customFormat="false" ht="30" hidden="false" customHeight="true" outlineLevel="0" collapsed="false">
      <c r="A85" s="449" t="s">
        <v>1111</v>
      </c>
      <c r="B85" s="460"/>
      <c r="C85" s="460"/>
      <c r="D85" s="538"/>
      <c r="E85" s="461"/>
      <c r="F85" s="461"/>
      <c r="G85" s="486"/>
      <c r="H85" s="490"/>
      <c r="I85" s="484"/>
      <c r="J85" s="484"/>
      <c r="K85" s="484"/>
      <c r="L85" s="464"/>
      <c r="M85" s="533"/>
      <c r="N85" s="484"/>
      <c r="O85" s="484"/>
      <c r="P85" s="484"/>
      <c r="Q85" s="467"/>
      <c r="R85" s="467"/>
      <c r="S85" s="467"/>
      <c r="T85" s="466"/>
      <c r="U85" s="468"/>
      <c r="V85" s="469"/>
      <c r="W85" s="470"/>
      <c r="X85" s="471"/>
      <c r="Y85" s="470"/>
      <c r="Z85" s="471"/>
      <c r="AA85" s="470"/>
      <c r="AB85" s="466"/>
      <c r="AC85" s="466"/>
      <c r="AD85" s="466"/>
      <c r="AE85" s="466"/>
      <c r="AF85" s="466"/>
      <c r="AG85" s="478"/>
      <c r="AH85" s="475"/>
      <c r="AI85" s="475"/>
      <c r="AJ85" s="475"/>
      <c r="AK85" s="475"/>
      <c r="AL85" s="475"/>
      <c r="AM85" s="475"/>
      <c r="AN85" s="475"/>
      <c r="AO85" s="475"/>
      <c r="AP85" s="475"/>
      <c r="AQ85" s="475"/>
      <c r="AR85" s="475"/>
      <c r="AS85" s="475"/>
      <c r="AT85" s="475"/>
      <c r="AU85" s="475"/>
      <c r="AV85" s="475"/>
      <c r="AW85" s="475"/>
      <c r="AX85" s="475"/>
      <c r="AY85" s="475"/>
      <c r="AZ85" s="475"/>
      <c r="BA85" s="475"/>
      <c r="BB85" s="475"/>
      <c r="BC85" s="475"/>
      <c r="BD85" s="475"/>
      <c r="BE85" s="475"/>
      <c r="BF85" s="475"/>
      <c r="BG85" s="475"/>
      <c r="BH85" s="475"/>
      <c r="BI85" s="475"/>
      <c r="BJ85" s="475"/>
      <c r="BK85" s="475"/>
      <c r="BL85" s="475"/>
      <c r="BM85" s="475"/>
      <c r="BN85" s="475"/>
      <c r="BO85" s="475"/>
      <c r="BP85" s="475"/>
      <c r="BQ85" s="475"/>
      <c r="BR85" s="475"/>
      <c r="BS85" s="475"/>
      <c r="BT85" s="475"/>
      <c r="BU85" s="475"/>
      <c r="BV85" s="475"/>
      <c r="BW85" s="475"/>
      <c r="BX85" s="475"/>
      <c r="BY85" s="475"/>
      <c r="BZ85" s="475"/>
      <c r="CA85" s="475"/>
      <c r="CB85" s="475"/>
      <c r="CC85" s="475"/>
    </row>
    <row r="86" customFormat="false" ht="30" hidden="false" customHeight="true" outlineLevel="0" collapsed="false">
      <c r="A86" s="449" t="s">
        <v>1112</v>
      </c>
      <c r="B86" s="460"/>
      <c r="C86" s="460"/>
      <c r="D86" s="538"/>
      <c r="E86" s="461"/>
      <c r="F86" s="461"/>
      <c r="G86" s="486"/>
      <c r="H86" s="490"/>
      <c r="I86" s="484"/>
      <c r="J86" s="484"/>
      <c r="K86" s="484"/>
      <c r="L86" s="464"/>
      <c r="M86" s="533"/>
      <c r="N86" s="484"/>
      <c r="O86" s="484"/>
      <c r="P86" s="484"/>
      <c r="Q86" s="467"/>
      <c r="R86" s="467"/>
      <c r="S86" s="467"/>
      <c r="T86" s="466"/>
      <c r="U86" s="468"/>
      <c r="V86" s="469"/>
      <c r="W86" s="470"/>
      <c r="X86" s="471"/>
      <c r="Y86" s="470"/>
      <c r="Z86" s="471"/>
      <c r="AA86" s="470"/>
      <c r="AB86" s="466"/>
      <c r="AC86" s="466"/>
      <c r="AD86" s="466"/>
      <c r="AE86" s="466"/>
      <c r="AF86" s="466"/>
      <c r="AG86" s="478"/>
      <c r="AH86" s="475"/>
      <c r="AI86" s="475"/>
      <c r="AJ86" s="475"/>
      <c r="AK86" s="475"/>
      <c r="AL86" s="475"/>
      <c r="AM86" s="475"/>
      <c r="AN86" s="475"/>
      <c r="AO86" s="475"/>
      <c r="AP86" s="475"/>
      <c r="AQ86" s="475"/>
      <c r="AR86" s="475"/>
      <c r="AS86" s="475"/>
      <c r="AT86" s="475"/>
      <c r="AU86" s="475"/>
      <c r="AV86" s="475"/>
      <c r="AW86" s="475"/>
      <c r="AX86" s="475"/>
      <c r="AY86" s="475"/>
      <c r="AZ86" s="475"/>
      <c r="BA86" s="475"/>
      <c r="BB86" s="475"/>
      <c r="BC86" s="475"/>
      <c r="BD86" s="475"/>
      <c r="BE86" s="475"/>
      <c r="BF86" s="475"/>
      <c r="BG86" s="475"/>
      <c r="BH86" s="475"/>
      <c r="BI86" s="475"/>
      <c r="BJ86" s="475"/>
      <c r="BK86" s="475"/>
      <c r="BL86" s="475"/>
      <c r="BM86" s="475"/>
      <c r="BN86" s="475"/>
      <c r="BO86" s="475"/>
      <c r="BP86" s="475"/>
      <c r="BQ86" s="475"/>
      <c r="BR86" s="475"/>
      <c r="BS86" s="475"/>
      <c r="BT86" s="475"/>
      <c r="BU86" s="475"/>
      <c r="BV86" s="475"/>
      <c r="BW86" s="475"/>
      <c r="BX86" s="475"/>
      <c r="BY86" s="475"/>
      <c r="BZ86" s="475"/>
      <c r="CA86" s="475"/>
      <c r="CB86" s="475"/>
      <c r="CC86" s="475"/>
    </row>
    <row r="87" customFormat="false" ht="30" hidden="false" customHeight="true" outlineLevel="0" collapsed="false">
      <c r="A87" s="449" t="s">
        <v>1113</v>
      </c>
      <c r="B87" s="460"/>
      <c r="C87" s="460"/>
      <c r="D87" s="259"/>
      <c r="E87" s="461"/>
      <c r="F87" s="461"/>
      <c r="G87" s="486"/>
      <c r="H87" s="490"/>
      <c r="I87" s="484"/>
      <c r="J87" s="484"/>
      <c r="K87" s="484"/>
      <c r="L87" s="539"/>
      <c r="M87" s="484"/>
      <c r="N87" s="484"/>
      <c r="O87" s="484"/>
      <c r="P87" s="484"/>
      <c r="Q87" s="467"/>
      <c r="R87" s="467"/>
      <c r="S87" s="467"/>
      <c r="T87" s="466"/>
      <c r="U87" s="468"/>
      <c r="V87" s="469"/>
      <c r="W87" s="470"/>
      <c r="X87" s="471"/>
      <c r="Y87" s="470"/>
      <c r="Z87" s="471"/>
      <c r="AA87" s="470"/>
      <c r="AB87" s="466"/>
      <c r="AC87" s="466"/>
      <c r="AD87" s="466"/>
      <c r="AE87" s="466"/>
      <c r="AF87" s="466"/>
      <c r="AG87" s="478"/>
      <c r="AH87" s="475"/>
      <c r="AI87" s="475"/>
      <c r="AJ87" s="475"/>
      <c r="AK87" s="475"/>
      <c r="AL87" s="475"/>
      <c r="AM87" s="475"/>
      <c r="AN87" s="475"/>
      <c r="AO87" s="475"/>
      <c r="AP87" s="475"/>
      <c r="AQ87" s="475"/>
      <c r="AR87" s="475"/>
      <c r="AS87" s="475"/>
      <c r="AT87" s="475"/>
      <c r="AU87" s="475"/>
      <c r="AV87" s="475"/>
      <c r="AW87" s="475"/>
      <c r="AX87" s="475"/>
      <c r="AY87" s="475"/>
      <c r="AZ87" s="475"/>
      <c r="BA87" s="475"/>
      <c r="BB87" s="475"/>
      <c r="BC87" s="475"/>
      <c r="BD87" s="475"/>
      <c r="BE87" s="475"/>
      <c r="BF87" s="475"/>
      <c r="BG87" s="475"/>
      <c r="BH87" s="475"/>
      <c r="BI87" s="475"/>
      <c r="BJ87" s="475"/>
      <c r="BK87" s="475"/>
      <c r="BL87" s="475"/>
      <c r="BM87" s="475"/>
      <c r="BN87" s="475"/>
      <c r="BO87" s="475"/>
      <c r="BP87" s="475"/>
      <c r="BQ87" s="475"/>
      <c r="BR87" s="475"/>
      <c r="BS87" s="475"/>
      <c r="BT87" s="475"/>
      <c r="BU87" s="475"/>
      <c r="BV87" s="475"/>
      <c r="BW87" s="475"/>
      <c r="BX87" s="475"/>
      <c r="BY87" s="475"/>
      <c r="BZ87" s="475"/>
      <c r="CA87" s="475"/>
      <c r="CB87" s="475"/>
      <c r="CC87" s="475"/>
    </row>
    <row r="88" customFormat="false" ht="30" hidden="false" customHeight="true" outlineLevel="0" collapsed="false">
      <c r="A88" s="449" t="s">
        <v>1114</v>
      </c>
      <c r="B88" s="460"/>
      <c r="C88" s="460"/>
      <c r="D88" s="259"/>
      <c r="E88" s="461"/>
      <c r="F88" s="461"/>
      <c r="G88" s="486"/>
      <c r="H88" s="490"/>
      <c r="I88" s="484"/>
      <c r="J88" s="484"/>
      <c r="K88" s="484"/>
      <c r="L88" s="540"/>
      <c r="M88" s="533"/>
      <c r="N88" s="484"/>
      <c r="O88" s="466"/>
      <c r="P88" s="484"/>
      <c r="Q88" s="467"/>
      <c r="R88" s="467"/>
      <c r="S88" s="467"/>
      <c r="T88" s="466"/>
      <c r="U88" s="468"/>
      <c r="V88" s="469"/>
      <c r="W88" s="470"/>
      <c r="X88" s="471"/>
      <c r="Y88" s="470"/>
      <c r="Z88" s="471"/>
      <c r="AA88" s="470"/>
      <c r="AB88" s="466"/>
      <c r="AC88" s="466"/>
      <c r="AD88" s="466"/>
      <c r="AE88" s="466"/>
      <c r="AF88" s="466"/>
      <c r="AG88" s="478"/>
      <c r="AH88" s="475"/>
      <c r="AI88" s="475"/>
      <c r="AJ88" s="475"/>
      <c r="AK88" s="475"/>
      <c r="AL88" s="475"/>
      <c r="AM88" s="475"/>
      <c r="AN88" s="475"/>
      <c r="AO88" s="475"/>
      <c r="AP88" s="475"/>
      <c r="AQ88" s="475"/>
      <c r="AR88" s="475"/>
      <c r="AS88" s="475"/>
      <c r="AT88" s="475"/>
      <c r="AU88" s="475"/>
      <c r="AV88" s="475"/>
      <c r="AW88" s="475"/>
      <c r="AX88" s="475"/>
      <c r="AY88" s="475"/>
      <c r="AZ88" s="475"/>
      <c r="BA88" s="475"/>
      <c r="BB88" s="475"/>
      <c r="BC88" s="475"/>
      <c r="BD88" s="475"/>
      <c r="BE88" s="475"/>
      <c r="BF88" s="475"/>
      <c r="BG88" s="475"/>
      <c r="BH88" s="475"/>
      <c r="BI88" s="475"/>
      <c r="BJ88" s="475"/>
      <c r="BK88" s="475"/>
      <c r="BL88" s="475"/>
      <c r="BM88" s="475"/>
      <c r="BN88" s="475"/>
      <c r="BO88" s="475"/>
      <c r="BP88" s="475"/>
      <c r="BQ88" s="475"/>
      <c r="BR88" s="475"/>
      <c r="BS88" s="475"/>
      <c r="BT88" s="475"/>
      <c r="BU88" s="475"/>
      <c r="BV88" s="475"/>
      <c r="BW88" s="475"/>
      <c r="BX88" s="475"/>
      <c r="BY88" s="475"/>
      <c r="BZ88" s="475"/>
      <c r="CA88" s="475"/>
      <c r="CB88" s="475"/>
      <c r="CC88" s="475"/>
    </row>
    <row r="89" customFormat="false" ht="30" hidden="false" customHeight="true" outlineLevel="0" collapsed="false">
      <c r="A89" s="449" t="s">
        <v>1115</v>
      </c>
      <c r="B89" s="460"/>
      <c r="C89" s="460"/>
      <c r="D89" s="538"/>
      <c r="E89" s="461"/>
      <c r="F89" s="461"/>
      <c r="G89" s="486"/>
      <c r="H89" s="490"/>
      <c r="I89" s="484"/>
      <c r="J89" s="484"/>
      <c r="K89" s="484"/>
      <c r="L89" s="464"/>
      <c r="M89" s="484"/>
      <c r="N89" s="484"/>
      <c r="O89" s="484"/>
      <c r="P89" s="484"/>
      <c r="Q89" s="467"/>
      <c r="R89" s="467"/>
      <c r="S89" s="467"/>
      <c r="T89" s="466"/>
      <c r="U89" s="468"/>
      <c r="V89" s="469"/>
      <c r="W89" s="470"/>
      <c r="X89" s="471"/>
      <c r="Y89" s="470"/>
      <c r="Z89" s="471"/>
      <c r="AA89" s="470"/>
      <c r="AB89" s="466"/>
      <c r="AC89" s="466"/>
      <c r="AD89" s="466"/>
      <c r="AE89" s="466"/>
      <c r="AF89" s="466"/>
      <c r="AG89" s="478"/>
      <c r="AH89" s="475"/>
      <c r="AI89" s="475"/>
      <c r="AJ89" s="475"/>
      <c r="AK89" s="475"/>
      <c r="AL89" s="475"/>
      <c r="AM89" s="475"/>
      <c r="AN89" s="475"/>
      <c r="AO89" s="475"/>
      <c r="AP89" s="475"/>
      <c r="AQ89" s="475"/>
      <c r="AR89" s="475"/>
      <c r="AS89" s="475"/>
      <c r="AT89" s="475"/>
      <c r="AU89" s="475"/>
      <c r="AV89" s="475"/>
      <c r="AW89" s="475"/>
      <c r="AX89" s="475"/>
      <c r="AY89" s="475"/>
      <c r="AZ89" s="475"/>
      <c r="BA89" s="475"/>
      <c r="BB89" s="475"/>
      <c r="BC89" s="475"/>
      <c r="BD89" s="475"/>
      <c r="BE89" s="475"/>
      <c r="BF89" s="475"/>
      <c r="BG89" s="475"/>
      <c r="BH89" s="475"/>
      <c r="BI89" s="475"/>
      <c r="BJ89" s="475"/>
      <c r="BK89" s="475"/>
      <c r="BL89" s="475"/>
      <c r="BM89" s="475"/>
      <c r="BN89" s="475"/>
      <c r="BO89" s="475"/>
      <c r="BP89" s="475"/>
      <c r="BQ89" s="475"/>
      <c r="BR89" s="475"/>
      <c r="BS89" s="475"/>
      <c r="BT89" s="475"/>
      <c r="BU89" s="475"/>
      <c r="BV89" s="475"/>
      <c r="BW89" s="475"/>
      <c r="BX89" s="475"/>
      <c r="BY89" s="475"/>
      <c r="BZ89" s="475"/>
      <c r="CA89" s="475"/>
      <c r="CB89" s="475"/>
      <c r="CC89" s="475"/>
    </row>
    <row r="90" customFormat="false" ht="30" hidden="false" customHeight="true" outlineLevel="0" collapsed="false">
      <c r="A90" s="449" t="s">
        <v>1116</v>
      </c>
      <c r="B90" s="460"/>
      <c r="C90" s="460"/>
      <c r="D90" s="259"/>
      <c r="E90" s="461"/>
      <c r="F90" s="461"/>
      <c r="G90" s="486"/>
      <c r="H90" s="490"/>
      <c r="I90" s="484"/>
      <c r="J90" s="484"/>
      <c r="K90" s="484"/>
      <c r="L90" s="464"/>
      <c r="M90" s="484"/>
      <c r="N90" s="484"/>
      <c r="O90" s="484"/>
      <c r="P90" s="484"/>
      <c r="Q90" s="467"/>
      <c r="R90" s="467"/>
      <c r="S90" s="467"/>
      <c r="T90" s="466"/>
      <c r="U90" s="468"/>
      <c r="V90" s="469"/>
      <c r="W90" s="470"/>
      <c r="X90" s="471"/>
      <c r="Y90" s="470"/>
      <c r="Z90" s="471"/>
      <c r="AA90" s="470"/>
      <c r="AB90" s="466"/>
      <c r="AC90" s="466"/>
      <c r="AD90" s="466"/>
      <c r="AE90" s="466"/>
      <c r="AF90" s="466"/>
      <c r="AG90" s="478"/>
      <c r="AH90" s="475"/>
      <c r="AI90" s="475"/>
      <c r="AJ90" s="475"/>
      <c r="AK90" s="475"/>
      <c r="AL90" s="475"/>
      <c r="AM90" s="475"/>
      <c r="AN90" s="475"/>
      <c r="AO90" s="475"/>
      <c r="AP90" s="475"/>
      <c r="AQ90" s="475"/>
      <c r="AR90" s="475"/>
      <c r="AS90" s="475"/>
      <c r="AT90" s="475"/>
      <c r="AU90" s="475"/>
      <c r="AV90" s="475"/>
      <c r="AW90" s="475"/>
      <c r="AX90" s="475"/>
      <c r="AY90" s="475"/>
      <c r="AZ90" s="475"/>
      <c r="BA90" s="475"/>
      <c r="BB90" s="475"/>
      <c r="BC90" s="475"/>
      <c r="BD90" s="475"/>
      <c r="BE90" s="475"/>
      <c r="BF90" s="475"/>
      <c r="BG90" s="475"/>
      <c r="BH90" s="475"/>
      <c r="BI90" s="475"/>
      <c r="BJ90" s="475"/>
      <c r="BK90" s="475"/>
      <c r="BL90" s="475"/>
      <c r="BM90" s="475"/>
      <c r="BN90" s="475"/>
      <c r="BO90" s="475"/>
      <c r="BP90" s="475"/>
      <c r="BQ90" s="475"/>
      <c r="BR90" s="475"/>
      <c r="BS90" s="475"/>
      <c r="BT90" s="475"/>
      <c r="BU90" s="475"/>
      <c r="BV90" s="475"/>
      <c r="BW90" s="475"/>
      <c r="BX90" s="475"/>
      <c r="BY90" s="475"/>
      <c r="BZ90" s="475"/>
      <c r="CA90" s="475"/>
      <c r="CB90" s="475"/>
      <c r="CC90" s="475"/>
    </row>
    <row r="91" customFormat="false" ht="30" hidden="false" customHeight="true" outlineLevel="0" collapsed="false">
      <c r="A91" s="449" t="s">
        <v>1117</v>
      </c>
      <c r="B91" s="460"/>
      <c r="C91" s="460"/>
      <c r="D91" s="259"/>
      <c r="E91" s="461"/>
      <c r="F91" s="461"/>
      <c r="G91" s="486"/>
      <c r="H91" s="490"/>
      <c r="I91" s="484"/>
      <c r="J91" s="484"/>
      <c r="K91" s="484"/>
      <c r="L91" s="464"/>
      <c r="M91" s="484"/>
      <c r="N91" s="484"/>
      <c r="O91" s="484"/>
      <c r="P91" s="484"/>
      <c r="Q91" s="467"/>
      <c r="R91" s="467"/>
      <c r="S91" s="467"/>
      <c r="T91" s="466"/>
      <c r="U91" s="468"/>
      <c r="V91" s="469"/>
      <c r="W91" s="470"/>
      <c r="X91" s="471"/>
      <c r="Y91" s="470"/>
      <c r="Z91" s="471"/>
      <c r="AA91" s="470"/>
      <c r="AB91" s="466"/>
      <c r="AC91" s="466"/>
      <c r="AD91" s="466"/>
      <c r="AE91" s="466"/>
      <c r="AF91" s="466"/>
      <c r="AG91" s="478"/>
      <c r="AH91" s="475"/>
      <c r="AI91" s="475"/>
      <c r="AJ91" s="475"/>
      <c r="AK91" s="475"/>
      <c r="AL91" s="475"/>
      <c r="AM91" s="475"/>
      <c r="AN91" s="475"/>
      <c r="AO91" s="475"/>
      <c r="AP91" s="475"/>
      <c r="AQ91" s="475"/>
      <c r="AR91" s="475"/>
      <c r="AS91" s="475"/>
      <c r="AT91" s="475"/>
      <c r="AU91" s="475"/>
      <c r="AV91" s="475"/>
      <c r="AW91" s="475"/>
      <c r="AX91" s="475"/>
      <c r="AY91" s="475"/>
      <c r="AZ91" s="475"/>
      <c r="BA91" s="475"/>
      <c r="BB91" s="475"/>
      <c r="BC91" s="475"/>
      <c r="BD91" s="475"/>
      <c r="BE91" s="475"/>
      <c r="BF91" s="475"/>
      <c r="BG91" s="475"/>
      <c r="BH91" s="475"/>
      <c r="BI91" s="475"/>
      <c r="BJ91" s="475"/>
      <c r="BK91" s="475"/>
      <c r="BL91" s="475"/>
      <c r="BM91" s="475"/>
      <c r="BN91" s="475"/>
      <c r="BO91" s="475"/>
      <c r="BP91" s="475"/>
      <c r="BQ91" s="475"/>
      <c r="BR91" s="475"/>
      <c r="BS91" s="475"/>
      <c r="BT91" s="475"/>
      <c r="BU91" s="475"/>
      <c r="BV91" s="475"/>
      <c r="BW91" s="475"/>
      <c r="BX91" s="475"/>
      <c r="BY91" s="475"/>
      <c r="BZ91" s="475"/>
      <c r="CA91" s="475"/>
      <c r="CB91" s="475"/>
      <c r="CC91" s="475"/>
    </row>
    <row r="92" customFormat="false" ht="30" hidden="false" customHeight="true" outlineLevel="0" collapsed="false">
      <c r="A92" s="449" t="s">
        <v>1118</v>
      </c>
      <c r="B92" s="460"/>
      <c r="C92" s="460"/>
      <c r="D92" s="259"/>
      <c r="E92" s="461"/>
      <c r="F92" s="461"/>
      <c r="G92" s="486"/>
      <c r="H92" s="490"/>
      <c r="I92" s="484"/>
      <c r="J92" s="484"/>
      <c r="K92" s="484"/>
      <c r="L92" s="464"/>
      <c r="M92" s="484"/>
      <c r="N92" s="484"/>
      <c r="O92" s="484"/>
      <c r="P92" s="484"/>
      <c r="Q92" s="467"/>
      <c r="R92" s="467"/>
      <c r="S92" s="467"/>
      <c r="T92" s="466"/>
      <c r="U92" s="468"/>
      <c r="V92" s="469"/>
      <c r="W92" s="470"/>
      <c r="X92" s="471"/>
      <c r="Y92" s="470"/>
      <c r="Z92" s="471"/>
      <c r="AA92" s="470"/>
      <c r="AB92" s="466"/>
      <c r="AC92" s="466"/>
      <c r="AD92" s="466"/>
      <c r="AE92" s="466"/>
      <c r="AF92" s="466"/>
      <c r="AG92" s="478"/>
      <c r="AH92" s="475"/>
      <c r="AI92" s="475"/>
      <c r="AJ92" s="475"/>
      <c r="AK92" s="475"/>
      <c r="AL92" s="475"/>
      <c r="AM92" s="475"/>
      <c r="AN92" s="475"/>
      <c r="AO92" s="475"/>
      <c r="AP92" s="475"/>
      <c r="AQ92" s="475"/>
      <c r="AR92" s="475"/>
      <c r="AS92" s="475"/>
      <c r="AT92" s="475"/>
      <c r="AU92" s="475"/>
      <c r="AV92" s="475"/>
      <c r="AW92" s="475"/>
      <c r="AX92" s="475"/>
      <c r="AY92" s="475"/>
      <c r="AZ92" s="475"/>
      <c r="BA92" s="475"/>
      <c r="BB92" s="475"/>
      <c r="BC92" s="475"/>
      <c r="BD92" s="475"/>
      <c r="BE92" s="475"/>
      <c r="BF92" s="475"/>
      <c r="BG92" s="475"/>
      <c r="BH92" s="475"/>
      <c r="BI92" s="475"/>
      <c r="BJ92" s="475"/>
      <c r="BK92" s="475"/>
      <c r="BL92" s="475"/>
      <c r="BM92" s="475"/>
      <c r="BN92" s="475"/>
      <c r="BO92" s="475"/>
      <c r="BP92" s="475"/>
      <c r="BQ92" s="475"/>
      <c r="BR92" s="475"/>
      <c r="BS92" s="475"/>
      <c r="BT92" s="475"/>
      <c r="BU92" s="475"/>
      <c r="BV92" s="475"/>
      <c r="BW92" s="475"/>
      <c r="BX92" s="475"/>
      <c r="BY92" s="475"/>
      <c r="BZ92" s="475"/>
      <c r="CA92" s="475"/>
      <c r="CB92" s="475"/>
      <c r="CC92" s="475"/>
    </row>
    <row r="93" customFormat="false" ht="30" hidden="false" customHeight="true" outlineLevel="0" collapsed="false">
      <c r="A93" s="449" t="s">
        <v>1119</v>
      </c>
      <c r="B93" s="460"/>
      <c r="C93" s="460"/>
      <c r="D93" s="259"/>
      <c r="E93" s="461"/>
      <c r="F93" s="461"/>
      <c r="G93" s="486"/>
      <c r="H93" s="490"/>
      <c r="I93" s="484"/>
      <c r="J93" s="484"/>
      <c r="K93" s="484"/>
      <c r="L93" s="464"/>
      <c r="M93" s="465"/>
      <c r="N93" s="484"/>
      <c r="O93" s="466"/>
      <c r="P93" s="466"/>
      <c r="Q93" s="467"/>
      <c r="R93" s="467"/>
      <c r="S93" s="467"/>
      <c r="T93" s="466"/>
      <c r="U93" s="468"/>
      <c r="V93" s="469"/>
      <c r="W93" s="471"/>
      <c r="X93" s="471"/>
      <c r="Y93" s="471"/>
      <c r="Z93" s="471"/>
      <c r="AA93" s="470"/>
      <c r="AB93" s="466"/>
      <c r="AC93" s="466"/>
      <c r="AD93" s="466"/>
      <c r="AE93" s="466"/>
      <c r="AF93" s="466"/>
      <c r="AG93" s="478"/>
      <c r="AH93" s="475"/>
      <c r="AI93" s="475"/>
      <c r="AJ93" s="475"/>
      <c r="AK93" s="475"/>
      <c r="AL93" s="475"/>
      <c r="AM93" s="475"/>
      <c r="AN93" s="475"/>
      <c r="AO93" s="475"/>
      <c r="AP93" s="475"/>
      <c r="AQ93" s="475"/>
      <c r="AR93" s="475"/>
      <c r="AS93" s="475"/>
      <c r="AT93" s="475"/>
      <c r="AU93" s="475"/>
      <c r="AV93" s="475"/>
      <c r="AW93" s="475"/>
      <c r="AX93" s="475"/>
      <c r="AY93" s="475"/>
      <c r="AZ93" s="475"/>
      <c r="BA93" s="475"/>
      <c r="BB93" s="475"/>
      <c r="BC93" s="475"/>
      <c r="BD93" s="475"/>
      <c r="BE93" s="475"/>
      <c r="BF93" s="475"/>
      <c r="BG93" s="475"/>
      <c r="BH93" s="475"/>
      <c r="BI93" s="475"/>
      <c r="BJ93" s="475"/>
      <c r="BK93" s="475"/>
      <c r="BL93" s="475"/>
      <c r="BM93" s="475"/>
      <c r="BN93" s="475"/>
      <c r="BO93" s="475"/>
      <c r="BP93" s="475"/>
      <c r="BQ93" s="475"/>
      <c r="BR93" s="475"/>
      <c r="BS93" s="475"/>
      <c r="BT93" s="475"/>
      <c r="BU93" s="475"/>
      <c r="BV93" s="475"/>
      <c r="BW93" s="475"/>
      <c r="BX93" s="475"/>
      <c r="BY93" s="475"/>
      <c r="BZ93" s="475"/>
      <c r="CA93" s="475"/>
      <c r="CB93" s="475"/>
      <c r="CC93" s="475"/>
    </row>
    <row r="94" customFormat="false" ht="30" hidden="false" customHeight="true" outlineLevel="0" collapsed="false">
      <c r="A94" s="449" t="s">
        <v>1120</v>
      </c>
      <c r="B94" s="460"/>
      <c r="C94" s="460"/>
      <c r="D94" s="538"/>
      <c r="E94" s="461"/>
      <c r="F94" s="461"/>
      <c r="G94" s="486"/>
      <c r="H94" s="490"/>
      <c r="I94" s="484"/>
      <c r="J94" s="484"/>
      <c r="K94" s="484"/>
      <c r="L94" s="464"/>
      <c r="M94" s="465"/>
      <c r="N94" s="484"/>
      <c r="O94" s="466"/>
      <c r="P94" s="466"/>
      <c r="Q94" s="467"/>
      <c r="R94" s="467"/>
      <c r="S94" s="467"/>
      <c r="T94" s="466"/>
      <c r="U94" s="468"/>
      <c r="V94" s="469"/>
      <c r="W94" s="470"/>
      <c r="X94" s="471"/>
      <c r="Y94" s="470"/>
      <c r="Z94" s="471"/>
      <c r="AA94" s="470"/>
      <c r="AB94" s="466"/>
      <c r="AC94" s="466"/>
      <c r="AD94" s="466"/>
      <c r="AE94" s="466"/>
      <c r="AF94" s="466"/>
      <c r="AG94" s="478"/>
      <c r="AH94" s="475"/>
      <c r="AI94" s="475"/>
      <c r="AJ94" s="475"/>
      <c r="AK94" s="475"/>
      <c r="AL94" s="475"/>
      <c r="AM94" s="475"/>
      <c r="AN94" s="475"/>
      <c r="AO94" s="475"/>
      <c r="AP94" s="475"/>
      <c r="AQ94" s="475"/>
      <c r="AR94" s="475"/>
      <c r="AS94" s="475"/>
      <c r="AT94" s="475"/>
      <c r="AU94" s="475"/>
      <c r="AV94" s="475"/>
      <c r="AW94" s="475"/>
      <c r="AX94" s="475"/>
      <c r="AY94" s="475"/>
      <c r="AZ94" s="475"/>
      <c r="BA94" s="475"/>
      <c r="BB94" s="475"/>
      <c r="BC94" s="475"/>
      <c r="BD94" s="475"/>
      <c r="BE94" s="475"/>
      <c r="BF94" s="475"/>
      <c r="BG94" s="475"/>
      <c r="BH94" s="475"/>
      <c r="BI94" s="475"/>
      <c r="BJ94" s="475"/>
      <c r="BK94" s="475"/>
      <c r="BL94" s="475"/>
      <c r="BM94" s="475"/>
      <c r="BN94" s="475"/>
      <c r="BO94" s="475"/>
      <c r="BP94" s="475"/>
      <c r="BQ94" s="475"/>
      <c r="BR94" s="475"/>
      <c r="BS94" s="475"/>
      <c r="BT94" s="475"/>
      <c r="BU94" s="475"/>
      <c r="BV94" s="475"/>
      <c r="BW94" s="475"/>
      <c r="BX94" s="475"/>
      <c r="BY94" s="475"/>
      <c r="BZ94" s="475"/>
      <c r="CA94" s="475"/>
      <c r="CB94" s="475"/>
      <c r="CC94" s="475"/>
    </row>
    <row r="95" customFormat="false" ht="30" hidden="false" customHeight="true" outlineLevel="0" collapsed="false">
      <c r="A95" s="449" t="s">
        <v>1121</v>
      </c>
      <c r="B95" s="460"/>
      <c r="C95" s="460"/>
      <c r="D95" s="538"/>
      <c r="E95" s="461"/>
      <c r="F95" s="461"/>
      <c r="G95" s="489"/>
      <c r="H95" s="490"/>
      <c r="I95" s="484"/>
      <c r="J95" s="484"/>
      <c r="K95" s="484"/>
      <c r="L95" s="464"/>
      <c r="M95" s="533"/>
      <c r="N95" s="484"/>
      <c r="O95" s="466"/>
      <c r="P95" s="484"/>
      <c r="Q95" s="467"/>
      <c r="R95" s="467"/>
      <c r="S95" s="467"/>
      <c r="T95" s="466"/>
      <c r="U95" s="468"/>
      <c r="V95" s="491"/>
      <c r="W95" s="470"/>
      <c r="X95" s="471"/>
      <c r="Y95" s="470"/>
      <c r="Z95" s="471"/>
      <c r="AA95" s="470"/>
      <c r="AB95" s="466"/>
      <c r="AC95" s="466"/>
      <c r="AD95" s="466"/>
      <c r="AE95" s="466"/>
      <c r="AF95" s="466"/>
      <c r="AG95" s="478"/>
      <c r="AH95" s="475"/>
      <c r="AI95" s="475"/>
      <c r="AJ95" s="475"/>
      <c r="AK95" s="475"/>
      <c r="AL95" s="475"/>
      <c r="AM95" s="475"/>
      <c r="AN95" s="475"/>
      <c r="AO95" s="475"/>
      <c r="AP95" s="475"/>
      <c r="AQ95" s="475"/>
      <c r="AR95" s="475"/>
      <c r="AS95" s="475"/>
      <c r="AT95" s="475"/>
      <c r="AU95" s="475"/>
      <c r="AV95" s="475"/>
      <c r="AW95" s="475"/>
      <c r="AX95" s="475"/>
      <c r="AY95" s="475"/>
      <c r="AZ95" s="475"/>
      <c r="BA95" s="475"/>
      <c r="BB95" s="475"/>
      <c r="BC95" s="475"/>
      <c r="BD95" s="475"/>
      <c r="BE95" s="475"/>
      <c r="BF95" s="475"/>
      <c r="BG95" s="475"/>
      <c r="BH95" s="475"/>
      <c r="BI95" s="475"/>
      <c r="BJ95" s="475"/>
      <c r="BK95" s="475"/>
      <c r="BL95" s="475"/>
      <c r="BM95" s="475"/>
      <c r="BN95" s="475"/>
      <c r="BO95" s="475"/>
      <c r="BP95" s="475"/>
      <c r="BQ95" s="475"/>
      <c r="BR95" s="475"/>
      <c r="BS95" s="475"/>
      <c r="BT95" s="475"/>
      <c r="BU95" s="475"/>
      <c r="BV95" s="475"/>
      <c r="BW95" s="475"/>
      <c r="BX95" s="475"/>
      <c r="BY95" s="475"/>
      <c r="BZ95" s="475"/>
      <c r="CA95" s="475"/>
      <c r="CB95" s="475"/>
      <c r="CC95" s="475"/>
    </row>
    <row r="96" customFormat="false" ht="30" hidden="false" customHeight="true" outlineLevel="0" collapsed="false">
      <c r="A96" s="449" t="s">
        <v>1122</v>
      </c>
      <c r="B96" s="460"/>
      <c r="C96" s="460"/>
      <c r="D96" s="538"/>
      <c r="E96" s="461"/>
      <c r="F96" s="461"/>
      <c r="G96" s="489"/>
      <c r="H96" s="490"/>
      <c r="I96" s="484"/>
      <c r="J96" s="484"/>
      <c r="K96" s="484"/>
      <c r="L96" s="464"/>
      <c r="M96" s="533"/>
      <c r="N96" s="484"/>
      <c r="O96" s="466"/>
      <c r="P96" s="484"/>
      <c r="Q96" s="467"/>
      <c r="R96" s="467"/>
      <c r="S96" s="467"/>
      <c r="T96" s="466"/>
      <c r="U96" s="468"/>
      <c r="V96" s="491"/>
      <c r="W96" s="470"/>
      <c r="X96" s="471"/>
      <c r="Y96" s="470"/>
      <c r="Z96" s="471"/>
      <c r="AA96" s="470"/>
      <c r="AB96" s="466"/>
      <c r="AC96" s="466"/>
      <c r="AD96" s="466"/>
      <c r="AE96" s="466"/>
      <c r="AF96" s="466"/>
      <c r="AG96" s="478"/>
      <c r="AH96" s="475"/>
      <c r="AI96" s="475"/>
      <c r="AJ96" s="475"/>
      <c r="AK96" s="475"/>
      <c r="AL96" s="475"/>
      <c r="AM96" s="475"/>
      <c r="AN96" s="475"/>
      <c r="AO96" s="475"/>
      <c r="AP96" s="475"/>
      <c r="AQ96" s="475"/>
      <c r="AR96" s="475"/>
      <c r="AS96" s="475"/>
      <c r="AT96" s="475"/>
      <c r="AU96" s="475"/>
      <c r="AV96" s="475"/>
      <c r="AW96" s="475"/>
      <c r="AX96" s="475"/>
      <c r="AY96" s="475"/>
      <c r="AZ96" s="475"/>
      <c r="BA96" s="475"/>
      <c r="BB96" s="475"/>
      <c r="BC96" s="475"/>
      <c r="BD96" s="475"/>
      <c r="BE96" s="475"/>
      <c r="BF96" s="475"/>
      <c r="BG96" s="475"/>
      <c r="BH96" s="475"/>
      <c r="BI96" s="475"/>
      <c r="BJ96" s="475"/>
      <c r="BK96" s="475"/>
      <c r="BL96" s="475"/>
      <c r="BM96" s="475"/>
      <c r="BN96" s="475"/>
      <c r="BO96" s="475"/>
      <c r="BP96" s="475"/>
      <c r="BQ96" s="475"/>
      <c r="BR96" s="475"/>
      <c r="BS96" s="475"/>
      <c r="BT96" s="475"/>
      <c r="BU96" s="475"/>
      <c r="BV96" s="475"/>
      <c r="BW96" s="475"/>
      <c r="BX96" s="475"/>
      <c r="BY96" s="475"/>
      <c r="BZ96" s="475"/>
      <c r="CA96" s="475"/>
      <c r="CB96" s="475"/>
      <c r="CC96" s="475"/>
    </row>
    <row r="97" customFormat="false" ht="30" hidden="false" customHeight="true" outlineLevel="0" collapsed="false">
      <c r="A97" s="449" t="s">
        <v>1123</v>
      </c>
      <c r="B97" s="460"/>
      <c r="C97" s="460"/>
      <c r="D97" s="538"/>
      <c r="E97" s="461"/>
      <c r="F97" s="461"/>
      <c r="G97" s="489"/>
      <c r="H97" s="490"/>
      <c r="I97" s="484"/>
      <c r="J97" s="484"/>
      <c r="K97" s="484"/>
      <c r="L97" s="464"/>
      <c r="M97" s="533"/>
      <c r="N97" s="484"/>
      <c r="O97" s="484"/>
      <c r="P97" s="484"/>
      <c r="Q97" s="467"/>
      <c r="R97" s="467"/>
      <c r="S97" s="467"/>
      <c r="T97" s="466"/>
      <c r="U97" s="468"/>
      <c r="V97" s="491"/>
      <c r="W97" s="470"/>
      <c r="X97" s="471"/>
      <c r="Y97" s="470"/>
      <c r="Z97" s="471"/>
      <c r="AA97" s="470"/>
      <c r="AB97" s="466"/>
      <c r="AC97" s="466"/>
      <c r="AD97" s="466"/>
      <c r="AE97" s="466"/>
      <c r="AF97" s="466"/>
      <c r="AG97" s="478"/>
      <c r="AH97" s="475"/>
      <c r="AI97" s="475"/>
      <c r="AJ97" s="475"/>
      <c r="AK97" s="475"/>
      <c r="AL97" s="475"/>
      <c r="AM97" s="475"/>
      <c r="AN97" s="475"/>
      <c r="AO97" s="475"/>
      <c r="AP97" s="475"/>
      <c r="AQ97" s="475"/>
      <c r="AR97" s="475"/>
      <c r="AS97" s="475"/>
      <c r="AT97" s="475"/>
      <c r="AU97" s="475"/>
      <c r="AV97" s="475"/>
      <c r="AW97" s="475"/>
      <c r="AX97" s="475"/>
      <c r="AY97" s="475"/>
      <c r="AZ97" s="475"/>
      <c r="BA97" s="475"/>
      <c r="BB97" s="475"/>
      <c r="BC97" s="475"/>
      <c r="BD97" s="475"/>
      <c r="BE97" s="475"/>
      <c r="BF97" s="475"/>
      <c r="BG97" s="475"/>
      <c r="BH97" s="475"/>
      <c r="BI97" s="475"/>
      <c r="BJ97" s="475"/>
      <c r="BK97" s="475"/>
      <c r="BL97" s="475"/>
      <c r="BM97" s="475"/>
      <c r="BN97" s="475"/>
      <c r="BO97" s="475"/>
      <c r="BP97" s="475"/>
      <c r="BQ97" s="475"/>
      <c r="BR97" s="475"/>
      <c r="BS97" s="475"/>
      <c r="BT97" s="475"/>
      <c r="BU97" s="475"/>
      <c r="BV97" s="475"/>
      <c r="BW97" s="475"/>
      <c r="BX97" s="475"/>
      <c r="BY97" s="475"/>
      <c r="BZ97" s="475"/>
      <c r="CA97" s="475"/>
      <c r="CB97" s="475"/>
      <c r="CC97" s="475"/>
    </row>
    <row r="98" customFormat="false" ht="30" hidden="false" customHeight="true" outlineLevel="0" collapsed="false">
      <c r="A98" s="449" t="s">
        <v>1124</v>
      </c>
      <c r="B98" s="460"/>
      <c r="C98" s="460"/>
      <c r="D98" s="538"/>
      <c r="E98" s="461"/>
      <c r="F98" s="461"/>
      <c r="G98" s="489"/>
      <c r="H98" s="490"/>
      <c r="I98" s="484"/>
      <c r="J98" s="484"/>
      <c r="K98" s="484"/>
      <c r="L98" s="464"/>
      <c r="M98" s="533"/>
      <c r="N98" s="484"/>
      <c r="O98" s="484"/>
      <c r="P98" s="484"/>
      <c r="Q98" s="467"/>
      <c r="R98" s="467"/>
      <c r="S98" s="467"/>
      <c r="T98" s="466"/>
      <c r="U98" s="468"/>
      <c r="V98" s="491"/>
      <c r="W98" s="470"/>
      <c r="X98" s="471"/>
      <c r="Y98" s="470"/>
      <c r="Z98" s="471"/>
      <c r="AA98" s="470"/>
      <c r="AB98" s="466"/>
      <c r="AC98" s="466"/>
      <c r="AD98" s="466"/>
      <c r="AE98" s="466"/>
      <c r="AF98" s="466"/>
      <c r="AG98" s="478"/>
      <c r="AH98" s="475"/>
      <c r="AI98" s="475"/>
      <c r="AJ98" s="475"/>
      <c r="AK98" s="475"/>
      <c r="AL98" s="475"/>
      <c r="AM98" s="475"/>
      <c r="AN98" s="475"/>
      <c r="AO98" s="475"/>
      <c r="AP98" s="475"/>
      <c r="AQ98" s="475"/>
      <c r="AR98" s="475"/>
      <c r="AS98" s="475"/>
      <c r="AT98" s="475"/>
      <c r="AU98" s="475"/>
      <c r="AV98" s="475"/>
      <c r="AW98" s="475"/>
      <c r="AX98" s="475"/>
      <c r="AY98" s="475"/>
      <c r="AZ98" s="475"/>
      <c r="BA98" s="475"/>
      <c r="BB98" s="475"/>
      <c r="BC98" s="475"/>
      <c r="BD98" s="475"/>
      <c r="BE98" s="475"/>
      <c r="BF98" s="475"/>
      <c r="BG98" s="475"/>
      <c r="BH98" s="475"/>
      <c r="BI98" s="475"/>
      <c r="BJ98" s="475"/>
      <c r="BK98" s="475"/>
      <c r="BL98" s="475"/>
      <c r="BM98" s="475"/>
      <c r="BN98" s="475"/>
      <c r="BO98" s="475"/>
      <c r="BP98" s="475"/>
      <c r="BQ98" s="475"/>
      <c r="BR98" s="475"/>
      <c r="BS98" s="475"/>
      <c r="BT98" s="475"/>
      <c r="BU98" s="475"/>
      <c r="BV98" s="475"/>
      <c r="BW98" s="475"/>
      <c r="BX98" s="475"/>
      <c r="BY98" s="475"/>
      <c r="BZ98" s="475"/>
      <c r="CA98" s="475"/>
      <c r="CB98" s="475"/>
      <c r="CC98" s="475"/>
    </row>
    <row r="99" customFormat="false" ht="30" hidden="false" customHeight="true" outlineLevel="0" collapsed="false">
      <c r="A99" s="449" t="s">
        <v>1125</v>
      </c>
      <c r="B99" s="460"/>
      <c r="C99" s="460"/>
      <c r="D99" s="538"/>
      <c r="E99" s="461"/>
      <c r="F99" s="461"/>
      <c r="G99" s="489"/>
      <c r="H99" s="490"/>
      <c r="I99" s="484"/>
      <c r="J99" s="484"/>
      <c r="K99" s="484"/>
      <c r="L99" s="464"/>
      <c r="M99" s="533"/>
      <c r="N99" s="484"/>
      <c r="O99" s="484"/>
      <c r="P99" s="484"/>
      <c r="Q99" s="467"/>
      <c r="R99" s="467"/>
      <c r="S99" s="467"/>
      <c r="T99" s="466"/>
      <c r="U99" s="468"/>
      <c r="V99" s="491"/>
      <c r="W99" s="470"/>
      <c r="X99" s="471"/>
      <c r="Y99" s="470"/>
      <c r="Z99" s="471"/>
      <c r="AA99" s="470"/>
      <c r="AB99" s="466"/>
      <c r="AC99" s="466"/>
      <c r="AD99" s="466"/>
      <c r="AE99" s="466"/>
      <c r="AF99" s="466"/>
      <c r="AG99" s="478"/>
      <c r="AH99" s="475"/>
      <c r="AI99" s="475"/>
      <c r="AJ99" s="475"/>
      <c r="AK99" s="475"/>
      <c r="AL99" s="475"/>
      <c r="AM99" s="475"/>
      <c r="AN99" s="475"/>
      <c r="AO99" s="475"/>
      <c r="AP99" s="475"/>
      <c r="AQ99" s="475"/>
      <c r="AR99" s="475"/>
      <c r="AS99" s="475"/>
      <c r="AT99" s="475"/>
      <c r="AU99" s="475"/>
      <c r="AV99" s="475"/>
      <c r="AW99" s="475"/>
      <c r="AX99" s="475"/>
      <c r="AY99" s="475"/>
      <c r="AZ99" s="475"/>
      <c r="BA99" s="475"/>
      <c r="BB99" s="475"/>
      <c r="BC99" s="475"/>
      <c r="BD99" s="475"/>
      <c r="BE99" s="475"/>
      <c r="BF99" s="475"/>
      <c r="BG99" s="475"/>
      <c r="BH99" s="475"/>
      <c r="BI99" s="475"/>
      <c r="BJ99" s="475"/>
      <c r="BK99" s="475"/>
      <c r="BL99" s="475"/>
      <c r="BM99" s="475"/>
      <c r="BN99" s="475"/>
      <c r="BO99" s="475"/>
      <c r="BP99" s="475"/>
      <c r="BQ99" s="475"/>
      <c r="BR99" s="475"/>
      <c r="BS99" s="475"/>
      <c r="BT99" s="475"/>
      <c r="BU99" s="475"/>
      <c r="BV99" s="475"/>
      <c r="BW99" s="475"/>
      <c r="BX99" s="475"/>
      <c r="BY99" s="475"/>
      <c r="BZ99" s="475"/>
      <c r="CA99" s="475"/>
      <c r="CB99" s="475"/>
      <c r="CC99" s="475"/>
    </row>
    <row r="100" customFormat="false" ht="30" hidden="false" customHeight="true" outlineLevel="0" collapsed="false">
      <c r="A100" s="449" t="s">
        <v>1126</v>
      </c>
      <c r="B100" s="460"/>
      <c r="C100" s="460"/>
      <c r="D100" s="538"/>
      <c r="E100" s="461"/>
      <c r="F100" s="461"/>
      <c r="G100" s="489"/>
      <c r="H100" s="490"/>
      <c r="I100" s="484"/>
      <c r="J100" s="484"/>
      <c r="K100" s="484"/>
      <c r="L100" s="464"/>
      <c r="M100" s="533"/>
      <c r="N100" s="484"/>
      <c r="O100" s="484"/>
      <c r="P100" s="484"/>
      <c r="Q100" s="467"/>
      <c r="R100" s="467"/>
      <c r="S100" s="467"/>
      <c r="T100" s="466"/>
      <c r="U100" s="468"/>
      <c r="V100" s="491"/>
      <c r="W100" s="470"/>
      <c r="X100" s="471"/>
      <c r="Y100" s="470"/>
      <c r="Z100" s="471"/>
      <c r="AA100" s="470"/>
      <c r="AB100" s="466"/>
      <c r="AC100" s="466"/>
      <c r="AD100" s="466"/>
      <c r="AE100" s="466"/>
      <c r="AF100" s="466"/>
      <c r="AG100" s="478"/>
      <c r="AH100" s="475"/>
      <c r="AI100" s="475"/>
      <c r="AJ100" s="475"/>
      <c r="AK100" s="475"/>
      <c r="AL100" s="475"/>
      <c r="AM100" s="475"/>
      <c r="AN100" s="475"/>
      <c r="AO100" s="475"/>
      <c r="AP100" s="475"/>
      <c r="AQ100" s="475"/>
      <c r="AR100" s="475"/>
      <c r="AS100" s="475"/>
      <c r="AT100" s="475"/>
      <c r="AU100" s="475"/>
      <c r="AV100" s="475"/>
      <c r="AW100" s="475"/>
      <c r="AX100" s="475"/>
      <c r="AY100" s="475"/>
      <c r="AZ100" s="475"/>
      <c r="BA100" s="475"/>
      <c r="BB100" s="475"/>
      <c r="BC100" s="475"/>
      <c r="BD100" s="475"/>
      <c r="BE100" s="475"/>
      <c r="BF100" s="475"/>
      <c r="BG100" s="475"/>
      <c r="BH100" s="475"/>
      <c r="BI100" s="475"/>
      <c r="BJ100" s="475"/>
      <c r="BK100" s="475"/>
      <c r="BL100" s="475"/>
      <c r="BM100" s="475"/>
      <c r="BN100" s="475"/>
      <c r="BO100" s="475"/>
      <c r="BP100" s="475"/>
      <c r="BQ100" s="475"/>
      <c r="BR100" s="475"/>
      <c r="BS100" s="475"/>
      <c r="BT100" s="475"/>
      <c r="BU100" s="475"/>
      <c r="BV100" s="475"/>
      <c r="BW100" s="475"/>
      <c r="BX100" s="475"/>
      <c r="BY100" s="475"/>
      <c r="BZ100" s="475"/>
      <c r="CA100" s="475"/>
      <c r="CB100" s="475"/>
      <c r="CC100" s="475"/>
    </row>
    <row r="101" customFormat="false" ht="30" hidden="false" customHeight="true" outlineLevel="0" collapsed="false">
      <c r="A101" s="449" t="s">
        <v>1127</v>
      </c>
      <c r="B101" s="460"/>
      <c r="C101" s="460"/>
      <c r="D101" s="538"/>
      <c r="E101" s="461"/>
      <c r="F101" s="461"/>
      <c r="G101" s="486"/>
      <c r="H101" s="490"/>
      <c r="I101" s="484"/>
      <c r="J101" s="484"/>
      <c r="K101" s="484"/>
      <c r="L101" s="464"/>
      <c r="M101" s="465"/>
      <c r="N101" s="466"/>
      <c r="O101" s="466"/>
      <c r="P101" s="466"/>
      <c r="Q101" s="467"/>
      <c r="R101" s="467"/>
      <c r="S101" s="467"/>
      <c r="T101" s="466"/>
      <c r="U101" s="468"/>
      <c r="V101" s="469"/>
      <c r="W101" s="470"/>
      <c r="X101" s="471"/>
      <c r="Y101" s="471"/>
      <c r="Z101" s="471"/>
      <c r="AA101" s="470"/>
      <c r="AB101" s="466"/>
      <c r="AC101" s="466"/>
      <c r="AD101" s="466"/>
      <c r="AE101" s="466"/>
      <c r="AF101" s="466"/>
      <c r="AG101" s="478"/>
      <c r="AH101" s="475"/>
      <c r="AI101" s="475"/>
      <c r="AJ101" s="475"/>
      <c r="AK101" s="475"/>
      <c r="AL101" s="475"/>
      <c r="AM101" s="475"/>
      <c r="AN101" s="475"/>
      <c r="AO101" s="475"/>
      <c r="AP101" s="475"/>
      <c r="AQ101" s="475"/>
      <c r="AR101" s="475"/>
      <c r="AS101" s="475"/>
      <c r="AT101" s="475"/>
      <c r="AU101" s="475"/>
      <c r="AV101" s="475"/>
      <c r="AW101" s="475"/>
      <c r="AX101" s="475"/>
      <c r="AY101" s="475"/>
      <c r="AZ101" s="475"/>
      <c r="BA101" s="475"/>
      <c r="BB101" s="475"/>
      <c r="BC101" s="475"/>
      <c r="BD101" s="475"/>
      <c r="BE101" s="475"/>
      <c r="BF101" s="475"/>
      <c r="BG101" s="475"/>
      <c r="BH101" s="475"/>
      <c r="BI101" s="475"/>
      <c r="BJ101" s="475"/>
      <c r="BK101" s="475"/>
      <c r="BL101" s="475"/>
      <c r="BM101" s="475"/>
      <c r="BN101" s="475"/>
      <c r="BO101" s="475"/>
      <c r="BP101" s="475"/>
      <c r="BQ101" s="475"/>
      <c r="BR101" s="475"/>
      <c r="BS101" s="475"/>
      <c r="BT101" s="475"/>
      <c r="BU101" s="475"/>
      <c r="BV101" s="475"/>
      <c r="BW101" s="475"/>
      <c r="BX101" s="475"/>
      <c r="BY101" s="475"/>
      <c r="BZ101" s="475"/>
      <c r="CA101" s="475"/>
      <c r="CB101" s="475"/>
      <c r="CC101" s="475"/>
    </row>
    <row r="102" customFormat="false" ht="30" hidden="false" customHeight="true" outlineLevel="0" collapsed="false">
      <c r="A102" s="449" t="s">
        <v>1128</v>
      </c>
      <c r="B102" s="460"/>
      <c r="C102" s="460"/>
      <c r="D102" s="538"/>
      <c r="E102" s="461"/>
      <c r="F102" s="461"/>
      <c r="G102" s="489"/>
      <c r="H102" s="490"/>
      <c r="I102" s="484"/>
      <c r="J102" s="484"/>
      <c r="K102" s="484"/>
      <c r="L102" s="464"/>
      <c r="M102" s="533"/>
      <c r="N102" s="484"/>
      <c r="O102" s="484"/>
      <c r="P102" s="484"/>
      <c r="Q102" s="467"/>
      <c r="R102" s="467"/>
      <c r="S102" s="467"/>
      <c r="T102" s="466"/>
      <c r="U102" s="468"/>
      <c r="V102" s="491"/>
      <c r="W102" s="470"/>
      <c r="X102" s="471"/>
      <c r="Y102" s="470"/>
      <c r="Z102" s="471"/>
      <c r="AA102" s="470"/>
      <c r="AB102" s="466"/>
      <c r="AC102" s="466"/>
      <c r="AD102" s="466"/>
      <c r="AE102" s="466"/>
      <c r="AF102" s="466"/>
      <c r="AG102" s="478"/>
      <c r="AH102" s="475"/>
      <c r="AI102" s="475"/>
      <c r="AJ102" s="475"/>
      <c r="AK102" s="475"/>
      <c r="AL102" s="475"/>
      <c r="AM102" s="475"/>
      <c r="AN102" s="475"/>
      <c r="AO102" s="475"/>
      <c r="AP102" s="475"/>
      <c r="AQ102" s="475"/>
      <c r="AR102" s="475"/>
      <c r="AS102" s="475"/>
      <c r="AT102" s="475"/>
      <c r="AU102" s="475"/>
      <c r="AV102" s="475"/>
      <c r="AW102" s="475"/>
      <c r="AX102" s="475"/>
      <c r="AY102" s="475"/>
      <c r="AZ102" s="475"/>
      <c r="BA102" s="475"/>
      <c r="BB102" s="475"/>
      <c r="BC102" s="475"/>
      <c r="BD102" s="475"/>
      <c r="BE102" s="475"/>
      <c r="BF102" s="475"/>
      <c r="BG102" s="475"/>
      <c r="BH102" s="475"/>
      <c r="BI102" s="475"/>
      <c r="BJ102" s="475"/>
      <c r="BK102" s="475"/>
      <c r="BL102" s="475"/>
      <c r="BM102" s="475"/>
      <c r="BN102" s="475"/>
      <c r="BO102" s="475"/>
      <c r="BP102" s="475"/>
      <c r="BQ102" s="475"/>
      <c r="BR102" s="475"/>
      <c r="BS102" s="475"/>
      <c r="BT102" s="475"/>
      <c r="BU102" s="475"/>
      <c r="BV102" s="475"/>
      <c r="BW102" s="475"/>
      <c r="BX102" s="475"/>
      <c r="BY102" s="475"/>
      <c r="BZ102" s="475"/>
      <c r="CA102" s="475"/>
      <c r="CB102" s="475"/>
      <c r="CC102" s="475"/>
    </row>
    <row r="103" customFormat="false" ht="30" hidden="false" customHeight="true" outlineLevel="0" collapsed="false">
      <c r="A103" s="449" t="s">
        <v>1129</v>
      </c>
      <c r="B103" s="460"/>
      <c r="C103" s="460"/>
      <c r="D103" s="538"/>
      <c r="E103" s="461"/>
      <c r="F103" s="461"/>
      <c r="G103" s="489"/>
      <c r="H103" s="490"/>
      <c r="I103" s="484"/>
      <c r="J103" s="484"/>
      <c r="K103" s="484"/>
      <c r="L103" s="464"/>
      <c r="M103" s="533"/>
      <c r="N103" s="484"/>
      <c r="O103" s="484"/>
      <c r="P103" s="484"/>
      <c r="Q103" s="467"/>
      <c r="R103" s="467"/>
      <c r="S103" s="467"/>
      <c r="T103" s="466"/>
      <c r="U103" s="468"/>
      <c r="V103" s="491"/>
      <c r="W103" s="470"/>
      <c r="X103" s="471"/>
      <c r="Y103" s="470"/>
      <c r="Z103" s="471"/>
      <c r="AA103" s="470"/>
      <c r="AB103" s="466"/>
      <c r="AC103" s="466"/>
      <c r="AD103" s="466"/>
      <c r="AE103" s="466"/>
      <c r="AF103" s="466"/>
      <c r="AG103" s="478"/>
      <c r="AH103" s="475"/>
      <c r="AI103" s="475"/>
      <c r="AJ103" s="475"/>
      <c r="AK103" s="475"/>
      <c r="AL103" s="475"/>
      <c r="AM103" s="475"/>
      <c r="AN103" s="475"/>
      <c r="AO103" s="475"/>
      <c r="AP103" s="475"/>
      <c r="AQ103" s="475"/>
      <c r="AR103" s="475"/>
      <c r="AS103" s="475"/>
      <c r="AT103" s="475"/>
      <c r="AU103" s="475"/>
      <c r="AV103" s="475"/>
      <c r="AW103" s="475"/>
      <c r="AX103" s="475"/>
      <c r="AY103" s="475"/>
      <c r="AZ103" s="475"/>
      <c r="BA103" s="475"/>
      <c r="BB103" s="475"/>
      <c r="BC103" s="475"/>
      <c r="BD103" s="475"/>
      <c r="BE103" s="475"/>
      <c r="BF103" s="475"/>
      <c r="BG103" s="475"/>
      <c r="BH103" s="475"/>
      <c r="BI103" s="475"/>
      <c r="BJ103" s="475"/>
      <c r="BK103" s="475"/>
      <c r="BL103" s="475"/>
      <c r="BM103" s="475"/>
      <c r="BN103" s="475"/>
      <c r="BO103" s="475"/>
      <c r="BP103" s="475"/>
      <c r="BQ103" s="475"/>
      <c r="BR103" s="475"/>
      <c r="BS103" s="475"/>
      <c r="BT103" s="475"/>
      <c r="BU103" s="475"/>
      <c r="BV103" s="475"/>
      <c r="BW103" s="475"/>
      <c r="BX103" s="475"/>
      <c r="BY103" s="475"/>
      <c r="BZ103" s="475"/>
      <c r="CA103" s="475"/>
      <c r="CB103" s="475"/>
      <c r="CC103" s="475"/>
    </row>
    <row r="104" customFormat="false" ht="30" hidden="false" customHeight="true" outlineLevel="0" collapsed="false">
      <c r="A104" s="449" t="s">
        <v>1130</v>
      </c>
      <c r="B104" s="460"/>
      <c r="C104" s="460"/>
      <c r="D104" s="538"/>
      <c r="E104" s="461"/>
      <c r="F104" s="461"/>
      <c r="G104" s="489"/>
      <c r="H104" s="490"/>
      <c r="I104" s="484"/>
      <c r="J104" s="484"/>
      <c r="K104" s="484"/>
      <c r="L104" s="464"/>
      <c r="M104" s="533"/>
      <c r="N104" s="484"/>
      <c r="O104" s="484"/>
      <c r="P104" s="484"/>
      <c r="Q104" s="467"/>
      <c r="R104" s="467"/>
      <c r="S104" s="467"/>
      <c r="T104" s="466"/>
      <c r="U104" s="468"/>
      <c r="V104" s="491"/>
      <c r="W104" s="470"/>
      <c r="X104" s="471"/>
      <c r="Y104" s="470"/>
      <c r="Z104" s="471"/>
      <c r="AA104" s="470"/>
      <c r="AB104" s="466"/>
      <c r="AC104" s="466"/>
      <c r="AD104" s="466"/>
      <c r="AE104" s="466"/>
      <c r="AF104" s="466"/>
      <c r="AG104" s="478"/>
      <c r="AH104" s="475"/>
      <c r="AI104" s="475"/>
      <c r="AJ104" s="475"/>
      <c r="AK104" s="475"/>
      <c r="AL104" s="475"/>
      <c r="AM104" s="475"/>
      <c r="AN104" s="475"/>
      <c r="AO104" s="475"/>
      <c r="AP104" s="475"/>
      <c r="AQ104" s="475"/>
      <c r="AR104" s="475"/>
      <c r="AS104" s="475"/>
      <c r="AT104" s="475"/>
      <c r="AU104" s="475"/>
      <c r="AV104" s="475"/>
      <c r="AW104" s="475"/>
      <c r="AX104" s="475"/>
      <c r="AY104" s="475"/>
      <c r="AZ104" s="475"/>
      <c r="BA104" s="475"/>
      <c r="BB104" s="475"/>
      <c r="BC104" s="475"/>
      <c r="BD104" s="475"/>
      <c r="BE104" s="475"/>
      <c r="BF104" s="475"/>
      <c r="BG104" s="475"/>
      <c r="BH104" s="475"/>
      <c r="BI104" s="475"/>
      <c r="BJ104" s="475"/>
      <c r="BK104" s="475"/>
      <c r="BL104" s="475"/>
      <c r="BM104" s="475"/>
      <c r="BN104" s="475"/>
      <c r="BO104" s="475"/>
      <c r="BP104" s="475"/>
      <c r="BQ104" s="475"/>
      <c r="BR104" s="475"/>
      <c r="BS104" s="475"/>
      <c r="BT104" s="475"/>
      <c r="BU104" s="475"/>
      <c r="BV104" s="475"/>
      <c r="BW104" s="475"/>
      <c r="BX104" s="475"/>
      <c r="BY104" s="475"/>
      <c r="BZ104" s="475"/>
      <c r="CA104" s="475"/>
      <c r="CB104" s="475"/>
      <c r="CC104" s="475"/>
    </row>
    <row r="105" customFormat="false" ht="30" hidden="false" customHeight="true" outlineLevel="0" collapsed="false">
      <c r="A105" s="449" t="s">
        <v>1131</v>
      </c>
      <c r="B105" s="460"/>
      <c r="C105" s="460"/>
      <c r="D105" s="538"/>
      <c r="E105" s="461"/>
      <c r="F105" s="461"/>
      <c r="G105" s="486"/>
      <c r="H105" s="490"/>
      <c r="I105" s="484"/>
      <c r="J105" s="484"/>
      <c r="K105" s="484"/>
      <c r="L105" s="464"/>
      <c r="M105" s="533"/>
      <c r="N105" s="484"/>
      <c r="O105" s="484"/>
      <c r="P105" s="484"/>
      <c r="Q105" s="467"/>
      <c r="R105" s="467"/>
      <c r="S105" s="467"/>
      <c r="T105" s="466"/>
      <c r="U105" s="468"/>
      <c r="V105" s="491"/>
      <c r="W105" s="470"/>
      <c r="X105" s="471"/>
      <c r="Y105" s="470"/>
      <c r="Z105" s="471"/>
      <c r="AA105" s="470"/>
      <c r="AB105" s="466"/>
      <c r="AC105" s="466"/>
      <c r="AD105" s="466"/>
      <c r="AE105" s="466"/>
      <c r="AF105" s="466"/>
      <c r="AG105" s="478"/>
      <c r="AH105" s="475"/>
      <c r="AI105" s="475"/>
      <c r="AJ105" s="475"/>
      <c r="AK105" s="475"/>
      <c r="AL105" s="475"/>
      <c r="AM105" s="475"/>
      <c r="AN105" s="475"/>
      <c r="AO105" s="475"/>
      <c r="AP105" s="475"/>
      <c r="AQ105" s="475"/>
      <c r="AR105" s="475"/>
      <c r="AS105" s="475"/>
      <c r="AT105" s="475"/>
      <c r="AU105" s="475"/>
      <c r="AV105" s="475"/>
      <c r="AW105" s="475"/>
      <c r="AX105" s="475"/>
      <c r="AY105" s="475"/>
      <c r="AZ105" s="475"/>
      <c r="BA105" s="475"/>
      <c r="BB105" s="475"/>
      <c r="BC105" s="475"/>
      <c r="BD105" s="475"/>
      <c r="BE105" s="475"/>
      <c r="BF105" s="475"/>
      <c r="BG105" s="475"/>
      <c r="BH105" s="475"/>
      <c r="BI105" s="475"/>
      <c r="BJ105" s="475"/>
      <c r="BK105" s="475"/>
      <c r="BL105" s="475"/>
      <c r="BM105" s="475"/>
      <c r="BN105" s="475"/>
      <c r="BO105" s="475"/>
      <c r="BP105" s="475"/>
      <c r="BQ105" s="475"/>
      <c r="BR105" s="475"/>
      <c r="BS105" s="475"/>
      <c r="BT105" s="475"/>
      <c r="BU105" s="475"/>
      <c r="BV105" s="475"/>
      <c r="BW105" s="475"/>
      <c r="BX105" s="475"/>
      <c r="BY105" s="475"/>
      <c r="BZ105" s="475"/>
      <c r="CA105" s="475"/>
      <c r="CB105" s="475"/>
      <c r="CC105" s="475"/>
    </row>
    <row r="106" customFormat="false" ht="30" hidden="false" customHeight="true" outlineLevel="0" collapsed="false">
      <c r="A106" s="449" t="s">
        <v>1132</v>
      </c>
      <c r="B106" s="460"/>
      <c r="C106" s="460"/>
      <c r="D106" s="538"/>
      <c r="E106" s="461"/>
      <c r="F106" s="461"/>
      <c r="G106" s="486"/>
      <c r="H106" s="490"/>
      <c r="I106" s="484"/>
      <c r="J106" s="484"/>
      <c r="K106" s="484"/>
      <c r="L106" s="464"/>
      <c r="M106" s="533"/>
      <c r="N106" s="484"/>
      <c r="O106" s="484"/>
      <c r="P106" s="484"/>
      <c r="Q106" s="467"/>
      <c r="R106" s="467"/>
      <c r="S106" s="467"/>
      <c r="T106" s="466"/>
      <c r="U106" s="468"/>
      <c r="V106" s="491"/>
      <c r="W106" s="470"/>
      <c r="X106" s="471"/>
      <c r="Y106" s="470"/>
      <c r="Z106" s="471"/>
      <c r="AA106" s="470"/>
      <c r="AB106" s="466"/>
      <c r="AC106" s="466"/>
      <c r="AD106" s="466"/>
      <c r="AE106" s="466"/>
      <c r="AF106" s="466"/>
      <c r="AG106" s="478"/>
      <c r="AH106" s="475"/>
      <c r="AI106" s="475"/>
      <c r="AJ106" s="475"/>
      <c r="AK106" s="475"/>
      <c r="AL106" s="475"/>
      <c r="AM106" s="475"/>
      <c r="AN106" s="475"/>
      <c r="AO106" s="475"/>
      <c r="AP106" s="475"/>
      <c r="AQ106" s="475"/>
      <c r="AR106" s="475"/>
      <c r="AS106" s="475"/>
      <c r="AT106" s="475"/>
      <c r="AU106" s="475"/>
      <c r="AV106" s="475"/>
      <c r="AW106" s="475"/>
      <c r="AX106" s="475"/>
      <c r="AY106" s="475"/>
      <c r="AZ106" s="475"/>
      <c r="BA106" s="475"/>
      <c r="BB106" s="475"/>
      <c r="BC106" s="475"/>
      <c r="BD106" s="475"/>
      <c r="BE106" s="475"/>
      <c r="BF106" s="475"/>
      <c r="BG106" s="475"/>
      <c r="BH106" s="475"/>
      <c r="BI106" s="475"/>
      <c r="BJ106" s="475"/>
      <c r="BK106" s="475"/>
      <c r="BL106" s="475"/>
      <c r="BM106" s="475"/>
      <c r="BN106" s="475"/>
      <c r="BO106" s="475"/>
      <c r="BP106" s="475"/>
      <c r="BQ106" s="475"/>
      <c r="BR106" s="475"/>
      <c r="BS106" s="475"/>
      <c r="BT106" s="475"/>
      <c r="BU106" s="475"/>
      <c r="BV106" s="475"/>
      <c r="BW106" s="475"/>
      <c r="BX106" s="475"/>
      <c r="BY106" s="475"/>
      <c r="BZ106" s="475"/>
      <c r="CA106" s="475"/>
      <c r="CB106" s="475"/>
      <c r="CC106" s="475"/>
    </row>
    <row r="107" customFormat="false" ht="30" hidden="false" customHeight="true" outlineLevel="0" collapsed="false">
      <c r="A107" s="449" t="s">
        <v>1133</v>
      </c>
      <c r="B107" s="460"/>
      <c r="C107" s="460"/>
      <c r="D107" s="538"/>
      <c r="E107" s="461"/>
      <c r="F107" s="461"/>
      <c r="G107" s="486"/>
      <c r="H107" s="490"/>
      <c r="I107" s="484"/>
      <c r="J107" s="484"/>
      <c r="K107" s="484"/>
      <c r="L107" s="464"/>
      <c r="M107" s="533"/>
      <c r="N107" s="484"/>
      <c r="O107" s="484"/>
      <c r="P107" s="484"/>
      <c r="Q107" s="467"/>
      <c r="R107" s="467"/>
      <c r="S107" s="467"/>
      <c r="T107" s="466"/>
      <c r="U107" s="468"/>
      <c r="V107" s="491"/>
      <c r="W107" s="470"/>
      <c r="X107" s="471"/>
      <c r="Y107" s="470"/>
      <c r="Z107" s="471"/>
      <c r="AA107" s="470"/>
      <c r="AB107" s="466"/>
      <c r="AC107" s="466"/>
      <c r="AD107" s="466"/>
      <c r="AE107" s="466"/>
      <c r="AF107" s="466"/>
      <c r="AG107" s="478"/>
      <c r="AH107" s="475"/>
      <c r="AI107" s="475"/>
      <c r="AJ107" s="475"/>
      <c r="AK107" s="475"/>
      <c r="AL107" s="475"/>
      <c r="AM107" s="475"/>
      <c r="AN107" s="475"/>
      <c r="AO107" s="475"/>
      <c r="AP107" s="475"/>
      <c r="AQ107" s="475"/>
      <c r="AR107" s="475"/>
      <c r="AS107" s="475"/>
      <c r="AT107" s="475"/>
      <c r="AU107" s="475"/>
      <c r="AV107" s="475"/>
      <c r="AW107" s="475"/>
      <c r="AX107" s="475"/>
      <c r="AY107" s="475"/>
      <c r="AZ107" s="475"/>
      <c r="BA107" s="475"/>
      <c r="BB107" s="475"/>
      <c r="BC107" s="475"/>
      <c r="BD107" s="475"/>
      <c r="BE107" s="475"/>
      <c r="BF107" s="475"/>
      <c r="BG107" s="475"/>
      <c r="BH107" s="475"/>
      <c r="BI107" s="475"/>
      <c r="BJ107" s="475"/>
      <c r="BK107" s="475"/>
      <c r="BL107" s="475"/>
      <c r="BM107" s="475"/>
      <c r="BN107" s="475"/>
      <c r="BO107" s="475"/>
      <c r="BP107" s="475"/>
      <c r="BQ107" s="475"/>
      <c r="BR107" s="475"/>
      <c r="BS107" s="475"/>
      <c r="BT107" s="475"/>
      <c r="BU107" s="475"/>
      <c r="BV107" s="475"/>
      <c r="BW107" s="475"/>
      <c r="BX107" s="475"/>
      <c r="BY107" s="475"/>
      <c r="BZ107" s="475"/>
      <c r="CA107" s="475"/>
      <c r="CB107" s="475"/>
      <c r="CC107" s="475"/>
    </row>
    <row r="108" customFormat="false" ht="30" hidden="false" customHeight="true" outlineLevel="0" collapsed="false">
      <c r="A108" s="449" t="s">
        <v>1134</v>
      </c>
      <c r="B108" s="460"/>
      <c r="C108" s="460"/>
      <c r="D108" s="538"/>
      <c r="E108" s="461"/>
      <c r="F108" s="461"/>
      <c r="G108" s="486"/>
      <c r="H108" s="490"/>
      <c r="I108" s="484"/>
      <c r="J108" s="484"/>
      <c r="K108" s="484"/>
      <c r="L108" s="464"/>
      <c r="M108" s="533"/>
      <c r="N108" s="484"/>
      <c r="O108" s="484"/>
      <c r="P108" s="484"/>
      <c r="Q108" s="467"/>
      <c r="R108" s="467"/>
      <c r="S108" s="467"/>
      <c r="T108" s="466"/>
      <c r="U108" s="468"/>
      <c r="V108" s="469"/>
      <c r="W108" s="470"/>
      <c r="X108" s="471"/>
      <c r="Y108" s="470"/>
      <c r="Z108" s="471"/>
      <c r="AA108" s="470"/>
      <c r="AB108" s="473"/>
      <c r="AC108" s="473"/>
      <c r="AD108" s="466"/>
      <c r="AE108" s="466"/>
      <c r="AF108" s="466"/>
      <c r="AG108" s="478"/>
      <c r="AH108" s="475"/>
      <c r="AI108" s="475"/>
      <c r="AJ108" s="475"/>
      <c r="AK108" s="475"/>
      <c r="AL108" s="475"/>
      <c r="AM108" s="475"/>
      <c r="AN108" s="475"/>
      <c r="AO108" s="475"/>
      <c r="AP108" s="475"/>
      <c r="AQ108" s="475"/>
      <c r="AR108" s="475"/>
      <c r="AS108" s="475"/>
      <c r="AT108" s="475"/>
      <c r="AU108" s="475"/>
      <c r="AV108" s="475"/>
      <c r="AW108" s="475"/>
      <c r="AX108" s="475"/>
      <c r="AY108" s="475"/>
      <c r="AZ108" s="475"/>
      <c r="BA108" s="475"/>
      <c r="BB108" s="475"/>
      <c r="BC108" s="475"/>
      <c r="BD108" s="475"/>
      <c r="BE108" s="475"/>
      <c r="BF108" s="475"/>
      <c r="BG108" s="475"/>
      <c r="BH108" s="475"/>
      <c r="BI108" s="475"/>
      <c r="BJ108" s="475"/>
      <c r="BK108" s="475"/>
      <c r="BL108" s="475"/>
      <c r="BM108" s="475"/>
      <c r="BN108" s="475"/>
      <c r="BO108" s="475"/>
      <c r="BP108" s="475"/>
      <c r="BQ108" s="475"/>
      <c r="BR108" s="475"/>
      <c r="BS108" s="475"/>
      <c r="BT108" s="475"/>
      <c r="BU108" s="475"/>
      <c r="BV108" s="475"/>
      <c r="BW108" s="475"/>
      <c r="BX108" s="475"/>
      <c r="BY108" s="475"/>
      <c r="BZ108" s="475"/>
      <c r="CA108" s="475"/>
      <c r="CB108" s="475"/>
      <c r="CC108" s="475"/>
    </row>
    <row r="109" customFormat="false" ht="30" hidden="false" customHeight="true" outlineLevel="0" collapsed="false">
      <c r="A109" s="449" t="s">
        <v>1135</v>
      </c>
      <c r="B109" s="460"/>
      <c r="C109" s="460"/>
      <c r="D109" s="538"/>
      <c r="E109" s="461"/>
      <c r="F109" s="461"/>
      <c r="G109" s="486"/>
      <c r="H109" s="490"/>
      <c r="I109" s="484"/>
      <c r="J109" s="484"/>
      <c r="K109" s="484"/>
      <c r="L109" s="464"/>
      <c r="M109" s="533"/>
      <c r="N109" s="484"/>
      <c r="O109" s="484"/>
      <c r="P109" s="484"/>
      <c r="Q109" s="467"/>
      <c r="R109" s="467"/>
      <c r="S109" s="467"/>
      <c r="T109" s="466"/>
      <c r="U109" s="468"/>
      <c r="V109" s="469"/>
      <c r="W109" s="470"/>
      <c r="X109" s="471"/>
      <c r="Y109" s="470"/>
      <c r="Z109" s="471"/>
      <c r="AA109" s="471"/>
      <c r="AB109" s="466"/>
      <c r="AC109" s="466"/>
      <c r="AD109" s="466"/>
      <c r="AE109" s="466"/>
      <c r="AF109" s="466"/>
      <c r="AG109" s="478"/>
      <c r="AH109" s="475"/>
      <c r="AI109" s="475"/>
      <c r="AJ109" s="475"/>
      <c r="AK109" s="475"/>
      <c r="AL109" s="475"/>
      <c r="AM109" s="475"/>
      <c r="AN109" s="475"/>
      <c r="AO109" s="475"/>
      <c r="AP109" s="475"/>
      <c r="AQ109" s="475"/>
      <c r="AR109" s="475"/>
      <c r="AS109" s="475"/>
      <c r="AT109" s="475"/>
      <c r="AU109" s="475"/>
      <c r="AV109" s="475"/>
      <c r="AW109" s="475"/>
      <c r="AX109" s="475"/>
      <c r="AY109" s="475"/>
      <c r="AZ109" s="475"/>
      <c r="BA109" s="475"/>
      <c r="BB109" s="475"/>
      <c r="BC109" s="475"/>
      <c r="BD109" s="475"/>
      <c r="BE109" s="475"/>
      <c r="BF109" s="475"/>
      <c r="BG109" s="475"/>
      <c r="BH109" s="475"/>
      <c r="BI109" s="475"/>
      <c r="BJ109" s="475"/>
      <c r="BK109" s="475"/>
      <c r="BL109" s="475"/>
      <c r="BM109" s="475"/>
      <c r="BN109" s="475"/>
      <c r="BO109" s="475"/>
      <c r="BP109" s="475"/>
      <c r="BQ109" s="475"/>
      <c r="BR109" s="475"/>
      <c r="BS109" s="475"/>
      <c r="BT109" s="475"/>
      <c r="BU109" s="475"/>
      <c r="BV109" s="475"/>
      <c r="BW109" s="475"/>
      <c r="BX109" s="475"/>
      <c r="BY109" s="475"/>
      <c r="BZ109" s="475"/>
      <c r="CA109" s="475"/>
      <c r="CB109" s="475"/>
      <c r="CC109" s="475"/>
    </row>
    <row r="110" customFormat="false" ht="30" hidden="false" customHeight="true" outlineLevel="0" collapsed="false">
      <c r="A110" s="449" t="s">
        <v>1136</v>
      </c>
      <c r="B110" s="460"/>
      <c r="C110" s="460"/>
      <c r="D110" s="538"/>
      <c r="E110" s="461"/>
      <c r="F110" s="461"/>
      <c r="G110" s="489"/>
      <c r="H110" s="484"/>
      <c r="I110" s="484"/>
      <c r="J110" s="484"/>
      <c r="K110" s="484"/>
      <c r="L110" s="464"/>
      <c r="M110" s="533"/>
      <c r="N110" s="484"/>
      <c r="O110" s="484"/>
      <c r="P110" s="484"/>
      <c r="Q110" s="467"/>
      <c r="R110" s="467"/>
      <c r="S110" s="467"/>
      <c r="T110" s="466"/>
      <c r="U110" s="526"/>
      <c r="V110" s="491"/>
      <c r="W110" s="471"/>
      <c r="X110" s="471"/>
      <c r="Y110" s="470"/>
      <c r="Z110" s="471"/>
      <c r="AA110" s="470"/>
      <c r="AB110" s="466"/>
      <c r="AC110" s="466"/>
      <c r="AD110" s="466"/>
      <c r="AE110" s="466"/>
      <c r="AF110" s="466"/>
      <c r="AG110" s="463"/>
      <c r="AH110" s="475"/>
      <c r="AI110" s="475"/>
      <c r="AJ110" s="475"/>
      <c r="AK110" s="475"/>
      <c r="AL110" s="475"/>
      <c r="AM110" s="475"/>
      <c r="AN110" s="475"/>
      <c r="AO110" s="475"/>
      <c r="AP110" s="475"/>
      <c r="AQ110" s="475"/>
      <c r="AR110" s="475"/>
      <c r="AS110" s="475"/>
      <c r="AT110" s="475"/>
      <c r="AU110" s="475"/>
      <c r="AV110" s="475"/>
      <c r="AW110" s="475"/>
      <c r="AX110" s="475"/>
      <c r="AY110" s="475"/>
      <c r="AZ110" s="475"/>
      <c r="BA110" s="475"/>
      <c r="BB110" s="475"/>
      <c r="BC110" s="475"/>
      <c r="BD110" s="475"/>
      <c r="BE110" s="475"/>
      <c r="BF110" s="475"/>
      <c r="BG110" s="475"/>
      <c r="BH110" s="475"/>
      <c r="BI110" s="475"/>
      <c r="BJ110" s="475"/>
      <c r="BK110" s="475"/>
      <c r="BL110" s="475"/>
      <c r="BM110" s="475"/>
      <c r="BN110" s="475"/>
      <c r="BO110" s="475"/>
      <c r="BP110" s="475"/>
      <c r="BQ110" s="475"/>
      <c r="BR110" s="475"/>
      <c r="BS110" s="475"/>
      <c r="BT110" s="475"/>
      <c r="BU110" s="475"/>
      <c r="BV110" s="475"/>
      <c r="BW110" s="475"/>
      <c r="BX110" s="475"/>
      <c r="BY110" s="475"/>
      <c r="BZ110" s="475"/>
      <c r="CA110" s="475"/>
      <c r="CB110" s="475"/>
      <c r="CC110" s="475"/>
    </row>
    <row r="111" customFormat="false" ht="30" hidden="false" customHeight="true" outlineLevel="0" collapsed="false">
      <c r="A111" s="449" t="s">
        <v>1137</v>
      </c>
      <c r="B111" s="460"/>
      <c r="C111" s="460"/>
      <c r="D111" s="259"/>
      <c r="E111" s="461"/>
      <c r="F111" s="461"/>
      <c r="G111" s="486"/>
      <c r="H111" s="490"/>
      <c r="I111" s="484"/>
      <c r="J111" s="484"/>
      <c r="K111" s="484"/>
      <c r="L111" s="464"/>
      <c r="M111" s="533"/>
      <c r="N111" s="466"/>
      <c r="O111" s="466"/>
      <c r="P111" s="466"/>
      <c r="Q111" s="467"/>
      <c r="R111" s="467"/>
      <c r="S111" s="467"/>
      <c r="T111" s="466"/>
      <c r="U111" s="468"/>
      <c r="V111" s="469"/>
      <c r="W111" s="471"/>
      <c r="X111" s="471"/>
      <c r="Y111" s="471"/>
      <c r="Z111" s="471"/>
      <c r="AA111" s="470"/>
      <c r="AB111" s="473"/>
      <c r="AC111" s="473"/>
      <c r="AD111" s="466"/>
      <c r="AE111" s="466"/>
      <c r="AF111" s="466"/>
      <c r="AG111" s="478"/>
      <c r="AH111" s="475"/>
      <c r="AI111" s="475"/>
      <c r="AJ111" s="475"/>
      <c r="AK111" s="475"/>
      <c r="AL111" s="475"/>
      <c r="AM111" s="475"/>
      <c r="AN111" s="475"/>
      <c r="AO111" s="475"/>
      <c r="AP111" s="475"/>
      <c r="AQ111" s="475"/>
      <c r="AR111" s="475"/>
      <c r="AS111" s="475"/>
      <c r="AT111" s="475"/>
      <c r="AU111" s="475"/>
      <c r="AV111" s="475"/>
      <c r="AW111" s="475"/>
      <c r="AX111" s="475"/>
      <c r="AY111" s="475"/>
      <c r="AZ111" s="475"/>
      <c r="BA111" s="475"/>
      <c r="BB111" s="475"/>
      <c r="BC111" s="475"/>
      <c r="BD111" s="475"/>
      <c r="BE111" s="475"/>
      <c r="BF111" s="475"/>
      <c r="BG111" s="475"/>
      <c r="BH111" s="475"/>
      <c r="BI111" s="475"/>
      <c r="BJ111" s="475"/>
      <c r="BK111" s="475"/>
      <c r="BL111" s="475"/>
      <c r="BM111" s="475"/>
      <c r="BN111" s="475"/>
      <c r="BO111" s="475"/>
      <c r="BP111" s="475"/>
      <c r="BQ111" s="475"/>
      <c r="BR111" s="475"/>
      <c r="BS111" s="475"/>
      <c r="BT111" s="475"/>
      <c r="BU111" s="475"/>
      <c r="BV111" s="475"/>
      <c r="BW111" s="475"/>
      <c r="BX111" s="475"/>
      <c r="BY111" s="475"/>
      <c r="BZ111" s="475"/>
      <c r="CA111" s="475"/>
      <c r="CB111" s="475"/>
      <c r="CC111" s="475"/>
    </row>
    <row r="112" customFormat="false" ht="30" hidden="false" customHeight="true" outlineLevel="0" collapsed="false">
      <c r="A112" s="449" t="s">
        <v>1138</v>
      </c>
      <c r="B112" s="460"/>
      <c r="C112" s="460"/>
      <c r="D112" s="538"/>
      <c r="E112" s="461"/>
      <c r="F112" s="461"/>
      <c r="G112" s="486"/>
      <c r="H112" s="490"/>
      <c r="I112" s="484"/>
      <c r="J112" s="484"/>
      <c r="K112" s="484"/>
      <c r="L112" s="464"/>
      <c r="M112" s="465"/>
      <c r="N112" s="484"/>
      <c r="O112" s="466"/>
      <c r="P112" s="466"/>
      <c r="Q112" s="467"/>
      <c r="R112" s="467"/>
      <c r="S112" s="467"/>
      <c r="T112" s="466"/>
      <c r="U112" s="468"/>
      <c r="V112" s="469"/>
      <c r="W112" s="470"/>
      <c r="X112" s="471"/>
      <c r="Y112" s="470"/>
      <c r="Z112" s="471"/>
      <c r="AA112" s="470"/>
      <c r="AB112" s="466"/>
      <c r="AC112" s="466"/>
      <c r="AD112" s="466"/>
      <c r="AE112" s="466"/>
      <c r="AF112" s="466"/>
      <c r="AG112" s="478"/>
      <c r="AH112" s="475"/>
      <c r="AI112" s="475"/>
      <c r="AJ112" s="475"/>
      <c r="AK112" s="475"/>
      <c r="AL112" s="475"/>
      <c r="AM112" s="475"/>
      <c r="AN112" s="475"/>
      <c r="AO112" s="475"/>
      <c r="AP112" s="475"/>
      <c r="AQ112" s="475"/>
      <c r="AR112" s="475"/>
      <c r="AS112" s="475"/>
      <c r="AT112" s="475"/>
      <c r="AU112" s="475"/>
      <c r="AV112" s="475"/>
      <c r="AW112" s="475"/>
      <c r="AX112" s="475"/>
      <c r="AY112" s="475"/>
      <c r="AZ112" s="475"/>
      <c r="BA112" s="475"/>
      <c r="BB112" s="475"/>
      <c r="BC112" s="475"/>
      <c r="BD112" s="475"/>
      <c r="BE112" s="475"/>
      <c r="BF112" s="475"/>
      <c r="BG112" s="475"/>
      <c r="BH112" s="475"/>
      <c r="BI112" s="475"/>
      <c r="BJ112" s="475"/>
      <c r="BK112" s="475"/>
      <c r="BL112" s="475"/>
      <c r="BM112" s="475"/>
      <c r="BN112" s="475"/>
      <c r="BO112" s="475"/>
      <c r="BP112" s="475"/>
      <c r="BQ112" s="475"/>
      <c r="BR112" s="475"/>
      <c r="BS112" s="475"/>
      <c r="BT112" s="475"/>
      <c r="BU112" s="475"/>
      <c r="BV112" s="475"/>
      <c r="BW112" s="475"/>
      <c r="BX112" s="475"/>
      <c r="BY112" s="475"/>
      <c r="BZ112" s="475"/>
      <c r="CA112" s="475"/>
      <c r="CB112" s="475"/>
      <c r="CC112" s="475"/>
    </row>
    <row r="113" customFormat="false" ht="30" hidden="false" customHeight="true" outlineLevel="0" collapsed="false">
      <c r="A113" s="449" t="s">
        <v>1139</v>
      </c>
      <c r="B113" s="460"/>
      <c r="C113" s="460"/>
      <c r="D113" s="259"/>
      <c r="E113" s="461"/>
      <c r="F113" s="461"/>
      <c r="G113" s="486"/>
      <c r="H113" s="490"/>
      <c r="I113" s="484"/>
      <c r="J113" s="484"/>
      <c r="K113" s="484"/>
      <c r="L113" s="464"/>
      <c r="M113" s="484"/>
      <c r="N113" s="484"/>
      <c r="O113" s="466"/>
      <c r="P113" s="484"/>
      <c r="Q113" s="467"/>
      <c r="R113" s="467"/>
      <c r="S113" s="467"/>
      <c r="T113" s="467"/>
      <c r="U113" s="468"/>
      <c r="V113" s="469"/>
      <c r="W113" s="470"/>
      <c r="X113" s="471"/>
      <c r="Y113" s="470"/>
      <c r="Z113" s="471"/>
      <c r="AA113" s="471"/>
      <c r="AB113" s="466"/>
      <c r="AC113" s="466"/>
      <c r="AD113" s="466"/>
      <c r="AE113" s="466"/>
      <c r="AF113" s="466"/>
      <c r="AG113" s="478"/>
      <c r="AH113" s="475"/>
      <c r="AI113" s="475"/>
      <c r="AJ113" s="475"/>
      <c r="AK113" s="475"/>
      <c r="AL113" s="475"/>
      <c r="AM113" s="475"/>
      <c r="AN113" s="475"/>
      <c r="AO113" s="475"/>
      <c r="AP113" s="475"/>
      <c r="AQ113" s="475"/>
      <c r="AR113" s="475"/>
      <c r="AS113" s="475"/>
      <c r="AT113" s="475"/>
      <c r="AU113" s="475"/>
      <c r="AV113" s="475"/>
      <c r="AW113" s="475"/>
      <c r="AX113" s="475"/>
      <c r="AY113" s="475"/>
      <c r="AZ113" s="475"/>
      <c r="BA113" s="475"/>
      <c r="BB113" s="475"/>
      <c r="BC113" s="475"/>
      <c r="BD113" s="475"/>
      <c r="BE113" s="475"/>
      <c r="BF113" s="475"/>
      <c r="BG113" s="475"/>
      <c r="BH113" s="475"/>
      <c r="BI113" s="475"/>
      <c r="BJ113" s="475"/>
      <c r="BK113" s="475"/>
      <c r="BL113" s="475"/>
      <c r="BM113" s="475"/>
      <c r="BN113" s="475"/>
      <c r="BO113" s="475"/>
      <c r="BP113" s="475"/>
      <c r="BQ113" s="475"/>
      <c r="BR113" s="475"/>
      <c r="BS113" s="475"/>
      <c r="BT113" s="475"/>
      <c r="BU113" s="475"/>
      <c r="BV113" s="475"/>
      <c r="BW113" s="475"/>
      <c r="BX113" s="475"/>
      <c r="BY113" s="475"/>
      <c r="BZ113" s="475"/>
      <c r="CA113" s="475"/>
      <c r="CB113" s="475"/>
      <c r="CC113" s="475"/>
    </row>
    <row r="114" customFormat="false" ht="30" hidden="false" customHeight="true" outlineLevel="0" collapsed="false">
      <c r="A114" s="449" t="s">
        <v>1140</v>
      </c>
      <c r="B114" s="460"/>
      <c r="C114" s="460"/>
      <c r="D114" s="259"/>
      <c r="E114" s="461"/>
      <c r="F114" s="461"/>
      <c r="G114" s="486"/>
      <c r="H114" s="490"/>
      <c r="I114" s="484"/>
      <c r="J114" s="484"/>
      <c r="K114" s="484"/>
      <c r="L114" s="464"/>
      <c r="M114" s="484"/>
      <c r="N114" s="484"/>
      <c r="O114" s="466"/>
      <c r="P114" s="466"/>
      <c r="Q114" s="467"/>
      <c r="R114" s="467"/>
      <c r="S114" s="467"/>
      <c r="T114" s="467"/>
      <c r="U114" s="468"/>
      <c r="V114" s="469"/>
      <c r="W114" s="470"/>
      <c r="X114" s="471"/>
      <c r="Y114" s="470"/>
      <c r="Z114" s="471"/>
      <c r="AA114" s="471"/>
      <c r="AB114" s="466"/>
      <c r="AC114" s="466"/>
      <c r="AD114" s="466"/>
      <c r="AE114" s="466"/>
      <c r="AF114" s="466"/>
      <c r="AG114" s="478"/>
      <c r="AH114" s="475"/>
      <c r="AI114" s="475"/>
      <c r="AJ114" s="475"/>
      <c r="AK114" s="475"/>
      <c r="AL114" s="475"/>
      <c r="AM114" s="475"/>
      <c r="AN114" s="475"/>
      <c r="AO114" s="475"/>
      <c r="AP114" s="475"/>
      <c r="AQ114" s="475"/>
      <c r="AR114" s="475"/>
      <c r="AS114" s="475"/>
      <c r="AT114" s="475"/>
      <c r="AU114" s="475"/>
      <c r="AV114" s="475"/>
      <c r="AW114" s="475"/>
      <c r="AX114" s="475"/>
      <c r="AY114" s="475"/>
      <c r="AZ114" s="475"/>
      <c r="BA114" s="475"/>
      <c r="BB114" s="475"/>
      <c r="BC114" s="475"/>
      <c r="BD114" s="475"/>
      <c r="BE114" s="475"/>
      <c r="BF114" s="475"/>
      <c r="BG114" s="475"/>
      <c r="BH114" s="475"/>
      <c r="BI114" s="475"/>
      <c r="BJ114" s="475"/>
      <c r="BK114" s="475"/>
      <c r="BL114" s="475"/>
      <c r="BM114" s="475"/>
      <c r="BN114" s="475"/>
      <c r="BO114" s="475"/>
      <c r="BP114" s="475"/>
      <c r="BQ114" s="475"/>
      <c r="BR114" s="475"/>
      <c r="BS114" s="475"/>
      <c r="BT114" s="475"/>
      <c r="BU114" s="475"/>
      <c r="BV114" s="475"/>
      <c r="BW114" s="475"/>
      <c r="BX114" s="475"/>
      <c r="BY114" s="475"/>
      <c r="BZ114" s="475"/>
      <c r="CA114" s="475"/>
      <c r="CB114" s="475"/>
      <c r="CC114" s="475"/>
    </row>
    <row r="115" customFormat="false" ht="30" hidden="false" customHeight="true" outlineLevel="0" collapsed="false">
      <c r="A115" s="449" t="s">
        <v>1141</v>
      </c>
      <c r="B115" s="460"/>
      <c r="C115" s="460"/>
      <c r="D115" s="259"/>
      <c r="E115" s="461"/>
      <c r="F115" s="461"/>
      <c r="G115" s="489"/>
      <c r="H115" s="490"/>
      <c r="I115" s="484"/>
      <c r="J115" s="484"/>
      <c r="K115" s="484"/>
      <c r="L115" s="464"/>
      <c r="M115" s="484"/>
      <c r="N115" s="484"/>
      <c r="O115" s="484"/>
      <c r="P115" s="484"/>
      <c r="Q115" s="467"/>
      <c r="R115" s="467"/>
      <c r="S115" s="467"/>
      <c r="T115" s="467"/>
      <c r="U115" s="468"/>
      <c r="V115" s="469"/>
      <c r="W115" s="470"/>
      <c r="X115" s="471"/>
      <c r="Y115" s="470"/>
      <c r="Z115" s="471"/>
      <c r="AA115" s="471"/>
      <c r="AB115" s="466"/>
      <c r="AC115" s="466"/>
      <c r="AD115" s="466"/>
      <c r="AE115" s="466"/>
      <c r="AF115" s="466"/>
      <c r="AG115" s="478"/>
      <c r="AH115" s="475"/>
      <c r="AI115" s="475"/>
      <c r="AJ115" s="475"/>
      <c r="AK115" s="475"/>
      <c r="AL115" s="475"/>
      <c r="AM115" s="475"/>
      <c r="AN115" s="475"/>
      <c r="AO115" s="475"/>
      <c r="AP115" s="475"/>
      <c r="AQ115" s="475"/>
      <c r="AR115" s="475"/>
      <c r="AS115" s="475"/>
      <c r="AT115" s="475"/>
      <c r="AU115" s="475"/>
      <c r="AV115" s="475"/>
      <c r="AW115" s="475"/>
      <c r="AX115" s="475"/>
      <c r="AY115" s="475"/>
      <c r="AZ115" s="475"/>
      <c r="BA115" s="475"/>
      <c r="BB115" s="475"/>
      <c r="BC115" s="475"/>
      <c r="BD115" s="475"/>
      <c r="BE115" s="475"/>
      <c r="BF115" s="475"/>
      <c r="BG115" s="475"/>
      <c r="BH115" s="475"/>
      <c r="BI115" s="475"/>
      <c r="BJ115" s="475"/>
      <c r="BK115" s="475"/>
      <c r="BL115" s="475"/>
      <c r="BM115" s="475"/>
      <c r="BN115" s="475"/>
      <c r="BO115" s="475"/>
      <c r="BP115" s="475"/>
      <c r="BQ115" s="475"/>
      <c r="BR115" s="475"/>
      <c r="BS115" s="475"/>
      <c r="BT115" s="475"/>
      <c r="BU115" s="475"/>
      <c r="BV115" s="475"/>
      <c r="BW115" s="475"/>
      <c r="BX115" s="475"/>
      <c r="BY115" s="475"/>
      <c r="BZ115" s="475"/>
      <c r="CA115" s="475"/>
      <c r="CB115" s="475"/>
      <c r="CC115" s="475"/>
    </row>
    <row r="116" customFormat="false" ht="30" hidden="false" customHeight="true" outlineLevel="0" collapsed="false">
      <c r="A116" s="449" t="s">
        <v>1142</v>
      </c>
      <c r="B116" s="460"/>
      <c r="C116" s="460"/>
      <c r="D116" s="259"/>
      <c r="E116" s="461"/>
      <c r="F116" s="461"/>
      <c r="G116" s="486"/>
      <c r="H116" s="490"/>
      <c r="I116" s="484"/>
      <c r="J116" s="484"/>
      <c r="K116" s="484"/>
      <c r="L116" s="464"/>
      <c r="M116" s="484"/>
      <c r="N116" s="484"/>
      <c r="O116" s="466"/>
      <c r="P116" s="484"/>
      <c r="Q116" s="467"/>
      <c r="R116" s="467"/>
      <c r="S116" s="467"/>
      <c r="T116" s="466"/>
      <c r="U116" s="468"/>
      <c r="V116" s="491"/>
      <c r="W116" s="470"/>
      <c r="X116" s="471"/>
      <c r="Y116" s="470"/>
      <c r="Z116" s="471"/>
      <c r="AA116" s="471"/>
      <c r="AB116" s="466"/>
      <c r="AC116" s="466"/>
      <c r="AD116" s="466"/>
      <c r="AE116" s="466"/>
      <c r="AF116" s="466"/>
      <c r="AG116" s="478"/>
      <c r="AH116" s="475"/>
      <c r="AI116" s="475"/>
      <c r="AJ116" s="475"/>
      <c r="AK116" s="475"/>
      <c r="AL116" s="475"/>
      <c r="AM116" s="475"/>
      <c r="AN116" s="475"/>
      <c r="AO116" s="475"/>
      <c r="AP116" s="475"/>
      <c r="AQ116" s="475"/>
      <c r="AR116" s="475"/>
      <c r="AS116" s="475"/>
      <c r="AT116" s="475"/>
      <c r="AU116" s="475"/>
      <c r="AV116" s="475"/>
      <c r="AW116" s="475"/>
      <c r="AX116" s="475"/>
      <c r="AY116" s="475"/>
      <c r="AZ116" s="475"/>
      <c r="BA116" s="475"/>
      <c r="BB116" s="475"/>
      <c r="BC116" s="475"/>
      <c r="BD116" s="475"/>
      <c r="BE116" s="475"/>
      <c r="BF116" s="475"/>
      <c r="BG116" s="475"/>
      <c r="BH116" s="475"/>
      <c r="BI116" s="475"/>
      <c r="BJ116" s="475"/>
      <c r="BK116" s="475"/>
      <c r="BL116" s="475"/>
      <c r="BM116" s="475"/>
      <c r="BN116" s="475"/>
      <c r="BO116" s="475"/>
      <c r="BP116" s="475"/>
      <c r="BQ116" s="475"/>
      <c r="BR116" s="475"/>
      <c r="BS116" s="475"/>
      <c r="BT116" s="475"/>
      <c r="BU116" s="475"/>
      <c r="BV116" s="475"/>
      <c r="BW116" s="475"/>
      <c r="BX116" s="475"/>
      <c r="BY116" s="475"/>
      <c r="BZ116" s="475"/>
      <c r="CA116" s="475"/>
      <c r="CB116" s="475"/>
      <c r="CC116" s="475"/>
    </row>
    <row r="117" customFormat="false" ht="30" hidden="false" customHeight="true" outlineLevel="0" collapsed="false">
      <c r="A117" s="449" t="s">
        <v>1143</v>
      </c>
      <c r="B117" s="460"/>
      <c r="C117" s="460"/>
      <c r="D117" s="259"/>
      <c r="E117" s="461"/>
      <c r="F117" s="461"/>
      <c r="G117" s="486"/>
      <c r="H117" s="490"/>
      <c r="I117" s="484"/>
      <c r="J117" s="484"/>
      <c r="K117" s="484"/>
      <c r="L117" s="464"/>
      <c r="M117" s="484"/>
      <c r="N117" s="484"/>
      <c r="O117" s="484"/>
      <c r="P117" s="484"/>
      <c r="Q117" s="467"/>
      <c r="R117" s="467"/>
      <c r="S117" s="467"/>
      <c r="T117" s="466"/>
      <c r="U117" s="468"/>
      <c r="V117" s="491"/>
      <c r="W117" s="470"/>
      <c r="X117" s="471"/>
      <c r="Y117" s="470"/>
      <c r="Z117" s="471"/>
      <c r="AA117" s="471"/>
      <c r="AB117" s="466"/>
      <c r="AC117" s="466"/>
      <c r="AD117" s="466"/>
      <c r="AE117" s="466"/>
      <c r="AF117" s="466"/>
      <c r="AG117" s="478"/>
      <c r="AH117" s="475"/>
      <c r="AI117" s="475"/>
      <c r="AJ117" s="475"/>
      <c r="AK117" s="475"/>
      <c r="AL117" s="475"/>
      <c r="AM117" s="475"/>
      <c r="AN117" s="475"/>
      <c r="AO117" s="475"/>
      <c r="AP117" s="475"/>
      <c r="AQ117" s="475"/>
      <c r="AR117" s="475"/>
      <c r="AS117" s="475"/>
      <c r="AT117" s="475"/>
      <c r="AU117" s="475"/>
      <c r="AV117" s="475"/>
      <c r="AW117" s="475"/>
      <c r="AX117" s="475"/>
      <c r="AY117" s="475"/>
      <c r="AZ117" s="475"/>
      <c r="BA117" s="475"/>
      <c r="BB117" s="475"/>
      <c r="BC117" s="475"/>
      <c r="BD117" s="475"/>
      <c r="BE117" s="475"/>
      <c r="BF117" s="475"/>
      <c r="BG117" s="475"/>
      <c r="BH117" s="475"/>
      <c r="BI117" s="475"/>
      <c r="BJ117" s="475"/>
      <c r="BK117" s="475"/>
      <c r="BL117" s="475"/>
      <c r="BM117" s="475"/>
      <c r="BN117" s="475"/>
      <c r="BO117" s="475"/>
      <c r="BP117" s="475"/>
      <c r="BQ117" s="475"/>
      <c r="BR117" s="475"/>
      <c r="BS117" s="475"/>
      <c r="BT117" s="475"/>
      <c r="BU117" s="475"/>
      <c r="BV117" s="475"/>
      <c r="BW117" s="475"/>
      <c r="BX117" s="475"/>
      <c r="BY117" s="475"/>
      <c r="BZ117" s="475"/>
      <c r="CA117" s="475"/>
      <c r="CB117" s="475"/>
      <c r="CC117" s="475"/>
    </row>
    <row r="118" customFormat="false" ht="30" hidden="false" customHeight="true" outlineLevel="0" collapsed="false">
      <c r="A118" s="449" t="s">
        <v>1144</v>
      </c>
      <c r="B118" s="460"/>
      <c r="C118" s="460"/>
      <c r="D118" s="259"/>
      <c r="E118" s="461"/>
      <c r="F118" s="461"/>
      <c r="G118" s="486"/>
      <c r="H118" s="490"/>
      <c r="I118" s="484"/>
      <c r="J118" s="484"/>
      <c r="K118" s="484"/>
      <c r="L118" s="464"/>
      <c r="M118" s="484"/>
      <c r="N118" s="484"/>
      <c r="O118" s="484"/>
      <c r="P118" s="484"/>
      <c r="Q118" s="467"/>
      <c r="R118" s="467"/>
      <c r="S118" s="467"/>
      <c r="T118" s="466"/>
      <c r="U118" s="468"/>
      <c r="V118" s="491"/>
      <c r="W118" s="470"/>
      <c r="X118" s="471"/>
      <c r="Y118" s="470"/>
      <c r="Z118" s="471"/>
      <c r="AA118" s="471"/>
      <c r="AB118" s="466"/>
      <c r="AC118" s="466"/>
      <c r="AD118" s="466"/>
      <c r="AE118" s="466"/>
      <c r="AF118" s="466"/>
      <c r="AG118" s="478"/>
      <c r="AH118" s="475"/>
      <c r="AI118" s="475"/>
      <c r="AJ118" s="475"/>
      <c r="AK118" s="475"/>
      <c r="AL118" s="475"/>
      <c r="AM118" s="475"/>
      <c r="AN118" s="475"/>
      <c r="AO118" s="475"/>
      <c r="AP118" s="475"/>
      <c r="AQ118" s="475"/>
      <c r="AR118" s="475"/>
      <c r="AS118" s="475"/>
      <c r="AT118" s="475"/>
      <c r="AU118" s="475"/>
      <c r="AV118" s="475"/>
      <c r="AW118" s="475"/>
      <c r="AX118" s="475"/>
      <c r="AY118" s="475"/>
      <c r="AZ118" s="475"/>
      <c r="BA118" s="475"/>
      <c r="BB118" s="475"/>
      <c r="BC118" s="475"/>
      <c r="BD118" s="475"/>
      <c r="BE118" s="475"/>
      <c r="BF118" s="475"/>
      <c r="BG118" s="475"/>
      <c r="BH118" s="475"/>
      <c r="BI118" s="475"/>
      <c r="BJ118" s="475"/>
      <c r="BK118" s="475"/>
      <c r="BL118" s="475"/>
      <c r="BM118" s="475"/>
      <c r="BN118" s="475"/>
      <c r="BO118" s="475"/>
      <c r="BP118" s="475"/>
      <c r="BQ118" s="475"/>
      <c r="BR118" s="475"/>
      <c r="BS118" s="475"/>
      <c r="BT118" s="475"/>
      <c r="BU118" s="475"/>
      <c r="BV118" s="475"/>
      <c r="BW118" s="475"/>
      <c r="BX118" s="475"/>
      <c r="BY118" s="475"/>
      <c r="BZ118" s="475"/>
      <c r="CA118" s="475"/>
      <c r="CB118" s="475"/>
      <c r="CC118" s="475"/>
    </row>
    <row r="119" customFormat="false" ht="30" hidden="false" customHeight="true" outlineLevel="0" collapsed="false">
      <c r="A119" s="449" t="s">
        <v>1145</v>
      </c>
      <c r="B119" s="460"/>
      <c r="C119" s="460"/>
      <c r="D119" s="259"/>
      <c r="E119" s="461"/>
      <c r="F119" s="461"/>
      <c r="G119" s="486"/>
      <c r="H119" s="490"/>
      <c r="I119" s="484"/>
      <c r="J119" s="484"/>
      <c r="K119" s="484"/>
      <c r="L119" s="464"/>
      <c r="M119" s="484"/>
      <c r="N119" s="484"/>
      <c r="O119" s="484"/>
      <c r="P119" s="484"/>
      <c r="Q119" s="467"/>
      <c r="R119" s="467"/>
      <c r="S119" s="467"/>
      <c r="T119" s="466"/>
      <c r="U119" s="468"/>
      <c r="V119" s="491"/>
      <c r="W119" s="470"/>
      <c r="X119" s="471"/>
      <c r="Y119" s="470"/>
      <c r="Z119" s="471"/>
      <c r="AA119" s="471"/>
      <c r="AB119" s="466"/>
      <c r="AC119" s="466"/>
      <c r="AD119" s="466"/>
      <c r="AE119" s="466"/>
      <c r="AF119" s="466"/>
      <c r="AG119" s="478"/>
      <c r="AH119" s="475"/>
      <c r="AI119" s="475"/>
      <c r="AJ119" s="475"/>
      <c r="AK119" s="475"/>
      <c r="AL119" s="475"/>
      <c r="AM119" s="475"/>
      <c r="AN119" s="475"/>
      <c r="AO119" s="475"/>
      <c r="AP119" s="475"/>
      <c r="AQ119" s="475"/>
      <c r="AR119" s="475"/>
      <c r="AS119" s="475"/>
      <c r="AT119" s="475"/>
      <c r="AU119" s="475"/>
      <c r="AV119" s="475"/>
      <c r="AW119" s="475"/>
      <c r="AX119" s="475"/>
      <c r="AY119" s="475"/>
      <c r="AZ119" s="475"/>
      <c r="BA119" s="475"/>
      <c r="BB119" s="475"/>
      <c r="BC119" s="475"/>
      <c r="BD119" s="475"/>
      <c r="BE119" s="475"/>
      <c r="BF119" s="475"/>
      <c r="BG119" s="475"/>
      <c r="BH119" s="475"/>
      <c r="BI119" s="475"/>
      <c r="BJ119" s="475"/>
      <c r="BK119" s="475"/>
      <c r="BL119" s="475"/>
      <c r="BM119" s="475"/>
      <c r="BN119" s="475"/>
      <c r="BO119" s="475"/>
      <c r="BP119" s="475"/>
      <c r="BQ119" s="475"/>
      <c r="BR119" s="475"/>
      <c r="BS119" s="475"/>
      <c r="BT119" s="475"/>
      <c r="BU119" s="475"/>
      <c r="BV119" s="475"/>
      <c r="BW119" s="475"/>
      <c r="BX119" s="475"/>
      <c r="BY119" s="475"/>
      <c r="BZ119" s="475"/>
      <c r="CA119" s="475"/>
      <c r="CB119" s="475"/>
      <c r="CC119" s="475"/>
    </row>
    <row r="120" customFormat="false" ht="30" hidden="false" customHeight="true" outlineLevel="0" collapsed="false">
      <c r="A120" s="449" t="s">
        <v>1146</v>
      </c>
      <c r="B120" s="460"/>
      <c r="C120" s="460"/>
      <c r="D120" s="259"/>
      <c r="E120" s="461"/>
      <c r="F120" s="461"/>
      <c r="G120" s="486"/>
      <c r="H120" s="490"/>
      <c r="I120" s="484"/>
      <c r="J120" s="484"/>
      <c r="K120" s="484"/>
      <c r="L120" s="464"/>
      <c r="M120" s="484"/>
      <c r="N120" s="484"/>
      <c r="O120" s="484"/>
      <c r="P120" s="484"/>
      <c r="Q120" s="467"/>
      <c r="R120" s="467"/>
      <c r="S120" s="467"/>
      <c r="T120" s="466"/>
      <c r="U120" s="468"/>
      <c r="V120" s="491"/>
      <c r="W120" s="470"/>
      <c r="X120" s="471"/>
      <c r="Y120" s="470"/>
      <c r="Z120" s="471"/>
      <c r="AA120" s="471"/>
      <c r="AB120" s="466"/>
      <c r="AC120" s="466"/>
      <c r="AD120" s="466"/>
      <c r="AE120" s="466"/>
      <c r="AF120" s="466"/>
      <c r="AG120" s="478"/>
      <c r="AH120" s="475"/>
      <c r="AI120" s="475"/>
      <c r="AJ120" s="475"/>
      <c r="AK120" s="475"/>
      <c r="AL120" s="475"/>
      <c r="AM120" s="475"/>
      <c r="AN120" s="475"/>
      <c r="AO120" s="475"/>
      <c r="AP120" s="475"/>
      <c r="AQ120" s="475"/>
      <c r="AR120" s="475"/>
      <c r="AS120" s="475"/>
      <c r="AT120" s="475"/>
      <c r="AU120" s="475"/>
      <c r="AV120" s="475"/>
      <c r="AW120" s="475"/>
      <c r="AX120" s="475"/>
      <c r="AY120" s="475"/>
      <c r="AZ120" s="475"/>
      <c r="BA120" s="475"/>
      <c r="BB120" s="475"/>
      <c r="BC120" s="475"/>
      <c r="BD120" s="475"/>
      <c r="BE120" s="475"/>
      <c r="BF120" s="475"/>
      <c r="BG120" s="475"/>
      <c r="BH120" s="475"/>
      <c r="BI120" s="475"/>
      <c r="BJ120" s="475"/>
      <c r="BK120" s="475"/>
      <c r="BL120" s="475"/>
      <c r="BM120" s="475"/>
      <c r="BN120" s="475"/>
      <c r="BO120" s="475"/>
      <c r="BP120" s="475"/>
      <c r="BQ120" s="475"/>
      <c r="BR120" s="475"/>
      <c r="BS120" s="475"/>
      <c r="BT120" s="475"/>
      <c r="BU120" s="475"/>
      <c r="BV120" s="475"/>
      <c r="BW120" s="475"/>
      <c r="BX120" s="475"/>
      <c r="BY120" s="475"/>
      <c r="BZ120" s="475"/>
      <c r="CA120" s="475"/>
      <c r="CB120" s="475"/>
      <c r="CC120" s="475"/>
    </row>
    <row r="121" customFormat="false" ht="30" hidden="false" customHeight="true" outlineLevel="0" collapsed="false">
      <c r="A121" s="449" t="s">
        <v>1147</v>
      </c>
      <c r="B121" s="460"/>
      <c r="C121" s="460"/>
      <c r="D121" s="259"/>
      <c r="E121" s="461"/>
      <c r="F121" s="461"/>
      <c r="G121" s="486"/>
      <c r="H121" s="490"/>
      <c r="I121" s="484"/>
      <c r="J121" s="484"/>
      <c r="K121" s="484"/>
      <c r="L121" s="464"/>
      <c r="M121" s="533"/>
      <c r="N121" s="484"/>
      <c r="O121" s="484"/>
      <c r="P121" s="484"/>
      <c r="Q121" s="467"/>
      <c r="R121" s="467"/>
      <c r="S121" s="467"/>
      <c r="T121" s="466"/>
      <c r="U121" s="468"/>
      <c r="V121" s="491"/>
      <c r="W121" s="470"/>
      <c r="X121" s="471"/>
      <c r="Y121" s="470"/>
      <c r="Z121" s="471"/>
      <c r="AA121" s="470"/>
      <c r="AB121" s="473"/>
      <c r="AC121" s="473"/>
      <c r="AD121" s="466"/>
      <c r="AE121" s="466"/>
      <c r="AF121" s="466"/>
      <c r="AG121" s="478"/>
      <c r="AH121" s="475"/>
      <c r="AI121" s="475"/>
      <c r="AJ121" s="475"/>
      <c r="AK121" s="475"/>
      <c r="AL121" s="475"/>
      <c r="AM121" s="475"/>
      <c r="AN121" s="475"/>
      <c r="AO121" s="475"/>
      <c r="AP121" s="475"/>
      <c r="AQ121" s="475"/>
      <c r="AR121" s="475"/>
      <c r="AS121" s="475"/>
      <c r="AT121" s="475"/>
      <c r="AU121" s="475"/>
      <c r="AV121" s="475"/>
      <c r="AW121" s="475"/>
      <c r="AX121" s="475"/>
      <c r="AY121" s="475"/>
      <c r="AZ121" s="475"/>
      <c r="BA121" s="475"/>
      <c r="BB121" s="475"/>
      <c r="BC121" s="475"/>
      <c r="BD121" s="475"/>
      <c r="BE121" s="475"/>
      <c r="BF121" s="475"/>
      <c r="BG121" s="475"/>
      <c r="BH121" s="475"/>
      <c r="BI121" s="475"/>
      <c r="BJ121" s="475"/>
      <c r="BK121" s="475"/>
      <c r="BL121" s="475"/>
      <c r="BM121" s="475"/>
      <c r="BN121" s="475"/>
      <c r="BO121" s="475"/>
      <c r="BP121" s="475"/>
      <c r="BQ121" s="475"/>
      <c r="BR121" s="475"/>
      <c r="BS121" s="475"/>
      <c r="BT121" s="475"/>
      <c r="BU121" s="475"/>
      <c r="BV121" s="475"/>
      <c r="BW121" s="475"/>
      <c r="BX121" s="475"/>
      <c r="BY121" s="475"/>
      <c r="BZ121" s="475"/>
      <c r="CA121" s="475"/>
      <c r="CB121" s="475"/>
      <c r="CC121" s="475"/>
    </row>
    <row r="122" customFormat="false" ht="30" hidden="false" customHeight="true" outlineLevel="0" collapsed="false">
      <c r="A122" s="449" t="s">
        <v>1148</v>
      </c>
      <c r="B122" s="460"/>
      <c r="C122" s="460"/>
      <c r="D122" s="259"/>
      <c r="E122" s="461"/>
      <c r="F122" s="461"/>
      <c r="G122" s="489"/>
      <c r="H122" s="490"/>
      <c r="I122" s="484"/>
      <c r="J122" s="484"/>
      <c r="K122" s="484"/>
      <c r="L122" s="464"/>
      <c r="M122" s="533"/>
      <c r="N122" s="484"/>
      <c r="O122" s="466"/>
      <c r="P122" s="484"/>
      <c r="Q122" s="467"/>
      <c r="R122" s="467"/>
      <c r="S122" s="467"/>
      <c r="T122" s="466"/>
      <c r="U122" s="468"/>
      <c r="V122" s="469"/>
      <c r="W122" s="470"/>
      <c r="X122" s="471"/>
      <c r="Y122" s="470"/>
      <c r="Z122" s="471"/>
      <c r="AA122" s="470"/>
      <c r="AB122" s="473"/>
      <c r="AC122" s="473"/>
      <c r="AD122" s="466"/>
      <c r="AE122" s="466"/>
      <c r="AF122" s="466"/>
      <c r="AG122" s="478"/>
      <c r="AH122" s="475"/>
      <c r="AI122" s="475"/>
      <c r="AJ122" s="475"/>
      <c r="AK122" s="475"/>
      <c r="AL122" s="475"/>
      <c r="AM122" s="475"/>
      <c r="AN122" s="475"/>
      <c r="AO122" s="475"/>
      <c r="AP122" s="475"/>
      <c r="AQ122" s="475"/>
      <c r="AR122" s="475"/>
      <c r="AS122" s="475"/>
      <c r="AT122" s="475"/>
      <c r="AU122" s="475"/>
      <c r="AV122" s="475"/>
      <c r="AW122" s="475"/>
      <c r="AX122" s="475"/>
      <c r="AY122" s="475"/>
      <c r="AZ122" s="475"/>
      <c r="BA122" s="475"/>
      <c r="BB122" s="475"/>
      <c r="BC122" s="475"/>
      <c r="BD122" s="475"/>
      <c r="BE122" s="475"/>
      <c r="BF122" s="475"/>
      <c r="BG122" s="475"/>
      <c r="BH122" s="475"/>
      <c r="BI122" s="475"/>
      <c r="BJ122" s="475"/>
      <c r="BK122" s="475"/>
      <c r="BL122" s="475"/>
      <c r="BM122" s="475"/>
      <c r="BN122" s="475"/>
      <c r="BO122" s="475"/>
      <c r="BP122" s="475"/>
      <c r="BQ122" s="475"/>
      <c r="BR122" s="475"/>
      <c r="BS122" s="475"/>
      <c r="BT122" s="475"/>
      <c r="BU122" s="475"/>
      <c r="BV122" s="475"/>
      <c r="BW122" s="475"/>
      <c r="BX122" s="475"/>
      <c r="BY122" s="475"/>
      <c r="BZ122" s="475"/>
      <c r="CA122" s="475"/>
      <c r="CB122" s="475"/>
      <c r="CC122" s="475"/>
    </row>
    <row r="123" customFormat="false" ht="30" hidden="false" customHeight="true" outlineLevel="0" collapsed="false">
      <c r="A123" s="449" t="s">
        <v>1149</v>
      </c>
      <c r="B123" s="460"/>
      <c r="C123" s="460"/>
      <c r="D123" s="538"/>
      <c r="E123" s="461"/>
      <c r="F123" s="461"/>
      <c r="G123" s="489"/>
      <c r="H123" s="490"/>
      <c r="I123" s="484"/>
      <c r="J123" s="484"/>
      <c r="K123" s="484"/>
      <c r="L123" s="464"/>
      <c r="M123" s="533"/>
      <c r="N123" s="484"/>
      <c r="O123" s="466"/>
      <c r="P123" s="484"/>
      <c r="Q123" s="467"/>
      <c r="R123" s="467"/>
      <c r="S123" s="467"/>
      <c r="T123" s="466"/>
      <c r="U123" s="468"/>
      <c r="V123" s="469"/>
      <c r="W123" s="470"/>
      <c r="X123" s="471"/>
      <c r="Y123" s="470"/>
      <c r="Z123" s="471"/>
      <c r="AA123" s="470"/>
      <c r="AB123" s="473"/>
      <c r="AC123" s="473"/>
      <c r="AD123" s="466"/>
      <c r="AE123" s="466"/>
      <c r="AF123" s="466"/>
      <c r="AG123" s="478"/>
      <c r="AH123" s="475"/>
      <c r="AI123" s="475"/>
      <c r="AJ123" s="475"/>
      <c r="AK123" s="475"/>
      <c r="AL123" s="475"/>
      <c r="AM123" s="475"/>
      <c r="AN123" s="475"/>
      <c r="AO123" s="475"/>
      <c r="AP123" s="475"/>
      <c r="AQ123" s="475"/>
      <c r="AR123" s="475"/>
      <c r="AS123" s="475"/>
      <c r="AT123" s="475"/>
      <c r="AU123" s="475"/>
      <c r="AV123" s="475"/>
      <c r="AW123" s="475"/>
      <c r="AX123" s="475"/>
      <c r="AY123" s="475"/>
      <c r="AZ123" s="475"/>
      <c r="BA123" s="475"/>
      <c r="BB123" s="475"/>
      <c r="BC123" s="475"/>
      <c r="BD123" s="475"/>
      <c r="BE123" s="475"/>
      <c r="BF123" s="475"/>
      <c r="BG123" s="475"/>
      <c r="BH123" s="475"/>
      <c r="BI123" s="475"/>
      <c r="BJ123" s="475"/>
      <c r="BK123" s="475"/>
      <c r="BL123" s="475"/>
      <c r="BM123" s="475"/>
      <c r="BN123" s="475"/>
      <c r="BO123" s="475"/>
      <c r="BP123" s="475"/>
      <c r="BQ123" s="475"/>
      <c r="BR123" s="475"/>
      <c r="BS123" s="475"/>
      <c r="BT123" s="475"/>
      <c r="BU123" s="475"/>
      <c r="BV123" s="475"/>
      <c r="BW123" s="475"/>
      <c r="BX123" s="475"/>
      <c r="BY123" s="475"/>
      <c r="BZ123" s="475"/>
      <c r="CA123" s="475"/>
      <c r="CB123" s="475"/>
      <c r="CC123" s="475"/>
    </row>
    <row r="124" customFormat="false" ht="30" hidden="false" customHeight="true" outlineLevel="0" collapsed="false">
      <c r="A124" s="449" t="s">
        <v>1150</v>
      </c>
      <c r="B124" s="460"/>
      <c r="C124" s="460"/>
      <c r="D124" s="538"/>
      <c r="E124" s="461"/>
      <c r="F124" s="461"/>
      <c r="G124" s="489"/>
      <c r="H124" s="490"/>
      <c r="I124" s="484"/>
      <c r="J124" s="484"/>
      <c r="K124" s="484"/>
      <c r="L124" s="464"/>
      <c r="M124" s="533"/>
      <c r="N124" s="484"/>
      <c r="O124" s="484"/>
      <c r="P124" s="484"/>
      <c r="Q124" s="467"/>
      <c r="R124" s="467"/>
      <c r="S124" s="467"/>
      <c r="T124" s="466"/>
      <c r="U124" s="468"/>
      <c r="V124" s="469"/>
      <c r="W124" s="470"/>
      <c r="X124" s="471"/>
      <c r="Y124" s="470"/>
      <c r="Z124" s="471"/>
      <c r="AA124" s="470"/>
      <c r="AB124" s="473"/>
      <c r="AC124" s="473"/>
      <c r="AD124" s="466"/>
      <c r="AE124" s="466"/>
      <c r="AF124" s="466"/>
      <c r="AG124" s="478"/>
      <c r="AH124" s="475"/>
      <c r="AI124" s="475"/>
      <c r="AJ124" s="475"/>
      <c r="AK124" s="475"/>
      <c r="AL124" s="475"/>
      <c r="AM124" s="475"/>
      <c r="AN124" s="475"/>
      <c r="AO124" s="475"/>
      <c r="AP124" s="475"/>
      <c r="AQ124" s="475"/>
      <c r="AR124" s="475"/>
      <c r="AS124" s="475"/>
      <c r="AT124" s="475"/>
      <c r="AU124" s="475"/>
      <c r="AV124" s="475"/>
      <c r="AW124" s="475"/>
      <c r="AX124" s="475"/>
      <c r="AY124" s="475"/>
      <c r="AZ124" s="475"/>
      <c r="BA124" s="475"/>
      <c r="BB124" s="475"/>
      <c r="BC124" s="475"/>
      <c r="BD124" s="475"/>
      <c r="BE124" s="475"/>
      <c r="BF124" s="475"/>
      <c r="BG124" s="475"/>
      <c r="BH124" s="475"/>
      <c r="BI124" s="475"/>
      <c r="BJ124" s="475"/>
      <c r="BK124" s="475"/>
      <c r="BL124" s="475"/>
      <c r="BM124" s="475"/>
      <c r="BN124" s="475"/>
      <c r="BO124" s="475"/>
      <c r="BP124" s="475"/>
      <c r="BQ124" s="475"/>
      <c r="BR124" s="475"/>
      <c r="BS124" s="475"/>
      <c r="BT124" s="475"/>
      <c r="BU124" s="475"/>
      <c r="BV124" s="475"/>
      <c r="BW124" s="475"/>
      <c r="BX124" s="475"/>
      <c r="BY124" s="475"/>
      <c r="BZ124" s="475"/>
      <c r="CA124" s="475"/>
      <c r="CB124" s="475"/>
      <c r="CC124" s="475"/>
      <c r="XCJ124" s="541"/>
      <c r="XCK124" s="541"/>
      <c r="XCL124" s="541"/>
      <c r="XCM124" s="541"/>
      <c r="XCN124" s="541"/>
      <c r="XCO124" s="541"/>
      <c r="XCP124" s="541"/>
      <c r="XCQ124" s="541"/>
      <c r="XCR124" s="541"/>
      <c r="XCS124" s="541"/>
      <c r="XCT124" s="541"/>
      <c r="XCU124" s="541"/>
      <c r="XCV124" s="541"/>
      <c r="XCW124" s="541"/>
      <c r="XCX124" s="541"/>
      <c r="XCY124" s="541"/>
      <c r="XCZ124" s="541"/>
      <c r="XDA124" s="541"/>
      <c r="XDB124" s="541"/>
      <c r="XDC124" s="541"/>
      <c r="XDD124" s="541"/>
      <c r="XDE124" s="541"/>
      <c r="XDF124" s="541"/>
      <c r="XDG124" s="541"/>
      <c r="XDH124" s="541"/>
      <c r="XDI124" s="541"/>
      <c r="XDJ124" s="541"/>
      <c r="XDK124" s="541"/>
      <c r="XDL124" s="541"/>
      <c r="XDM124" s="541"/>
      <c r="XDN124" s="541"/>
      <c r="XDO124" s="541"/>
      <c r="XDP124" s="541"/>
      <c r="XDQ124" s="541"/>
      <c r="XDR124" s="541"/>
      <c r="XDS124" s="541"/>
      <c r="XDT124" s="541"/>
      <c r="XDU124" s="541"/>
      <c r="XDV124" s="541"/>
      <c r="XDW124" s="541"/>
      <c r="XDX124" s="541"/>
      <c r="XDY124" s="541"/>
      <c r="XDZ124" s="541"/>
      <c r="XEA124" s="541"/>
      <c r="XEB124" s="541"/>
      <c r="XEC124" s="541"/>
      <c r="XED124" s="541"/>
      <c r="XEE124" s="541"/>
      <c r="XEF124" s="541"/>
      <c r="XEG124" s="541"/>
      <c r="XEH124" s="541"/>
      <c r="XEI124" s="541"/>
      <c r="XEJ124" s="541"/>
      <c r="XEK124" s="541"/>
      <c r="XEL124" s="541"/>
      <c r="XEM124" s="541"/>
      <c r="XEN124" s="541"/>
      <c r="XEO124" s="541"/>
      <c r="XEP124" s="541"/>
      <c r="XEQ124" s="541"/>
      <c r="XER124" s="541"/>
      <c r="XES124" s="541"/>
      <c r="XET124" s="541"/>
      <c r="XEU124" s="541"/>
      <c r="XEV124" s="541"/>
      <c r="XEW124" s="541"/>
      <c r="XEX124" s="541"/>
      <c r="XEY124" s="541"/>
      <c r="XEZ124" s="541"/>
      <c r="XFA124" s="541"/>
      <c r="XFB124" s="541"/>
      <c r="XFC124" s="541"/>
      <c r="XFD124" s="541"/>
    </row>
    <row r="125" customFormat="false" ht="30" hidden="false" customHeight="true" outlineLevel="0" collapsed="false">
      <c r="A125" s="449" t="s">
        <v>1151</v>
      </c>
      <c r="B125" s="460"/>
      <c r="C125" s="460"/>
      <c r="D125" s="259"/>
      <c r="E125" s="461"/>
      <c r="F125" s="461"/>
      <c r="G125" s="486"/>
      <c r="H125" s="490"/>
      <c r="I125" s="484"/>
      <c r="J125" s="484"/>
      <c r="K125" s="484"/>
      <c r="L125" s="464"/>
      <c r="M125" s="533"/>
      <c r="N125" s="484"/>
      <c r="O125" s="484"/>
      <c r="P125" s="484"/>
      <c r="Q125" s="467"/>
      <c r="R125" s="467"/>
      <c r="S125" s="467"/>
      <c r="T125" s="466"/>
      <c r="U125" s="468"/>
      <c r="V125" s="469"/>
      <c r="W125" s="470"/>
      <c r="X125" s="471"/>
      <c r="Y125" s="470"/>
      <c r="Z125" s="471"/>
      <c r="AA125" s="470"/>
      <c r="AB125" s="473"/>
      <c r="AC125" s="473"/>
      <c r="AD125" s="466"/>
      <c r="AE125" s="466"/>
      <c r="AF125" s="466"/>
      <c r="AG125" s="478"/>
      <c r="AH125" s="475"/>
      <c r="AI125" s="475"/>
      <c r="AJ125" s="475"/>
      <c r="AK125" s="475"/>
      <c r="AL125" s="475"/>
      <c r="AM125" s="475"/>
      <c r="AN125" s="475"/>
      <c r="AO125" s="475"/>
      <c r="AP125" s="475"/>
      <c r="AQ125" s="475"/>
      <c r="AR125" s="475"/>
      <c r="AS125" s="475"/>
      <c r="AT125" s="475"/>
      <c r="AU125" s="475"/>
      <c r="AV125" s="475"/>
      <c r="AW125" s="475"/>
      <c r="AX125" s="475"/>
      <c r="AY125" s="475"/>
      <c r="AZ125" s="475"/>
      <c r="BA125" s="475"/>
      <c r="BB125" s="475"/>
      <c r="BC125" s="475"/>
      <c r="BD125" s="475"/>
      <c r="BE125" s="475"/>
      <c r="BF125" s="475"/>
      <c r="BG125" s="475"/>
      <c r="BH125" s="475"/>
      <c r="BI125" s="475"/>
      <c r="BJ125" s="475"/>
      <c r="BK125" s="475"/>
      <c r="BL125" s="475"/>
      <c r="BM125" s="475"/>
      <c r="BN125" s="475"/>
      <c r="BO125" s="475"/>
      <c r="BP125" s="475"/>
      <c r="BQ125" s="475"/>
      <c r="BR125" s="475"/>
      <c r="BS125" s="475"/>
      <c r="BT125" s="475"/>
      <c r="BU125" s="475"/>
      <c r="BV125" s="475"/>
      <c r="BW125" s="475"/>
      <c r="BX125" s="475"/>
      <c r="BY125" s="475"/>
      <c r="BZ125" s="475"/>
      <c r="CA125" s="475"/>
      <c r="CB125" s="475"/>
      <c r="CC125" s="475"/>
    </row>
    <row r="126" customFormat="false" ht="30" hidden="false" customHeight="true" outlineLevel="0" collapsed="false">
      <c r="A126" s="449" t="s">
        <v>1152</v>
      </c>
      <c r="B126" s="460"/>
      <c r="C126" s="460"/>
      <c r="D126" s="259"/>
      <c r="E126" s="461"/>
      <c r="F126" s="461"/>
      <c r="G126" s="515"/>
      <c r="H126" s="490"/>
      <c r="I126" s="484"/>
      <c r="J126" s="484"/>
      <c r="K126" s="484"/>
      <c r="L126" s="464"/>
      <c r="M126" s="533"/>
      <c r="N126" s="484"/>
      <c r="O126" s="484"/>
      <c r="P126" s="484"/>
      <c r="Q126" s="467"/>
      <c r="R126" s="467"/>
      <c r="S126" s="467"/>
      <c r="T126" s="466"/>
      <c r="U126" s="468"/>
      <c r="V126" s="469"/>
      <c r="W126" s="470"/>
      <c r="X126" s="471"/>
      <c r="Y126" s="470"/>
      <c r="Z126" s="471"/>
      <c r="AA126" s="470"/>
      <c r="AB126" s="473"/>
      <c r="AC126" s="473"/>
      <c r="AD126" s="466"/>
      <c r="AE126" s="466"/>
      <c r="AF126" s="466"/>
      <c r="AG126" s="478"/>
      <c r="AH126" s="475"/>
      <c r="AI126" s="475"/>
      <c r="AJ126" s="475"/>
      <c r="AK126" s="475"/>
      <c r="AL126" s="475"/>
      <c r="AM126" s="475"/>
      <c r="AN126" s="475"/>
      <c r="AO126" s="475"/>
      <c r="AP126" s="475"/>
      <c r="AQ126" s="475"/>
      <c r="AR126" s="475"/>
      <c r="AS126" s="475"/>
      <c r="AT126" s="475"/>
      <c r="AU126" s="475"/>
      <c r="AV126" s="475"/>
      <c r="AW126" s="475"/>
      <c r="AX126" s="475"/>
      <c r="AY126" s="475"/>
      <c r="AZ126" s="475"/>
      <c r="BA126" s="475"/>
      <c r="BB126" s="475"/>
      <c r="BC126" s="475"/>
      <c r="BD126" s="475"/>
      <c r="BE126" s="475"/>
      <c r="BF126" s="475"/>
      <c r="BG126" s="475"/>
      <c r="BH126" s="475"/>
      <c r="BI126" s="475"/>
      <c r="BJ126" s="475"/>
      <c r="BK126" s="475"/>
      <c r="BL126" s="475"/>
      <c r="BM126" s="475"/>
      <c r="BN126" s="475"/>
      <c r="BO126" s="475"/>
      <c r="BP126" s="475"/>
      <c r="BQ126" s="475"/>
      <c r="BR126" s="475"/>
      <c r="BS126" s="475"/>
      <c r="BT126" s="475"/>
      <c r="BU126" s="475"/>
      <c r="BV126" s="475"/>
      <c r="BW126" s="475"/>
      <c r="BX126" s="475"/>
      <c r="BY126" s="475"/>
      <c r="BZ126" s="475"/>
      <c r="CA126" s="475"/>
      <c r="CB126" s="475"/>
      <c r="CC126" s="475"/>
    </row>
    <row r="127" customFormat="false" ht="30" hidden="false" customHeight="true" outlineLevel="0" collapsed="false">
      <c r="A127" s="449" t="s">
        <v>1153</v>
      </c>
      <c r="B127" s="460"/>
      <c r="C127" s="460"/>
      <c r="D127" s="538"/>
      <c r="E127" s="461"/>
      <c r="F127" s="461"/>
      <c r="G127" s="486"/>
      <c r="H127" s="490"/>
      <c r="I127" s="484"/>
      <c r="J127" s="484"/>
      <c r="K127" s="484"/>
      <c r="L127" s="464"/>
      <c r="M127" s="533"/>
      <c r="N127" s="484"/>
      <c r="O127" s="484"/>
      <c r="P127" s="484"/>
      <c r="Q127" s="467"/>
      <c r="R127" s="467"/>
      <c r="S127" s="467"/>
      <c r="T127" s="466"/>
      <c r="U127" s="468"/>
      <c r="V127" s="469"/>
      <c r="W127" s="470"/>
      <c r="X127" s="471"/>
      <c r="Y127" s="470"/>
      <c r="Z127" s="471"/>
      <c r="AA127" s="470"/>
      <c r="AB127" s="473"/>
      <c r="AC127" s="473"/>
      <c r="AD127" s="466"/>
      <c r="AE127" s="466"/>
      <c r="AF127" s="466"/>
      <c r="AG127" s="478"/>
      <c r="AH127" s="475"/>
      <c r="AI127" s="475"/>
      <c r="AJ127" s="475"/>
      <c r="AK127" s="475"/>
      <c r="AL127" s="475"/>
      <c r="AM127" s="475"/>
      <c r="AN127" s="475"/>
      <c r="AO127" s="475"/>
      <c r="AP127" s="475"/>
      <c r="AQ127" s="475"/>
      <c r="AR127" s="475"/>
      <c r="AS127" s="475"/>
      <c r="AT127" s="475"/>
      <c r="AU127" s="475"/>
      <c r="AV127" s="475"/>
      <c r="AW127" s="475"/>
      <c r="AX127" s="475"/>
      <c r="AY127" s="475"/>
      <c r="AZ127" s="475"/>
      <c r="BA127" s="475"/>
      <c r="BB127" s="475"/>
      <c r="BC127" s="475"/>
      <c r="BD127" s="475"/>
      <c r="BE127" s="475"/>
      <c r="BF127" s="475"/>
      <c r="BG127" s="475"/>
      <c r="BH127" s="475"/>
      <c r="BI127" s="475"/>
      <c r="BJ127" s="475"/>
      <c r="BK127" s="475"/>
      <c r="BL127" s="475"/>
      <c r="BM127" s="475"/>
      <c r="BN127" s="475"/>
      <c r="BO127" s="475"/>
      <c r="BP127" s="475"/>
      <c r="BQ127" s="475"/>
      <c r="BR127" s="475"/>
      <c r="BS127" s="475"/>
      <c r="BT127" s="475"/>
      <c r="BU127" s="475"/>
      <c r="BV127" s="475"/>
      <c r="BW127" s="475"/>
      <c r="BX127" s="475"/>
      <c r="BY127" s="475"/>
      <c r="BZ127" s="475"/>
      <c r="CA127" s="475"/>
      <c r="CB127" s="475"/>
      <c r="CC127" s="475"/>
    </row>
    <row r="128" customFormat="false" ht="30" hidden="false" customHeight="true" outlineLevel="0" collapsed="false">
      <c r="A128" s="449" t="s">
        <v>1154</v>
      </c>
      <c r="B128" s="460"/>
      <c r="C128" s="460"/>
      <c r="D128" s="538"/>
      <c r="E128" s="461"/>
      <c r="F128" s="461"/>
      <c r="G128" s="486"/>
      <c r="H128" s="490"/>
      <c r="I128" s="484"/>
      <c r="J128" s="484"/>
      <c r="K128" s="484"/>
      <c r="L128" s="464"/>
      <c r="M128" s="533"/>
      <c r="N128" s="484"/>
      <c r="O128" s="484"/>
      <c r="P128" s="484"/>
      <c r="Q128" s="467"/>
      <c r="R128" s="467"/>
      <c r="S128" s="467"/>
      <c r="T128" s="466"/>
      <c r="U128" s="468"/>
      <c r="V128" s="469"/>
      <c r="W128" s="470"/>
      <c r="X128" s="471"/>
      <c r="Y128" s="470"/>
      <c r="Z128" s="471"/>
      <c r="AA128" s="470"/>
      <c r="AB128" s="473"/>
      <c r="AC128" s="473"/>
      <c r="AD128" s="466"/>
      <c r="AE128" s="466"/>
      <c r="AF128" s="466"/>
      <c r="AG128" s="478"/>
      <c r="AH128" s="475"/>
      <c r="AI128" s="475"/>
      <c r="AJ128" s="475"/>
      <c r="AK128" s="475"/>
      <c r="AL128" s="475"/>
      <c r="AM128" s="475"/>
      <c r="AN128" s="475"/>
      <c r="AO128" s="475"/>
      <c r="AP128" s="475"/>
      <c r="AQ128" s="475"/>
      <c r="AR128" s="475"/>
      <c r="AS128" s="475"/>
      <c r="AT128" s="475"/>
      <c r="AU128" s="475"/>
      <c r="AV128" s="475"/>
      <c r="AW128" s="475"/>
      <c r="AX128" s="475"/>
      <c r="AY128" s="475"/>
      <c r="AZ128" s="475"/>
      <c r="BA128" s="475"/>
      <c r="BB128" s="475"/>
      <c r="BC128" s="475"/>
      <c r="BD128" s="475"/>
      <c r="BE128" s="475"/>
      <c r="BF128" s="475"/>
      <c r="BG128" s="475"/>
      <c r="BH128" s="475"/>
      <c r="BI128" s="475"/>
      <c r="BJ128" s="475"/>
      <c r="BK128" s="475"/>
      <c r="BL128" s="475"/>
      <c r="BM128" s="475"/>
      <c r="BN128" s="475"/>
      <c r="BO128" s="475"/>
      <c r="BP128" s="475"/>
      <c r="BQ128" s="475"/>
      <c r="BR128" s="475"/>
      <c r="BS128" s="475"/>
      <c r="BT128" s="475"/>
      <c r="BU128" s="475"/>
      <c r="BV128" s="475"/>
      <c r="BW128" s="475"/>
      <c r="BX128" s="475"/>
      <c r="BY128" s="475"/>
      <c r="BZ128" s="475"/>
      <c r="CA128" s="475"/>
      <c r="CB128" s="475"/>
      <c r="CC128" s="475"/>
    </row>
    <row r="129" customFormat="false" ht="30" hidden="false" customHeight="true" outlineLevel="0" collapsed="false">
      <c r="A129" s="449" t="s">
        <v>1155</v>
      </c>
      <c r="B129" s="460"/>
      <c r="C129" s="460"/>
      <c r="D129" s="538"/>
      <c r="E129" s="461"/>
      <c r="F129" s="461"/>
      <c r="G129" s="486"/>
      <c r="H129" s="490"/>
      <c r="I129" s="484"/>
      <c r="J129" s="484"/>
      <c r="K129" s="484"/>
      <c r="L129" s="464"/>
      <c r="M129" s="465"/>
      <c r="N129" s="466"/>
      <c r="O129" s="466"/>
      <c r="P129" s="466"/>
      <c r="Q129" s="467"/>
      <c r="R129" s="467"/>
      <c r="S129" s="467"/>
      <c r="T129" s="466"/>
      <c r="U129" s="468"/>
      <c r="V129" s="469"/>
      <c r="W129" s="471"/>
      <c r="X129" s="471"/>
      <c r="Y129" s="471"/>
      <c r="Z129" s="471"/>
      <c r="AA129" s="470"/>
      <c r="AB129" s="473"/>
      <c r="AC129" s="473"/>
      <c r="AD129" s="466"/>
      <c r="AE129" s="466"/>
      <c r="AF129" s="466"/>
      <c r="AG129" s="478"/>
      <c r="AH129" s="475"/>
      <c r="AI129" s="475"/>
      <c r="AJ129" s="475"/>
      <c r="AK129" s="475"/>
      <c r="AL129" s="475"/>
      <c r="AM129" s="475"/>
      <c r="AN129" s="475"/>
      <c r="AO129" s="475"/>
      <c r="AP129" s="475"/>
      <c r="AQ129" s="475"/>
      <c r="AR129" s="475"/>
      <c r="AS129" s="475"/>
      <c r="AT129" s="475"/>
      <c r="AU129" s="475"/>
      <c r="AV129" s="475"/>
      <c r="AW129" s="475"/>
      <c r="AX129" s="475"/>
      <c r="AY129" s="475"/>
      <c r="AZ129" s="475"/>
      <c r="BA129" s="475"/>
      <c r="BB129" s="475"/>
      <c r="BC129" s="475"/>
      <c r="BD129" s="475"/>
      <c r="BE129" s="475"/>
      <c r="BF129" s="475"/>
      <c r="BG129" s="475"/>
      <c r="BH129" s="475"/>
      <c r="BI129" s="475"/>
      <c r="BJ129" s="475"/>
      <c r="BK129" s="475"/>
      <c r="BL129" s="475"/>
      <c r="BM129" s="475"/>
      <c r="BN129" s="475"/>
      <c r="BO129" s="475"/>
      <c r="BP129" s="475"/>
      <c r="BQ129" s="475"/>
      <c r="BR129" s="475"/>
      <c r="BS129" s="475"/>
      <c r="BT129" s="475"/>
      <c r="BU129" s="475"/>
      <c r="BV129" s="475"/>
      <c r="BW129" s="475"/>
      <c r="BX129" s="475"/>
      <c r="BY129" s="475"/>
      <c r="BZ129" s="475"/>
      <c r="CA129" s="475"/>
      <c r="CB129" s="475"/>
      <c r="CC129" s="475"/>
    </row>
    <row r="130" customFormat="false" ht="30" hidden="false" customHeight="true" outlineLevel="0" collapsed="false">
      <c r="A130" s="449" t="s">
        <v>1156</v>
      </c>
      <c r="B130" s="460"/>
      <c r="C130" s="460"/>
      <c r="D130" s="538"/>
      <c r="E130" s="461"/>
      <c r="F130" s="461"/>
      <c r="G130" s="486"/>
      <c r="H130" s="490"/>
      <c r="I130" s="484"/>
      <c r="J130" s="484"/>
      <c r="K130" s="484"/>
      <c r="L130" s="464"/>
      <c r="M130" s="465"/>
      <c r="N130" s="466"/>
      <c r="O130" s="466"/>
      <c r="P130" s="466"/>
      <c r="Q130" s="467"/>
      <c r="R130" s="467"/>
      <c r="S130" s="467"/>
      <c r="T130" s="466"/>
      <c r="U130" s="468"/>
      <c r="V130" s="469"/>
      <c r="W130" s="470"/>
      <c r="X130" s="471"/>
      <c r="Y130" s="471"/>
      <c r="Z130" s="471"/>
      <c r="AA130" s="470"/>
      <c r="AB130" s="473"/>
      <c r="AC130" s="473"/>
      <c r="AD130" s="466"/>
      <c r="AE130" s="466"/>
      <c r="AF130" s="466"/>
      <c r="AG130" s="478"/>
      <c r="AH130" s="475"/>
      <c r="AI130" s="475"/>
      <c r="AJ130" s="475"/>
      <c r="AK130" s="475"/>
      <c r="AL130" s="475"/>
      <c r="AM130" s="475"/>
      <c r="AN130" s="475"/>
      <c r="AO130" s="475"/>
      <c r="AP130" s="475"/>
      <c r="AQ130" s="475"/>
      <c r="AR130" s="475"/>
      <c r="AS130" s="475"/>
      <c r="AT130" s="475"/>
      <c r="AU130" s="475"/>
      <c r="AV130" s="475"/>
      <c r="AW130" s="475"/>
      <c r="AX130" s="475"/>
      <c r="AY130" s="475"/>
      <c r="AZ130" s="475"/>
      <c r="BA130" s="475"/>
      <c r="BB130" s="475"/>
      <c r="BC130" s="475"/>
      <c r="BD130" s="475"/>
      <c r="BE130" s="475"/>
      <c r="BF130" s="475"/>
      <c r="BG130" s="475"/>
      <c r="BH130" s="475"/>
      <c r="BI130" s="475"/>
      <c r="BJ130" s="475"/>
      <c r="BK130" s="475"/>
      <c r="BL130" s="475"/>
      <c r="BM130" s="475"/>
      <c r="BN130" s="475"/>
      <c r="BO130" s="475"/>
      <c r="BP130" s="475"/>
      <c r="BQ130" s="475"/>
      <c r="BR130" s="475"/>
      <c r="BS130" s="475"/>
      <c r="BT130" s="475"/>
      <c r="BU130" s="475"/>
      <c r="BV130" s="475"/>
      <c r="BW130" s="475"/>
      <c r="BX130" s="475"/>
      <c r="BY130" s="475"/>
      <c r="BZ130" s="475"/>
      <c r="CA130" s="475"/>
      <c r="CB130" s="475"/>
      <c r="CC130" s="475"/>
    </row>
    <row r="131" customFormat="false" ht="30" hidden="false" customHeight="true" outlineLevel="0" collapsed="false">
      <c r="A131" s="449" t="s">
        <v>1157</v>
      </c>
      <c r="B131" s="460"/>
      <c r="C131" s="460"/>
      <c r="D131" s="538"/>
      <c r="E131" s="461"/>
      <c r="F131" s="461"/>
      <c r="G131" s="486"/>
      <c r="H131" s="490"/>
      <c r="I131" s="484"/>
      <c r="J131" s="484"/>
      <c r="K131" s="484"/>
      <c r="L131" s="464"/>
      <c r="M131" s="465"/>
      <c r="N131" s="466"/>
      <c r="O131" s="466"/>
      <c r="P131" s="466"/>
      <c r="Q131" s="467"/>
      <c r="R131" s="467"/>
      <c r="S131" s="467"/>
      <c r="T131" s="466"/>
      <c r="U131" s="468"/>
      <c r="V131" s="469"/>
      <c r="W131" s="470"/>
      <c r="X131" s="471"/>
      <c r="Y131" s="471"/>
      <c r="Z131" s="471"/>
      <c r="AA131" s="470"/>
      <c r="AB131" s="473"/>
      <c r="AC131" s="473"/>
      <c r="AD131" s="466"/>
      <c r="AE131" s="466"/>
      <c r="AF131" s="466"/>
      <c r="AG131" s="478"/>
      <c r="AH131" s="475"/>
      <c r="AI131" s="475"/>
      <c r="AJ131" s="475"/>
      <c r="AK131" s="475"/>
      <c r="AL131" s="475"/>
      <c r="AM131" s="475"/>
      <c r="AN131" s="475"/>
      <c r="AO131" s="475"/>
      <c r="AP131" s="475"/>
      <c r="AQ131" s="475"/>
      <c r="AR131" s="475"/>
      <c r="AS131" s="475"/>
      <c r="AT131" s="475"/>
      <c r="AU131" s="475"/>
      <c r="AV131" s="475"/>
      <c r="AW131" s="475"/>
      <c r="AX131" s="475"/>
      <c r="AY131" s="475"/>
      <c r="AZ131" s="475"/>
      <c r="BA131" s="475"/>
      <c r="BB131" s="475"/>
      <c r="BC131" s="475"/>
      <c r="BD131" s="475"/>
      <c r="BE131" s="475"/>
      <c r="BF131" s="475"/>
      <c r="BG131" s="475"/>
      <c r="BH131" s="475"/>
      <c r="BI131" s="475"/>
      <c r="BJ131" s="475"/>
      <c r="BK131" s="475"/>
      <c r="BL131" s="475"/>
      <c r="BM131" s="475"/>
      <c r="BN131" s="475"/>
      <c r="BO131" s="475"/>
      <c r="BP131" s="475"/>
      <c r="BQ131" s="475"/>
      <c r="BR131" s="475"/>
      <c r="BS131" s="475"/>
      <c r="BT131" s="475"/>
      <c r="BU131" s="475"/>
      <c r="BV131" s="475"/>
      <c r="BW131" s="475"/>
      <c r="BX131" s="475"/>
      <c r="BY131" s="475"/>
      <c r="BZ131" s="475"/>
      <c r="CA131" s="475"/>
      <c r="CB131" s="475"/>
      <c r="CC131" s="475"/>
    </row>
    <row r="132" customFormat="false" ht="30" hidden="false" customHeight="true" outlineLevel="0" collapsed="false">
      <c r="A132" s="449" t="s">
        <v>1158</v>
      </c>
      <c r="B132" s="460"/>
      <c r="C132" s="460"/>
      <c r="D132" s="259"/>
      <c r="E132" s="461"/>
      <c r="F132" s="461"/>
      <c r="G132" s="486"/>
      <c r="H132" s="490"/>
      <c r="I132" s="484"/>
      <c r="J132" s="484"/>
      <c r="K132" s="484"/>
      <c r="L132" s="464"/>
      <c r="M132" s="533"/>
      <c r="N132" s="466"/>
      <c r="O132" s="466"/>
      <c r="P132" s="466"/>
      <c r="Q132" s="467"/>
      <c r="R132" s="467"/>
      <c r="S132" s="467"/>
      <c r="T132" s="466"/>
      <c r="U132" s="468"/>
      <c r="V132" s="469"/>
      <c r="W132" s="470"/>
      <c r="X132" s="471"/>
      <c r="Y132" s="471"/>
      <c r="Z132" s="471"/>
      <c r="AA132" s="470"/>
      <c r="AB132" s="466"/>
      <c r="AC132" s="466"/>
      <c r="AD132" s="466"/>
      <c r="AE132" s="466"/>
      <c r="AF132" s="466"/>
      <c r="AG132" s="478"/>
      <c r="AH132" s="475"/>
      <c r="AI132" s="475"/>
      <c r="AJ132" s="475"/>
      <c r="AK132" s="475"/>
      <c r="AL132" s="475"/>
      <c r="AM132" s="475"/>
      <c r="AN132" s="475"/>
      <c r="AO132" s="475"/>
      <c r="AP132" s="475"/>
      <c r="AQ132" s="475"/>
      <c r="AR132" s="475"/>
      <c r="AS132" s="475"/>
      <c r="AT132" s="475"/>
      <c r="AU132" s="475"/>
      <c r="AV132" s="475"/>
      <c r="AW132" s="475"/>
      <c r="AX132" s="475"/>
      <c r="AY132" s="475"/>
      <c r="AZ132" s="475"/>
      <c r="BA132" s="475"/>
      <c r="BB132" s="475"/>
      <c r="BC132" s="475"/>
      <c r="BD132" s="475"/>
      <c r="BE132" s="475"/>
      <c r="BF132" s="475"/>
      <c r="BG132" s="475"/>
      <c r="BH132" s="475"/>
      <c r="BI132" s="475"/>
      <c r="BJ132" s="475"/>
      <c r="BK132" s="475"/>
      <c r="BL132" s="475"/>
      <c r="BM132" s="475"/>
      <c r="BN132" s="475"/>
      <c r="BO132" s="475"/>
      <c r="BP132" s="475"/>
      <c r="BQ132" s="475"/>
      <c r="BR132" s="475"/>
      <c r="BS132" s="475"/>
      <c r="BT132" s="475"/>
      <c r="BU132" s="475"/>
      <c r="BV132" s="475"/>
      <c r="BW132" s="475"/>
      <c r="BX132" s="475"/>
      <c r="BY132" s="475"/>
      <c r="BZ132" s="475"/>
      <c r="CA132" s="475"/>
      <c r="CB132" s="475"/>
      <c r="CC132" s="475"/>
    </row>
    <row r="133" customFormat="false" ht="30" hidden="false" customHeight="true" outlineLevel="0" collapsed="false">
      <c r="A133" s="449" t="s">
        <v>1159</v>
      </c>
      <c r="B133" s="460"/>
      <c r="C133" s="460"/>
      <c r="D133" s="538"/>
      <c r="E133" s="461"/>
      <c r="F133" s="461"/>
      <c r="G133" s="486"/>
      <c r="H133" s="490"/>
      <c r="I133" s="484"/>
      <c r="J133" s="484"/>
      <c r="K133" s="484"/>
      <c r="L133" s="464"/>
      <c r="M133" s="533"/>
      <c r="N133" s="484"/>
      <c r="O133" s="484"/>
      <c r="P133" s="484"/>
      <c r="Q133" s="467"/>
      <c r="R133" s="467"/>
      <c r="S133" s="467"/>
      <c r="T133" s="466"/>
      <c r="U133" s="468"/>
      <c r="V133" s="491"/>
      <c r="W133" s="470"/>
      <c r="X133" s="471"/>
      <c r="Y133" s="470"/>
      <c r="Z133" s="471"/>
      <c r="AA133" s="517"/>
      <c r="AB133" s="466"/>
      <c r="AC133" s="466"/>
      <c r="AD133" s="466"/>
      <c r="AE133" s="466"/>
      <c r="AF133" s="466"/>
      <c r="AG133" s="478"/>
      <c r="AH133" s="475"/>
      <c r="AI133" s="475"/>
      <c r="AJ133" s="475"/>
      <c r="AK133" s="475"/>
      <c r="AL133" s="475"/>
      <c r="AM133" s="475"/>
      <c r="AN133" s="475"/>
      <c r="AO133" s="475"/>
      <c r="AP133" s="475"/>
      <c r="AQ133" s="475"/>
      <c r="AR133" s="475"/>
      <c r="AS133" s="475"/>
      <c r="AT133" s="475"/>
      <c r="AU133" s="475"/>
      <c r="AV133" s="475"/>
      <c r="AW133" s="475"/>
      <c r="AX133" s="475"/>
      <c r="AY133" s="475"/>
      <c r="AZ133" s="475"/>
      <c r="BA133" s="475"/>
      <c r="BB133" s="475"/>
      <c r="BC133" s="475"/>
      <c r="BD133" s="475"/>
      <c r="BE133" s="475"/>
      <c r="BF133" s="475"/>
      <c r="BG133" s="475"/>
      <c r="BH133" s="475"/>
      <c r="BI133" s="475"/>
      <c r="BJ133" s="475"/>
      <c r="BK133" s="475"/>
      <c r="BL133" s="475"/>
      <c r="BM133" s="475"/>
      <c r="BN133" s="475"/>
      <c r="BO133" s="475"/>
      <c r="BP133" s="475"/>
      <c r="BQ133" s="475"/>
      <c r="BR133" s="475"/>
      <c r="BS133" s="475"/>
      <c r="BT133" s="475"/>
      <c r="BU133" s="475"/>
      <c r="BV133" s="475"/>
      <c r="BW133" s="475"/>
      <c r="BX133" s="475"/>
      <c r="BY133" s="475"/>
      <c r="BZ133" s="475"/>
      <c r="CA133" s="475"/>
      <c r="CB133" s="475"/>
      <c r="CC133" s="475"/>
      <c r="XCJ133" s="542"/>
      <c r="XCK133" s="542"/>
      <c r="XCL133" s="542"/>
      <c r="XCM133" s="542"/>
      <c r="XCN133" s="542"/>
      <c r="XCO133" s="542"/>
      <c r="XCP133" s="542"/>
      <c r="XCQ133" s="542"/>
      <c r="XCR133" s="542"/>
      <c r="XCS133" s="542"/>
      <c r="XCT133" s="542"/>
      <c r="XCU133" s="542"/>
      <c r="XCV133" s="542"/>
      <c r="XCW133" s="542"/>
      <c r="XCX133" s="542"/>
      <c r="XCY133" s="542"/>
      <c r="XCZ133" s="542"/>
      <c r="XDA133" s="542"/>
      <c r="XDB133" s="542"/>
      <c r="XDC133" s="542"/>
      <c r="XDD133" s="542"/>
      <c r="XDE133" s="542"/>
      <c r="XDF133" s="542"/>
      <c r="XDG133" s="542"/>
      <c r="XDH133" s="542"/>
      <c r="XDI133" s="542"/>
      <c r="XDJ133" s="542"/>
      <c r="XDK133" s="542"/>
      <c r="XDL133" s="542"/>
      <c r="XDM133" s="542"/>
      <c r="XDN133" s="542"/>
      <c r="XDO133" s="542"/>
      <c r="XDP133" s="542"/>
      <c r="XDQ133" s="542"/>
      <c r="XDR133" s="542"/>
      <c r="XDS133" s="542"/>
      <c r="XDT133" s="542"/>
      <c r="XDU133" s="542"/>
      <c r="XDV133" s="542"/>
      <c r="XDW133" s="542"/>
      <c r="XDX133" s="542"/>
      <c r="XDY133" s="542"/>
      <c r="XDZ133" s="542"/>
      <c r="XEA133" s="542"/>
      <c r="XEB133" s="542"/>
      <c r="XEC133" s="542"/>
      <c r="XED133" s="542"/>
      <c r="XEE133" s="542"/>
      <c r="XEF133" s="542"/>
      <c r="XEG133" s="542"/>
      <c r="XEH133" s="542"/>
      <c r="XEI133" s="542"/>
      <c r="XEJ133" s="542"/>
      <c r="XEK133" s="542"/>
      <c r="XEL133" s="542"/>
      <c r="XEM133" s="542"/>
      <c r="XEN133" s="542"/>
      <c r="XEO133" s="542"/>
      <c r="XEP133" s="542"/>
      <c r="XEQ133" s="542"/>
      <c r="XER133" s="542"/>
      <c r="XES133" s="542"/>
      <c r="XET133" s="542"/>
      <c r="XEU133" s="542"/>
      <c r="XEV133" s="542"/>
      <c r="XEW133" s="542"/>
      <c r="XEX133" s="542"/>
      <c r="XEY133" s="542"/>
      <c r="XEZ133" s="542"/>
      <c r="XFA133" s="542"/>
      <c r="XFB133" s="542"/>
      <c r="XFC133" s="542"/>
      <c r="XFD133" s="542"/>
    </row>
    <row r="134" customFormat="false" ht="30" hidden="false" customHeight="true" outlineLevel="0" collapsed="false">
      <c r="A134" s="449" t="s">
        <v>1160</v>
      </c>
      <c r="B134" s="460"/>
      <c r="C134" s="460"/>
      <c r="D134" s="259"/>
      <c r="E134" s="461"/>
      <c r="F134" s="461"/>
      <c r="G134" s="486"/>
      <c r="H134" s="490"/>
      <c r="I134" s="484"/>
      <c r="J134" s="484"/>
      <c r="K134" s="484"/>
      <c r="L134" s="464"/>
      <c r="M134" s="484"/>
      <c r="N134" s="484"/>
      <c r="O134" s="484"/>
      <c r="P134" s="484"/>
      <c r="Q134" s="467"/>
      <c r="R134" s="467"/>
      <c r="S134" s="467"/>
      <c r="T134" s="466"/>
      <c r="U134" s="468"/>
      <c r="V134" s="491"/>
      <c r="W134" s="470"/>
      <c r="X134" s="471"/>
      <c r="Y134" s="470"/>
      <c r="Z134" s="471"/>
      <c r="AA134" s="471"/>
      <c r="AB134" s="466"/>
      <c r="AC134" s="466"/>
      <c r="AD134" s="466"/>
      <c r="AE134" s="466"/>
      <c r="AF134" s="466"/>
      <c r="AG134" s="478"/>
      <c r="AH134" s="475"/>
      <c r="AI134" s="475"/>
      <c r="AJ134" s="475"/>
      <c r="AK134" s="475"/>
      <c r="AL134" s="475"/>
      <c r="AM134" s="475"/>
      <c r="AN134" s="475"/>
      <c r="AO134" s="475"/>
      <c r="AP134" s="475"/>
      <c r="AQ134" s="475"/>
      <c r="AR134" s="475"/>
      <c r="AS134" s="475"/>
      <c r="AT134" s="475"/>
      <c r="AU134" s="475"/>
      <c r="AV134" s="475"/>
      <c r="AW134" s="475"/>
      <c r="AX134" s="475"/>
      <c r="AY134" s="475"/>
      <c r="AZ134" s="475"/>
      <c r="BA134" s="475"/>
      <c r="BB134" s="475"/>
      <c r="BC134" s="475"/>
      <c r="BD134" s="475"/>
      <c r="BE134" s="475"/>
      <c r="BF134" s="475"/>
      <c r="BG134" s="475"/>
      <c r="BH134" s="475"/>
      <c r="BI134" s="475"/>
      <c r="BJ134" s="475"/>
      <c r="BK134" s="475"/>
      <c r="BL134" s="475"/>
      <c r="BM134" s="475"/>
      <c r="BN134" s="475"/>
      <c r="BO134" s="475"/>
      <c r="BP134" s="475"/>
      <c r="BQ134" s="475"/>
      <c r="BR134" s="475"/>
      <c r="BS134" s="475"/>
      <c r="BT134" s="475"/>
      <c r="BU134" s="475"/>
      <c r="BV134" s="475"/>
      <c r="BW134" s="475"/>
      <c r="BX134" s="475"/>
      <c r="BY134" s="475"/>
      <c r="BZ134" s="475"/>
      <c r="CA134" s="475"/>
      <c r="CB134" s="475"/>
      <c r="CC134" s="475"/>
      <c r="XCJ134" s="541"/>
      <c r="XCK134" s="541"/>
      <c r="XCL134" s="541"/>
      <c r="XCM134" s="541"/>
      <c r="XCN134" s="541"/>
      <c r="XCO134" s="541"/>
      <c r="XCP134" s="541"/>
      <c r="XCQ134" s="541"/>
      <c r="XCR134" s="541"/>
      <c r="XCS134" s="541"/>
      <c r="XCT134" s="541"/>
      <c r="XCU134" s="541"/>
      <c r="XCV134" s="541"/>
      <c r="XCW134" s="541"/>
      <c r="XCX134" s="541"/>
      <c r="XCY134" s="541"/>
      <c r="XCZ134" s="541"/>
      <c r="XDA134" s="541"/>
      <c r="XDB134" s="541"/>
      <c r="XDC134" s="541"/>
      <c r="XDD134" s="541"/>
      <c r="XDE134" s="541"/>
      <c r="XDF134" s="541"/>
      <c r="XDG134" s="541"/>
      <c r="XDH134" s="541"/>
      <c r="XDI134" s="541"/>
      <c r="XDJ134" s="541"/>
      <c r="XDK134" s="541"/>
      <c r="XDL134" s="541"/>
      <c r="XDM134" s="541"/>
      <c r="XDN134" s="541"/>
      <c r="XDO134" s="541"/>
      <c r="XDP134" s="541"/>
      <c r="XDQ134" s="541"/>
      <c r="XDR134" s="541"/>
      <c r="XDS134" s="541"/>
      <c r="XDT134" s="541"/>
      <c r="XDU134" s="541"/>
      <c r="XDV134" s="541"/>
      <c r="XDW134" s="541"/>
      <c r="XDX134" s="541"/>
      <c r="XDY134" s="541"/>
      <c r="XDZ134" s="541"/>
      <c r="XEA134" s="541"/>
      <c r="XEB134" s="541"/>
      <c r="XEC134" s="541"/>
      <c r="XED134" s="541"/>
      <c r="XEE134" s="541"/>
      <c r="XEF134" s="541"/>
      <c r="XEG134" s="541"/>
      <c r="XEH134" s="541"/>
      <c r="XEI134" s="541"/>
      <c r="XEJ134" s="541"/>
      <c r="XEK134" s="541"/>
      <c r="XEL134" s="541"/>
      <c r="XEM134" s="541"/>
      <c r="XEN134" s="541"/>
      <c r="XEO134" s="541"/>
      <c r="XEP134" s="541"/>
      <c r="XEQ134" s="541"/>
      <c r="XER134" s="541"/>
      <c r="XES134" s="541"/>
      <c r="XET134" s="541"/>
      <c r="XEU134" s="541"/>
      <c r="XEV134" s="541"/>
      <c r="XEW134" s="541"/>
      <c r="XEX134" s="541"/>
      <c r="XEY134" s="541"/>
      <c r="XEZ134" s="541"/>
      <c r="XFA134" s="541"/>
      <c r="XFB134" s="541"/>
      <c r="XFC134" s="541"/>
      <c r="XFD134" s="541"/>
    </row>
    <row r="135" customFormat="false" ht="30" hidden="false" customHeight="true" outlineLevel="0" collapsed="false">
      <c r="A135" s="449" t="s">
        <v>1161</v>
      </c>
      <c r="B135" s="460"/>
      <c r="C135" s="460"/>
      <c r="D135" s="538"/>
      <c r="E135" s="461"/>
      <c r="F135" s="461"/>
      <c r="G135" s="486"/>
      <c r="H135" s="490"/>
      <c r="I135" s="484"/>
      <c r="J135" s="484"/>
      <c r="K135" s="484"/>
      <c r="L135" s="464"/>
      <c r="M135" s="533"/>
      <c r="N135" s="484"/>
      <c r="O135" s="484"/>
      <c r="P135" s="484"/>
      <c r="Q135" s="467"/>
      <c r="R135" s="467"/>
      <c r="S135" s="467"/>
      <c r="T135" s="466"/>
      <c r="U135" s="468"/>
      <c r="V135" s="491"/>
      <c r="W135" s="470"/>
      <c r="X135" s="471"/>
      <c r="Y135" s="470"/>
      <c r="Z135" s="471"/>
      <c r="AA135" s="471"/>
      <c r="AB135" s="466"/>
      <c r="AC135" s="466"/>
      <c r="AD135" s="466"/>
      <c r="AE135" s="466"/>
      <c r="AF135" s="466"/>
      <c r="AG135" s="478"/>
      <c r="AH135" s="475"/>
      <c r="AI135" s="475"/>
      <c r="AJ135" s="475"/>
      <c r="AK135" s="475"/>
      <c r="AL135" s="475"/>
      <c r="AM135" s="475"/>
      <c r="AN135" s="475"/>
      <c r="AO135" s="475"/>
      <c r="AP135" s="475"/>
      <c r="AQ135" s="475"/>
      <c r="AR135" s="475"/>
      <c r="AS135" s="475"/>
      <c r="AT135" s="475"/>
      <c r="AU135" s="475"/>
      <c r="AV135" s="475"/>
      <c r="AW135" s="475"/>
      <c r="AX135" s="475"/>
      <c r="AY135" s="475"/>
      <c r="AZ135" s="475"/>
      <c r="BA135" s="475"/>
      <c r="BB135" s="475"/>
      <c r="BC135" s="475"/>
      <c r="BD135" s="475"/>
      <c r="BE135" s="475"/>
      <c r="BF135" s="475"/>
      <c r="BG135" s="475"/>
      <c r="BH135" s="475"/>
      <c r="BI135" s="475"/>
      <c r="BJ135" s="475"/>
      <c r="BK135" s="475"/>
      <c r="BL135" s="475"/>
      <c r="BM135" s="475"/>
      <c r="BN135" s="475"/>
      <c r="BO135" s="475"/>
      <c r="BP135" s="475"/>
      <c r="BQ135" s="475"/>
      <c r="BR135" s="475"/>
      <c r="BS135" s="475"/>
      <c r="BT135" s="475"/>
      <c r="BU135" s="475"/>
      <c r="BV135" s="475"/>
      <c r="BW135" s="475"/>
      <c r="BX135" s="475"/>
      <c r="BY135" s="475"/>
      <c r="BZ135" s="475"/>
      <c r="CA135" s="475"/>
      <c r="CB135" s="475"/>
      <c r="CC135" s="475"/>
    </row>
    <row r="136" customFormat="false" ht="30" hidden="false" customHeight="true" outlineLevel="0" collapsed="false">
      <c r="A136" s="449" t="s">
        <v>1162</v>
      </c>
      <c r="B136" s="460"/>
      <c r="C136" s="460"/>
      <c r="D136" s="538"/>
      <c r="E136" s="461"/>
      <c r="F136" s="461"/>
      <c r="G136" s="486"/>
      <c r="H136" s="490"/>
      <c r="I136" s="484"/>
      <c r="J136" s="484"/>
      <c r="K136" s="484"/>
      <c r="L136" s="464"/>
      <c r="M136" s="484"/>
      <c r="N136" s="484"/>
      <c r="O136" s="484"/>
      <c r="P136" s="484"/>
      <c r="Q136" s="467"/>
      <c r="R136" s="467"/>
      <c r="S136" s="467"/>
      <c r="T136" s="466"/>
      <c r="U136" s="468"/>
      <c r="V136" s="469"/>
      <c r="W136" s="471"/>
      <c r="X136" s="471"/>
      <c r="Y136" s="470"/>
      <c r="Z136" s="471"/>
      <c r="AA136" s="471"/>
      <c r="AB136" s="466"/>
      <c r="AC136" s="466"/>
      <c r="AD136" s="466"/>
      <c r="AE136" s="466"/>
      <c r="AF136" s="466"/>
      <c r="AG136" s="478"/>
      <c r="AH136" s="475"/>
      <c r="AI136" s="475"/>
      <c r="AJ136" s="475"/>
      <c r="AK136" s="475"/>
      <c r="AL136" s="475"/>
      <c r="AM136" s="475"/>
      <c r="AN136" s="475"/>
      <c r="AO136" s="475"/>
      <c r="AP136" s="475"/>
      <c r="AQ136" s="475"/>
      <c r="AR136" s="475"/>
      <c r="AS136" s="475"/>
      <c r="AT136" s="475"/>
      <c r="AU136" s="475"/>
      <c r="AV136" s="475"/>
      <c r="AW136" s="475"/>
      <c r="AX136" s="475"/>
      <c r="AY136" s="475"/>
      <c r="AZ136" s="475"/>
      <c r="BA136" s="475"/>
      <c r="BB136" s="475"/>
      <c r="BC136" s="475"/>
      <c r="BD136" s="475"/>
      <c r="BE136" s="475"/>
      <c r="BF136" s="475"/>
      <c r="BG136" s="475"/>
      <c r="BH136" s="475"/>
      <c r="BI136" s="475"/>
      <c r="BJ136" s="475"/>
      <c r="BK136" s="475"/>
      <c r="BL136" s="475"/>
      <c r="BM136" s="475"/>
      <c r="BN136" s="475"/>
      <c r="BO136" s="475"/>
      <c r="BP136" s="475"/>
      <c r="BQ136" s="475"/>
      <c r="BR136" s="475"/>
      <c r="BS136" s="475"/>
      <c r="BT136" s="475"/>
      <c r="BU136" s="475"/>
      <c r="BV136" s="475"/>
      <c r="BW136" s="475"/>
      <c r="BX136" s="475"/>
      <c r="BY136" s="475"/>
      <c r="BZ136" s="475"/>
      <c r="CA136" s="475"/>
      <c r="CB136" s="475"/>
      <c r="CC136" s="475"/>
    </row>
    <row r="137" customFormat="false" ht="30" hidden="false" customHeight="true" outlineLevel="0" collapsed="false">
      <c r="A137" s="449" t="s">
        <v>1163</v>
      </c>
      <c r="B137" s="460"/>
      <c r="C137" s="460"/>
      <c r="D137" s="538"/>
      <c r="E137" s="461"/>
      <c r="F137" s="461"/>
      <c r="G137" s="486"/>
      <c r="H137" s="490"/>
      <c r="I137" s="484"/>
      <c r="J137" s="484"/>
      <c r="K137" s="484"/>
      <c r="L137" s="464"/>
      <c r="M137" s="484"/>
      <c r="N137" s="484"/>
      <c r="O137" s="484"/>
      <c r="P137" s="484"/>
      <c r="Q137" s="467"/>
      <c r="R137" s="467"/>
      <c r="S137" s="467"/>
      <c r="T137" s="466"/>
      <c r="U137" s="468"/>
      <c r="V137" s="469"/>
      <c r="W137" s="471"/>
      <c r="X137" s="471"/>
      <c r="Y137" s="470"/>
      <c r="Z137" s="471"/>
      <c r="AA137" s="471"/>
      <c r="AB137" s="466"/>
      <c r="AC137" s="466"/>
      <c r="AD137" s="466"/>
      <c r="AE137" s="466"/>
      <c r="AF137" s="466"/>
      <c r="AG137" s="478"/>
      <c r="AH137" s="475"/>
      <c r="AI137" s="475"/>
      <c r="AJ137" s="475"/>
      <c r="AK137" s="475"/>
      <c r="AL137" s="475"/>
      <c r="AM137" s="475"/>
      <c r="AN137" s="475"/>
      <c r="AO137" s="475"/>
      <c r="AP137" s="475"/>
      <c r="AQ137" s="475"/>
      <c r="AR137" s="475"/>
      <c r="AS137" s="475"/>
      <c r="AT137" s="475"/>
      <c r="AU137" s="475"/>
      <c r="AV137" s="475"/>
      <c r="AW137" s="475"/>
      <c r="AX137" s="475"/>
      <c r="AY137" s="475"/>
      <c r="AZ137" s="475"/>
      <c r="BA137" s="475"/>
      <c r="BB137" s="475"/>
      <c r="BC137" s="475"/>
      <c r="BD137" s="475"/>
      <c r="BE137" s="475"/>
      <c r="BF137" s="475"/>
      <c r="BG137" s="475"/>
      <c r="BH137" s="475"/>
      <c r="BI137" s="475"/>
      <c r="BJ137" s="475"/>
      <c r="BK137" s="475"/>
      <c r="BL137" s="475"/>
      <c r="BM137" s="475"/>
      <c r="BN137" s="475"/>
      <c r="BO137" s="475"/>
      <c r="BP137" s="475"/>
      <c r="BQ137" s="475"/>
      <c r="BR137" s="475"/>
      <c r="BS137" s="475"/>
      <c r="BT137" s="475"/>
      <c r="BU137" s="475"/>
      <c r="BV137" s="475"/>
      <c r="BW137" s="475"/>
      <c r="BX137" s="475"/>
      <c r="BY137" s="475"/>
      <c r="BZ137" s="475"/>
      <c r="CA137" s="475"/>
      <c r="CB137" s="475"/>
      <c r="CC137" s="475"/>
    </row>
    <row r="138" customFormat="false" ht="30" hidden="false" customHeight="true" outlineLevel="0" collapsed="false">
      <c r="A138" s="449" t="s">
        <v>1164</v>
      </c>
      <c r="B138" s="460"/>
      <c r="C138" s="460"/>
      <c r="D138" s="538"/>
      <c r="E138" s="461"/>
      <c r="F138" s="461"/>
      <c r="G138" s="486"/>
      <c r="H138" s="490"/>
      <c r="I138" s="484"/>
      <c r="J138" s="484"/>
      <c r="K138" s="484"/>
      <c r="L138" s="464"/>
      <c r="M138" s="484"/>
      <c r="N138" s="484"/>
      <c r="O138" s="484"/>
      <c r="P138" s="484"/>
      <c r="Q138" s="467"/>
      <c r="R138" s="467"/>
      <c r="S138" s="467"/>
      <c r="T138" s="466"/>
      <c r="U138" s="468"/>
      <c r="V138" s="469"/>
      <c r="W138" s="471"/>
      <c r="X138" s="471"/>
      <c r="Y138" s="470"/>
      <c r="Z138" s="471"/>
      <c r="AA138" s="471"/>
      <c r="AB138" s="466"/>
      <c r="AC138" s="466"/>
      <c r="AD138" s="466"/>
      <c r="AE138" s="466"/>
      <c r="AF138" s="466"/>
      <c r="AG138" s="478"/>
      <c r="AH138" s="475"/>
      <c r="AI138" s="475"/>
      <c r="AJ138" s="475"/>
      <c r="AK138" s="475"/>
      <c r="AL138" s="475"/>
      <c r="AM138" s="475"/>
      <c r="AN138" s="475"/>
      <c r="AO138" s="475"/>
      <c r="AP138" s="475"/>
      <c r="AQ138" s="475"/>
      <c r="AR138" s="475"/>
      <c r="AS138" s="475"/>
      <c r="AT138" s="475"/>
      <c r="AU138" s="475"/>
      <c r="AV138" s="475"/>
      <c r="AW138" s="475"/>
      <c r="AX138" s="475"/>
      <c r="AY138" s="475"/>
      <c r="AZ138" s="475"/>
      <c r="BA138" s="475"/>
      <c r="BB138" s="475"/>
      <c r="BC138" s="475"/>
      <c r="BD138" s="475"/>
      <c r="BE138" s="475"/>
      <c r="BF138" s="475"/>
      <c r="BG138" s="475"/>
      <c r="BH138" s="475"/>
      <c r="BI138" s="475"/>
      <c r="BJ138" s="475"/>
      <c r="BK138" s="475"/>
      <c r="BL138" s="475"/>
      <c r="BM138" s="475"/>
      <c r="BN138" s="475"/>
      <c r="BO138" s="475"/>
      <c r="BP138" s="475"/>
      <c r="BQ138" s="475"/>
      <c r="BR138" s="475"/>
      <c r="BS138" s="475"/>
      <c r="BT138" s="475"/>
      <c r="BU138" s="475"/>
      <c r="BV138" s="475"/>
      <c r="BW138" s="475"/>
      <c r="BX138" s="475"/>
      <c r="BY138" s="475"/>
      <c r="BZ138" s="475"/>
      <c r="CA138" s="475"/>
      <c r="CB138" s="475"/>
      <c r="CC138" s="475"/>
    </row>
    <row r="139" customFormat="false" ht="30" hidden="false" customHeight="true" outlineLevel="0" collapsed="false">
      <c r="A139" s="449" t="s">
        <v>1165</v>
      </c>
      <c r="B139" s="460"/>
      <c r="C139" s="460"/>
      <c r="D139" s="538"/>
      <c r="E139" s="461"/>
      <c r="F139" s="461"/>
      <c r="G139" s="486"/>
      <c r="H139" s="490"/>
      <c r="I139" s="484"/>
      <c r="J139" s="484"/>
      <c r="K139" s="484"/>
      <c r="L139" s="464"/>
      <c r="M139" s="484"/>
      <c r="N139" s="484"/>
      <c r="O139" s="484"/>
      <c r="P139" s="484"/>
      <c r="Q139" s="467"/>
      <c r="R139" s="467"/>
      <c r="S139" s="467"/>
      <c r="T139" s="466"/>
      <c r="U139" s="468"/>
      <c r="V139" s="469"/>
      <c r="W139" s="471"/>
      <c r="X139" s="471"/>
      <c r="Y139" s="470"/>
      <c r="Z139" s="471"/>
      <c r="AA139" s="471"/>
      <c r="AB139" s="466"/>
      <c r="AC139" s="466"/>
      <c r="AD139" s="466"/>
      <c r="AE139" s="466"/>
      <c r="AF139" s="466"/>
      <c r="AG139" s="478"/>
      <c r="AH139" s="475"/>
      <c r="AI139" s="475"/>
      <c r="AJ139" s="475"/>
      <c r="AK139" s="475"/>
      <c r="AL139" s="475"/>
      <c r="AM139" s="475"/>
      <c r="AN139" s="475"/>
      <c r="AO139" s="475"/>
      <c r="AP139" s="475"/>
      <c r="AQ139" s="475"/>
      <c r="AR139" s="475"/>
      <c r="AS139" s="475"/>
      <c r="AT139" s="475"/>
      <c r="AU139" s="475"/>
      <c r="AV139" s="475"/>
      <c r="AW139" s="475"/>
      <c r="AX139" s="475"/>
      <c r="AY139" s="475"/>
      <c r="AZ139" s="475"/>
      <c r="BA139" s="475"/>
      <c r="BB139" s="475"/>
      <c r="BC139" s="475"/>
      <c r="BD139" s="475"/>
      <c r="BE139" s="475"/>
      <c r="BF139" s="475"/>
      <c r="BG139" s="475"/>
      <c r="BH139" s="475"/>
      <c r="BI139" s="475"/>
      <c r="BJ139" s="475"/>
      <c r="BK139" s="475"/>
      <c r="BL139" s="475"/>
      <c r="BM139" s="475"/>
      <c r="BN139" s="475"/>
      <c r="BO139" s="475"/>
      <c r="BP139" s="475"/>
      <c r="BQ139" s="475"/>
      <c r="BR139" s="475"/>
      <c r="BS139" s="475"/>
      <c r="BT139" s="475"/>
      <c r="BU139" s="475"/>
      <c r="BV139" s="475"/>
      <c r="BW139" s="475"/>
      <c r="BX139" s="475"/>
      <c r="BY139" s="475"/>
      <c r="BZ139" s="475"/>
      <c r="CA139" s="475"/>
      <c r="CB139" s="475"/>
      <c r="CC139" s="475"/>
    </row>
    <row r="140" customFormat="false" ht="30" hidden="false" customHeight="true" outlineLevel="0" collapsed="false">
      <c r="A140" s="449" t="s">
        <v>1166</v>
      </c>
      <c r="B140" s="460"/>
      <c r="C140" s="460"/>
      <c r="D140" s="538"/>
      <c r="E140" s="461"/>
      <c r="F140" s="461"/>
      <c r="G140" s="486"/>
      <c r="H140" s="490"/>
      <c r="I140" s="484"/>
      <c r="J140" s="484"/>
      <c r="K140" s="484"/>
      <c r="L140" s="464"/>
      <c r="M140" s="484"/>
      <c r="N140" s="484"/>
      <c r="O140" s="484"/>
      <c r="P140" s="484"/>
      <c r="Q140" s="467"/>
      <c r="R140" s="467"/>
      <c r="S140" s="467"/>
      <c r="T140" s="466"/>
      <c r="U140" s="468"/>
      <c r="V140" s="469"/>
      <c r="W140" s="471"/>
      <c r="X140" s="471"/>
      <c r="Y140" s="470"/>
      <c r="Z140" s="471"/>
      <c r="AA140" s="471"/>
      <c r="AB140" s="466"/>
      <c r="AC140" s="466"/>
      <c r="AD140" s="466"/>
      <c r="AE140" s="466"/>
      <c r="AF140" s="466"/>
      <c r="AG140" s="478"/>
      <c r="AH140" s="475"/>
      <c r="AI140" s="475"/>
      <c r="AJ140" s="475"/>
      <c r="AK140" s="475"/>
      <c r="AL140" s="475"/>
      <c r="AM140" s="475"/>
      <c r="AN140" s="475"/>
      <c r="AO140" s="475"/>
      <c r="AP140" s="475"/>
      <c r="AQ140" s="475"/>
      <c r="AR140" s="475"/>
      <c r="AS140" s="475"/>
      <c r="AT140" s="475"/>
      <c r="AU140" s="475"/>
      <c r="AV140" s="475"/>
      <c r="AW140" s="475"/>
      <c r="AX140" s="475"/>
      <c r="AY140" s="475"/>
      <c r="AZ140" s="475"/>
      <c r="BA140" s="475"/>
      <c r="BB140" s="475"/>
      <c r="BC140" s="475"/>
      <c r="BD140" s="475"/>
      <c r="BE140" s="475"/>
      <c r="BF140" s="475"/>
      <c r="BG140" s="475"/>
      <c r="BH140" s="475"/>
      <c r="BI140" s="475"/>
      <c r="BJ140" s="475"/>
      <c r="BK140" s="475"/>
      <c r="BL140" s="475"/>
      <c r="BM140" s="475"/>
      <c r="BN140" s="475"/>
      <c r="BO140" s="475"/>
      <c r="BP140" s="475"/>
      <c r="BQ140" s="475"/>
      <c r="BR140" s="475"/>
      <c r="BS140" s="475"/>
      <c r="BT140" s="475"/>
      <c r="BU140" s="475"/>
      <c r="BV140" s="475"/>
      <c r="BW140" s="475"/>
      <c r="BX140" s="475"/>
      <c r="BY140" s="475"/>
      <c r="BZ140" s="475"/>
      <c r="CA140" s="475"/>
      <c r="CB140" s="475"/>
      <c r="CC140" s="475"/>
    </row>
    <row r="141" customFormat="false" ht="30" hidden="false" customHeight="true" outlineLevel="0" collapsed="false">
      <c r="A141" s="449" t="s">
        <v>1167</v>
      </c>
      <c r="B141" s="460"/>
      <c r="C141" s="460"/>
      <c r="D141" s="538"/>
      <c r="E141" s="461"/>
      <c r="F141" s="461"/>
      <c r="G141" s="486"/>
      <c r="H141" s="490"/>
      <c r="I141" s="484"/>
      <c r="J141" s="484"/>
      <c r="K141" s="484"/>
      <c r="L141" s="464"/>
      <c r="M141" s="484"/>
      <c r="N141" s="484"/>
      <c r="O141" s="484"/>
      <c r="P141" s="484"/>
      <c r="Q141" s="467"/>
      <c r="R141" s="467"/>
      <c r="S141" s="467"/>
      <c r="T141" s="466"/>
      <c r="U141" s="468"/>
      <c r="V141" s="469"/>
      <c r="W141" s="471"/>
      <c r="X141" s="471"/>
      <c r="Y141" s="471"/>
      <c r="Z141" s="471"/>
      <c r="AA141" s="471"/>
      <c r="AB141" s="466"/>
      <c r="AC141" s="466"/>
      <c r="AD141" s="466"/>
      <c r="AE141" s="466"/>
      <c r="AF141" s="466"/>
      <c r="AG141" s="478"/>
      <c r="AH141" s="475"/>
      <c r="AI141" s="475"/>
      <c r="AJ141" s="475"/>
      <c r="AK141" s="475"/>
      <c r="AL141" s="475"/>
      <c r="AM141" s="475"/>
      <c r="AN141" s="475"/>
      <c r="AO141" s="475"/>
      <c r="AP141" s="475"/>
      <c r="AQ141" s="475"/>
      <c r="AR141" s="475"/>
      <c r="AS141" s="475"/>
      <c r="AT141" s="475"/>
      <c r="AU141" s="475"/>
      <c r="AV141" s="475"/>
      <c r="AW141" s="475"/>
      <c r="AX141" s="475"/>
      <c r="AY141" s="475"/>
      <c r="AZ141" s="475"/>
      <c r="BA141" s="475"/>
      <c r="BB141" s="475"/>
      <c r="BC141" s="475"/>
      <c r="BD141" s="475"/>
      <c r="BE141" s="475"/>
      <c r="BF141" s="475"/>
      <c r="BG141" s="475"/>
      <c r="BH141" s="475"/>
      <c r="BI141" s="475"/>
      <c r="BJ141" s="475"/>
      <c r="BK141" s="475"/>
      <c r="BL141" s="475"/>
      <c r="BM141" s="475"/>
      <c r="BN141" s="475"/>
      <c r="BO141" s="475"/>
      <c r="BP141" s="475"/>
      <c r="BQ141" s="475"/>
      <c r="BR141" s="475"/>
      <c r="BS141" s="475"/>
      <c r="BT141" s="475"/>
      <c r="BU141" s="475"/>
      <c r="BV141" s="475"/>
      <c r="BW141" s="475"/>
      <c r="BX141" s="475"/>
      <c r="BY141" s="475"/>
      <c r="BZ141" s="475"/>
      <c r="CA141" s="475"/>
      <c r="CB141" s="475"/>
      <c r="CC141" s="475"/>
    </row>
    <row r="142" customFormat="false" ht="30" hidden="false" customHeight="true" outlineLevel="0" collapsed="false">
      <c r="A142" s="449" t="s">
        <v>1168</v>
      </c>
      <c r="B142" s="460"/>
      <c r="C142" s="460"/>
      <c r="D142" s="538"/>
      <c r="E142" s="461"/>
      <c r="F142" s="461"/>
      <c r="G142" s="486"/>
      <c r="H142" s="490"/>
      <c r="I142" s="484"/>
      <c r="J142" s="484"/>
      <c r="K142" s="484"/>
      <c r="L142" s="464"/>
      <c r="M142" s="484"/>
      <c r="N142" s="484"/>
      <c r="O142" s="484"/>
      <c r="P142" s="484"/>
      <c r="Q142" s="467"/>
      <c r="R142" s="467"/>
      <c r="S142" s="467"/>
      <c r="T142" s="466"/>
      <c r="U142" s="468"/>
      <c r="V142" s="469"/>
      <c r="W142" s="471"/>
      <c r="X142" s="471"/>
      <c r="Y142" s="470"/>
      <c r="Z142" s="471"/>
      <c r="AA142" s="471"/>
      <c r="AB142" s="466"/>
      <c r="AC142" s="466"/>
      <c r="AD142" s="466"/>
      <c r="AE142" s="466"/>
      <c r="AF142" s="466"/>
      <c r="AG142" s="478"/>
      <c r="AH142" s="475"/>
      <c r="AI142" s="475"/>
      <c r="AJ142" s="475"/>
      <c r="AK142" s="475"/>
      <c r="AL142" s="475"/>
      <c r="AM142" s="475"/>
      <c r="AN142" s="475"/>
      <c r="AO142" s="475"/>
      <c r="AP142" s="475"/>
      <c r="AQ142" s="475"/>
      <c r="AR142" s="475"/>
      <c r="AS142" s="475"/>
      <c r="AT142" s="475"/>
      <c r="AU142" s="475"/>
      <c r="AV142" s="475"/>
      <c r="AW142" s="475"/>
      <c r="AX142" s="475"/>
      <c r="AY142" s="475"/>
      <c r="AZ142" s="475"/>
      <c r="BA142" s="475"/>
      <c r="BB142" s="475"/>
      <c r="BC142" s="475"/>
      <c r="BD142" s="475"/>
      <c r="BE142" s="475"/>
      <c r="BF142" s="475"/>
      <c r="BG142" s="475"/>
      <c r="BH142" s="475"/>
      <c r="BI142" s="475"/>
      <c r="BJ142" s="475"/>
      <c r="BK142" s="475"/>
      <c r="BL142" s="475"/>
      <c r="BM142" s="475"/>
      <c r="BN142" s="475"/>
      <c r="BO142" s="475"/>
      <c r="BP142" s="475"/>
      <c r="BQ142" s="475"/>
      <c r="BR142" s="475"/>
      <c r="BS142" s="475"/>
      <c r="BT142" s="475"/>
      <c r="BU142" s="475"/>
      <c r="BV142" s="475"/>
      <c r="BW142" s="475"/>
      <c r="BX142" s="475"/>
      <c r="BY142" s="475"/>
      <c r="BZ142" s="475"/>
      <c r="CA142" s="475"/>
      <c r="CB142" s="475"/>
      <c r="CC142" s="475"/>
    </row>
    <row r="143" customFormat="false" ht="30" hidden="false" customHeight="true" outlineLevel="0" collapsed="false">
      <c r="A143" s="449" t="s">
        <v>1169</v>
      </c>
      <c r="B143" s="460"/>
      <c r="C143" s="460"/>
      <c r="D143" s="538"/>
      <c r="E143" s="461"/>
      <c r="F143" s="461"/>
      <c r="G143" s="486"/>
      <c r="H143" s="490"/>
      <c r="I143" s="484"/>
      <c r="J143" s="484"/>
      <c r="K143" s="484"/>
      <c r="L143" s="464"/>
      <c r="M143" s="484"/>
      <c r="N143" s="484"/>
      <c r="O143" s="484"/>
      <c r="P143" s="484"/>
      <c r="Q143" s="467"/>
      <c r="R143" s="467"/>
      <c r="S143" s="467"/>
      <c r="T143" s="466"/>
      <c r="U143" s="468"/>
      <c r="V143" s="469"/>
      <c r="W143" s="471"/>
      <c r="X143" s="471"/>
      <c r="Y143" s="470"/>
      <c r="Z143" s="471"/>
      <c r="AA143" s="471"/>
      <c r="AB143" s="466"/>
      <c r="AC143" s="466"/>
      <c r="AD143" s="466"/>
      <c r="AE143" s="466"/>
      <c r="AF143" s="466"/>
      <c r="AG143" s="478"/>
      <c r="AH143" s="475"/>
      <c r="AI143" s="475"/>
      <c r="AJ143" s="475"/>
      <c r="AK143" s="475"/>
      <c r="AL143" s="475"/>
      <c r="AM143" s="475"/>
      <c r="AN143" s="475"/>
      <c r="AO143" s="475"/>
      <c r="AP143" s="475"/>
      <c r="AQ143" s="475"/>
      <c r="AR143" s="475"/>
      <c r="AS143" s="475"/>
      <c r="AT143" s="475"/>
      <c r="AU143" s="475"/>
      <c r="AV143" s="475"/>
      <c r="AW143" s="475"/>
      <c r="AX143" s="475"/>
      <c r="AY143" s="475"/>
      <c r="AZ143" s="475"/>
      <c r="BA143" s="475"/>
      <c r="BB143" s="475"/>
      <c r="BC143" s="475"/>
      <c r="BD143" s="475"/>
      <c r="BE143" s="475"/>
      <c r="BF143" s="475"/>
      <c r="BG143" s="475"/>
      <c r="BH143" s="475"/>
      <c r="BI143" s="475"/>
      <c r="BJ143" s="475"/>
      <c r="BK143" s="475"/>
      <c r="BL143" s="475"/>
      <c r="BM143" s="475"/>
      <c r="BN143" s="475"/>
      <c r="BO143" s="475"/>
      <c r="BP143" s="475"/>
      <c r="BQ143" s="475"/>
      <c r="BR143" s="475"/>
      <c r="BS143" s="475"/>
      <c r="BT143" s="475"/>
      <c r="BU143" s="475"/>
      <c r="BV143" s="475"/>
      <c r="BW143" s="475"/>
      <c r="BX143" s="475"/>
      <c r="BY143" s="475"/>
      <c r="BZ143" s="475"/>
      <c r="CA143" s="475"/>
      <c r="CB143" s="475"/>
      <c r="CC143" s="475"/>
    </row>
    <row r="144" customFormat="false" ht="30" hidden="false" customHeight="true" outlineLevel="0" collapsed="false">
      <c r="A144" s="449" t="s">
        <v>1170</v>
      </c>
      <c r="B144" s="460"/>
      <c r="C144" s="460"/>
      <c r="D144" s="538"/>
      <c r="E144" s="461"/>
      <c r="F144" s="461"/>
      <c r="G144" s="486"/>
      <c r="H144" s="490"/>
      <c r="I144" s="474"/>
      <c r="J144" s="484"/>
      <c r="K144" s="484"/>
      <c r="L144" s="464"/>
      <c r="M144" s="484"/>
      <c r="N144" s="484"/>
      <c r="O144" s="484"/>
      <c r="P144" s="484"/>
      <c r="Q144" s="467"/>
      <c r="R144" s="467"/>
      <c r="S144" s="467"/>
      <c r="T144" s="466"/>
      <c r="U144" s="468"/>
      <c r="V144" s="469"/>
      <c r="W144" s="470"/>
      <c r="X144" s="471"/>
      <c r="Y144" s="470"/>
      <c r="Z144" s="471"/>
      <c r="AA144" s="471"/>
      <c r="AB144" s="466"/>
      <c r="AC144" s="466"/>
      <c r="AD144" s="466"/>
      <c r="AE144" s="466"/>
      <c r="AF144" s="466"/>
      <c r="AG144" s="478"/>
      <c r="AH144" s="475"/>
      <c r="AI144" s="475"/>
      <c r="AJ144" s="475"/>
      <c r="AK144" s="475"/>
      <c r="AL144" s="475"/>
      <c r="AM144" s="475"/>
      <c r="AN144" s="475"/>
      <c r="AO144" s="475"/>
      <c r="AP144" s="475"/>
      <c r="AQ144" s="475"/>
      <c r="AR144" s="475"/>
      <c r="AS144" s="475"/>
      <c r="AT144" s="475"/>
      <c r="AU144" s="475"/>
      <c r="AV144" s="475"/>
      <c r="AW144" s="475"/>
      <c r="AX144" s="475"/>
      <c r="AY144" s="475"/>
      <c r="AZ144" s="475"/>
      <c r="BA144" s="475"/>
      <c r="BB144" s="475"/>
      <c r="BC144" s="475"/>
      <c r="BD144" s="475"/>
      <c r="BE144" s="475"/>
      <c r="BF144" s="475"/>
      <c r="BG144" s="475"/>
      <c r="BH144" s="475"/>
      <c r="BI144" s="475"/>
      <c r="BJ144" s="475"/>
      <c r="BK144" s="475"/>
      <c r="BL144" s="475"/>
      <c r="BM144" s="475"/>
      <c r="BN144" s="475"/>
      <c r="BO144" s="475"/>
      <c r="BP144" s="475"/>
      <c r="BQ144" s="475"/>
      <c r="BR144" s="475"/>
      <c r="BS144" s="475"/>
      <c r="BT144" s="475"/>
      <c r="BU144" s="475"/>
      <c r="BV144" s="475"/>
      <c r="BW144" s="475"/>
      <c r="BX144" s="475"/>
      <c r="BY144" s="475"/>
      <c r="BZ144" s="475"/>
      <c r="CA144" s="475"/>
      <c r="CB144" s="475"/>
      <c r="CC144" s="475"/>
    </row>
    <row r="145" customFormat="false" ht="30" hidden="false" customHeight="true" outlineLevel="0" collapsed="false">
      <c r="A145" s="449" t="s">
        <v>1171</v>
      </c>
      <c r="B145" s="460"/>
      <c r="C145" s="460"/>
      <c r="D145" s="538"/>
      <c r="E145" s="461"/>
      <c r="F145" s="461"/>
      <c r="G145" s="486"/>
      <c r="H145" s="490"/>
      <c r="I145" s="474"/>
      <c r="J145" s="484"/>
      <c r="K145" s="484"/>
      <c r="L145" s="464"/>
      <c r="M145" s="484"/>
      <c r="N145" s="484"/>
      <c r="O145" s="484"/>
      <c r="P145" s="484"/>
      <c r="Q145" s="467"/>
      <c r="R145" s="467"/>
      <c r="S145" s="467"/>
      <c r="T145" s="466"/>
      <c r="U145" s="468"/>
      <c r="V145" s="469"/>
      <c r="W145" s="470"/>
      <c r="X145" s="471"/>
      <c r="Y145" s="470"/>
      <c r="Z145" s="471"/>
      <c r="AA145" s="471"/>
      <c r="AB145" s="466"/>
      <c r="AC145" s="466"/>
      <c r="AD145" s="466"/>
      <c r="AE145" s="466"/>
      <c r="AF145" s="466"/>
      <c r="AG145" s="478"/>
      <c r="AH145" s="475"/>
      <c r="AI145" s="475"/>
      <c r="AJ145" s="475"/>
      <c r="AK145" s="475"/>
      <c r="AL145" s="475"/>
      <c r="AM145" s="475"/>
      <c r="AN145" s="475"/>
      <c r="AO145" s="475"/>
      <c r="AP145" s="475"/>
      <c r="AQ145" s="475"/>
      <c r="AR145" s="475"/>
      <c r="AS145" s="475"/>
      <c r="AT145" s="475"/>
      <c r="AU145" s="475"/>
      <c r="AV145" s="475"/>
      <c r="AW145" s="475"/>
      <c r="AX145" s="475"/>
      <c r="AY145" s="475"/>
      <c r="AZ145" s="475"/>
      <c r="BA145" s="475"/>
      <c r="BB145" s="475"/>
      <c r="BC145" s="475"/>
      <c r="BD145" s="475"/>
      <c r="BE145" s="475"/>
      <c r="BF145" s="475"/>
      <c r="BG145" s="475"/>
      <c r="BH145" s="475"/>
      <c r="BI145" s="475"/>
      <c r="BJ145" s="475"/>
      <c r="BK145" s="475"/>
      <c r="BL145" s="475"/>
      <c r="BM145" s="475"/>
      <c r="BN145" s="475"/>
      <c r="BO145" s="475"/>
      <c r="BP145" s="475"/>
      <c r="BQ145" s="475"/>
      <c r="BR145" s="475"/>
      <c r="BS145" s="475"/>
      <c r="BT145" s="475"/>
      <c r="BU145" s="475"/>
      <c r="BV145" s="475"/>
      <c r="BW145" s="475"/>
      <c r="BX145" s="475"/>
      <c r="BY145" s="475"/>
      <c r="BZ145" s="475"/>
      <c r="CA145" s="475"/>
      <c r="CB145" s="475"/>
      <c r="CC145" s="475"/>
    </row>
    <row r="146" customFormat="false" ht="30" hidden="false" customHeight="true" outlineLevel="0" collapsed="false">
      <c r="A146" s="449" t="s">
        <v>1172</v>
      </c>
      <c r="B146" s="460"/>
      <c r="C146" s="460"/>
      <c r="D146" s="538"/>
      <c r="E146" s="461"/>
      <c r="F146" s="461"/>
      <c r="G146" s="486"/>
      <c r="H146" s="490"/>
      <c r="I146" s="484"/>
      <c r="J146" s="484"/>
      <c r="K146" s="484"/>
      <c r="L146" s="464"/>
      <c r="M146" s="484"/>
      <c r="N146" s="484"/>
      <c r="O146" s="484"/>
      <c r="P146" s="484"/>
      <c r="Q146" s="467"/>
      <c r="R146" s="467"/>
      <c r="S146" s="467"/>
      <c r="T146" s="466"/>
      <c r="U146" s="468"/>
      <c r="V146" s="469"/>
      <c r="W146" s="471"/>
      <c r="X146" s="471"/>
      <c r="Y146" s="470"/>
      <c r="Z146" s="471"/>
      <c r="AA146" s="471"/>
      <c r="AB146" s="466"/>
      <c r="AC146" s="466"/>
      <c r="AD146" s="466"/>
      <c r="AE146" s="466"/>
      <c r="AF146" s="466"/>
      <c r="AG146" s="478"/>
      <c r="AH146" s="475"/>
      <c r="AI146" s="475"/>
      <c r="AJ146" s="475"/>
      <c r="AK146" s="475"/>
      <c r="AL146" s="475"/>
      <c r="AM146" s="475"/>
      <c r="AN146" s="475"/>
      <c r="AO146" s="475"/>
      <c r="AP146" s="475"/>
      <c r="AQ146" s="475"/>
      <c r="AR146" s="475"/>
      <c r="AS146" s="475"/>
      <c r="AT146" s="475"/>
      <c r="AU146" s="475"/>
      <c r="AV146" s="475"/>
      <c r="AW146" s="475"/>
      <c r="AX146" s="475"/>
      <c r="AY146" s="475"/>
      <c r="AZ146" s="475"/>
      <c r="BA146" s="475"/>
      <c r="BB146" s="475"/>
      <c r="BC146" s="475"/>
      <c r="BD146" s="475"/>
      <c r="BE146" s="475"/>
      <c r="BF146" s="475"/>
      <c r="BG146" s="475"/>
      <c r="BH146" s="475"/>
      <c r="BI146" s="475"/>
      <c r="BJ146" s="475"/>
      <c r="BK146" s="475"/>
      <c r="BL146" s="475"/>
      <c r="BM146" s="475"/>
      <c r="BN146" s="475"/>
      <c r="BO146" s="475"/>
      <c r="BP146" s="475"/>
      <c r="BQ146" s="475"/>
      <c r="BR146" s="475"/>
      <c r="BS146" s="475"/>
      <c r="BT146" s="475"/>
      <c r="BU146" s="475"/>
      <c r="BV146" s="475"/>
      <c r="BW146" s="475"/>
      <c r="BX146" s="475"/>
      <c r="BY146" s="475"/>
      <c r="BZ146" s="475"/>
      <c r="CA146" s="475"/>
      <c r="CB146" s="475"/>
      <c r="CC146" s="475"/>
    </row>
    <row r="147" customFormat="false" ht="30" hidden="false" customHeight="true" outlineLevel="0" collapsed="false">
      <c r="A147" s="449" t="s">
        <v>1173</v>
      </c>
      <c r="B147" s="460"/>
      <c r="C147" s="460"/>
      <c r="D147" s="538"/>
      <c r="E147" s="461"/>
      <c r="F147" s="461"/>
      <c r="G147" s="486"/>
      <c r="H147" s="490"/>
      <c r="I147" s="484"/>
      <c r="J147" s="484"/>
      <c r="K147" s="484"/>
      <c r="L147" s="464"/>
      <c r="M147" s="484"/>
      <c r="N147" s="484"/>
      <c r="O147" s="484"/>
      <c r="P147" s="484"/>
      <c r="Q147" s="467"/>
      <c r="R147" s="467"/>
      <c r="S147" s="467"/>
      <c r="T147" s="466"/>
      <c r="U147" s="468"/>
      <c r="V147" s="469"/>
      <c r="W147" s="471"/>
      <c r="X147" s="471"/>
      <c r="Y147" s="470"/>
      <c r="Z147" s="471"/>
      <c r="AA147" s="471"/>
      <c r="AB147" s="466"/>
      <c r="AC147" s="466"/>
      <c r="AD147" s="466"/>
      <c r="AE147" s="466"/>
      <c r="AF147" s="466"/>
      <c r="AG147" s="478"/>
      <c r="AH147" s="475"/>
      <c r="AI147" s="475"/>
      <c r="AJ147" s="475"/>
      <c r="AK147" s="475"/>
      <c r="AL147" s="475"/>
      <c r="AM147" s="475"/>
      <c r="AN147" s="475"/>
      <c r="AO147" s="475"/>
      <c r="AP147" s="475"/>
      <c r="AQ147" s="475"/>
      <c r="AR147" s="475"/>
      <c r="AS147" s="475"/>
      <c r="AT147" s="475"/>
      <c r="AU147" s="475"/>
      <c r="AV147" s="475"/>
      <c r="AW147" s="475"/>
      <c r="AX147" s="475"/>
      <c r="AY147" s="475"/>
      <c r="AZ147" s="475"/>
      <c r="BA147" s="475"/>
      <c r="BB147" s="475"/>
      <c r="BC147" s="475"/>
      <c r="BD147" s="475"/>
      <c r="BE147" s="475"/>
      <c r="BF147" s="475"/>
      <c r="BG147" s="475"/>
      <c r="BH147" s="475"/>
      <c r="BI147" s="475"/>
      <c r="BJ147" s="475"/>
      <c r="BK147" s="475"/>
      <c r="BL147" s="475"/>
      <c r="BM147" s="475"/>
      <c r="BN147" s="475"/>
      <c r="BO147" s="475"/>
      <c r="BP147" s="475"/>
      <c r="BQ147" s="475"/>
      <c r="BR147" s="475"/>
      <c r="BS147" s="475"/>
      <c r="BT147" s="475"/>
      <c r="BU147" s="475"/>
      <c r="BV147" s="475"/>
      <c r="BW147" s="475"/>
      <c r="BX147" s="475"/>
      <c r="BY147" s="475"/>
      <c r="BZ147" s="475"/>
      <c r="CA147" s="475"/>
      <c r="CB147" s="475"/>
      <c r="CC147" s="475"/>
    </row>
    <row r="148" customFormat="false" ht="30" hidden="false" customHeight="true" outlineLevel="0" collapsed="false">
      <c r="A148" s="449" t="s">
        <v>1174</v>
      </c>
      <c r="B148" s="460"/>
      <c r="C148" s="460"/>
      <c r="D148" s="538"/>
      <c r="E148" s="461"/>
      <c r="F148" s="461"/>
      <c r="G148" s="486"/>
      <c r="H148" s="490"/>
      <c r="I148" s="484"/>
      <c r="J148" s="484"/>
      <c r="K148" s="484"/>
      <c r="L148" s="464"/>
      <c r="M148" s="484"/>
      <c r="N148" s="484"/>
      <c r="O148" s="484"/>
      <c r="P148" s="484"/>
      <c r="Q148" s="467"/>
      <c r="R148" s="467"/>
      <c r="S148" s="467"/>
      <c r="T148" s="466"/>
      <c r="U148" s="468"/>
      <c r="V148" s="469"/>
      <c r="W148" s="471"/>
      <c r="X148" s="471"/>
      <c r="Y148" s="470"/>
      <c r="Z148" s="471"/>
      <c r="AA148" s="471"/>
      <c r="AB148" s="466"/>
      <c r="AC148" s="466"/>
      <c r="AD148" s="466"/>
      <c r="AE148" s="466"/>
      <c r="AF148" s="466"/>
      <c r="AG148" s="478"/>
      <c r="AH148" s="475"/>
      <c r="AI148" s="475"/>
      <c r="AJ148" s="475"/>
      <c r="AK148" s="475"/>
      <c r="AL148" s="475"/>
      <c r="AM148" s="475"/>
      <c r="AN148" s="475"/>
      <c r="AO148" s="475"/>
      <c r="AP148" s="475"/>
      <c r="AQ148" s="475"/>
      <c r="AR148" s="475"/>
      <c r="AS148" s="475"/>
      <c r="AT148" s="475"/>
      <c r="AU148" s="475"/>
      <c r="AV148" s="475"/>
      <c r="AW148" s="475"/>
      <c r="AX148" s="475"/>
      <c r="AY148" s="475"/>
      <c r="AZ148" s="475"/>
      <c r="BA148" s="475"/>
      <c r="BB148" s="475"/>
      <c r="BC148" s="475"/>
      <c r="BD148" s="475"/>
      <c r="BE148" s="475"/>
      <c r="BF148" s="475"/>
      <c r="BG148" s="475"/>
      <c r="BH148" s="475"/>
      <c r="BI148" s="475"/>
      <c r="BJ148" s="475"/>
      <c r="BK148" s="475"/>
      <c r="BL148" s="475"/>
      <c r="BM148" s="475"/>
      <c r="BN148" s="475"/>
      <c r="BO148" s="475"/>
      <c r="BP148" s="475"/>
      <c r="BQ148" s="475"/>
      <c r="BR148" s="475"/>
      <c r="BS148" s="475"/>
      <c r="BT148" s="475"/>
      <c r="BU148" s="475"/>
      <c r="BV148" s="475"/>
      <c r="BW148" s="475"/>
      <c r="BX148" s="475"/>
      <c r="BY148" s="475"/>
      <c r="BZ148" s="475"/>
      <c r="CA148" s="475"/>
      <c r="CB148" s="475"/>
      <c r="CC148" s="475"/>
    </row>
    <row r="149" customFormat="false" ht="30" hidden="false" customHeight="true" outlineLevel="0" collapsed="false">
      <c r="A149" s="449" t="s">
        <v>1175</v>
      </c>
      <c r="B149" s="460"/>
      <c r="C149" s="460"/>
      <c r="D149" s="538"/>
      <c r="E149" s="461"/>
      <c r="F149" s="461"/>
      <c r="G149" s="486"/>
      <c r="H149" s="490"/>
      <c r="I149" s="484"/>
      <c r="J149" s="484"/>
      <c r="K149" s="484"/>
      <c r="L149" s="464"/>
      <c r="M149" s="484"/>
      <c r="N149" s="484"/>
      <c r="O149" s="484"/>
      <c r="P149" s="484"/>
      <c r="Q149" s="467"/>
      <c r="R149" s="467"/>
      <c r="S149" s="467"/>
      <c r="T149" s="466"/>
      <c r="U149" s="468"/>
      <c r="V149" s="469"/>
      <c r="W149" s="471"/>
      <c r="X149" s="471"/>
      <c r="Y149" s="470"/>
      <c r="Z149" s="471"/>
      <c r="AA149" s="517"/>
      <c r="AB149" s="466"/>
      <c r="AC149" s="466"/>
      <c r="AD149" s="466"/>
      <c r="AE149" s="466"/>
      <c r="AF149" s="466"/>
      <c r="AG149" s="478"/>
      <c r="AH149" s="475"/>
      <c r="AI149" s="475"/>
      <c r="AJ149" s="475"/>
      <c r="AK149" s="475"/>
      <c r="AL149" s="475"/>
      <c r="AM149" s="475"/>
      <c r="AN149" s="475"/>
      <c r="AO149" s="475"/>
      <c r="AP149" s="475"/>
      <c r="AQ149" s="475"/>
      <c r="AR149" s="475"/>
      <c r="AS149" s="475"/>
      <c r="AT149" s="475"/>
      <c r="AU149" s="475"/>
      <c r="AV149" s="475"/>
      <c r="AW149" s="475"/>
      <c r="AX149" s="475"/>
      <c r="AY149" s="475"/>
      <c r="AZ149" s="475"/>
      <c r="BA149" s="475"/>
      <c r="BB149" s="475"/>
      <c r="BC149" s="475"/>
      <c r="BD149" s="475"/>
      <c r="BE149" s="475"/>
      <c r="BF149" s="475"/>
      <c r="BG149" s="475"/>
      <c r="BH149" s="475"/>
      <c r="BI149" s="475"/>
      <c r="BJ149" s="475"/>
      <c r="BK149" s="475"/>
      <c r="BL149" s="475"/>
      <c r="BM149" s="475"/>
      <c r="BN149" s="475"/>
      <c r="BO149" s="475"/>
      <c r="BP149" s="475"/>
      <c r="BQ149" s="475"/>
      <c r="BR149" s="475"/>
      <c r="BS149" s="475"/>
      <c r="BT149" s="475"/>
      <c r="BU149" s="475"/>
      <c r="BV149" s="475"/>
      <c r="BW149" s="475"/>
      <c r="BX149" s="475"/>
      <c r="BY149" s="475"/>
      <c r="BZ149" s="475"/>
      <c r="CA149" s="475"/>
      <c r="CB149" s="475"/>
      <c r="CC149" s="475"/>
      <c r="XCJ149" s="542"/>
      <c r="XCK149" s="542"/>
      <c r="XCL149" s="542"/>
      <c r="XCM149" s="542"/>
      <c r="XCN149" s="542"/>
      <c r="XCO149" s="542"/>
      <c r="XCP149" s="542"/>
      <c r="XCQ149" s="542"/>
      <c r="XCR149" s="542"/>
      <c r="XCS149" s="542"/>
      <c r="XCT149" s="542"/>
      <c r="XCU149" s="542"/>
      <c r="XCV149" s="542"/>
      <c r="XCW149" s="542"/>
      <c r="XCX149" s="542"/>
      <c r="XCY149" s="542"/>
      <c r="XCZ149" s="542"/>
      <c r="XDA149" s="542"/>
      <c r="XDB149" s="542"/>
      <c r="XDC149" s="542"/>
      <c r="XDD149" s="542"/>
      <c r="XDE149" s="542"/>
      <c r="XDF149" s="542"/>
      <c r="XDG149" s="542"/>
      <c r="XDH149" s="542"/>
      <c r="XDI149" s="542"/>
      <c r="XDJ149" s="542"/>
      <c r="XDK149" s="542"/>
      <c r="XDL149" s="542"/>
      <c r="XDM149" s="542"/>
      <c r="XDN149" s="542"/>
      <c r="XDO149" s="542"/>
      <c r="XDP149" s="542"/>
      <c r="XDQ149" s="542"/>
      <c r="XDR149" s="542"/>
      <c r="XDS149" s="542"/>
      <c r="XDT149" s="542"/>
      <c r="XDU149" s="542"/>
      <c r="XDV149" s="542"/>
      <c r="XDW149" s="542"/>
      <c r="XDX149" s="542"/>
      <c r="XDY149" s="542"/>
      <c r="XDZ149" s="542"/>
      <c r="XEA149" s="542"/>
      <c r="XEB149" s="542"/>
      <c r="XEC149" s="542"/>
      <c r="XED149" s="542"/>
      <c r="XEE149" s="542"/>
      <c r="XEF149" s="542"/>
      <c r="XEG149" s="542"/>
      <c r="XEH149" s="542"/>
      <c r="XEI149" s="542"/>
      <c r="XEJ149" s="542"/>
      <c r="XEK149" s="542"/>
      <c r="XEL149" s="542"/>
      <c r="XEM149" s="542"/>
      <c r="XEN149" s="542"/>
      <c r="XEO149" s="542"/>
      <c r="XEP149" s="542"/>
      <c r="XEQ149" s="542"/>
      <c r="XER149" s="542"/>
      <c r="XES149" s="542"/>
      <c r="XET149" s="542"/>
      <c r="XEU149" s="542"/>
      <c r="XEV149" s="542"/>
      <c r="XEW149" s="542"/>
      <c r="XEX149" s="542"/>
      <c r="XEY149" s="542"/>
      <c r="XEZ149" s="542"/>
      <c r="XFA149" s="542"/>
      <c r="XFB149" s="542"/>
      <c r="XFC149" s="542"/>
      <c r="XFD149" s="542"/>
    </row>
    <row r="150" customFormat="false" ht="30" hidden="false" customHeight="true" outlineLevel="0" collapsed="false">
      <c r="A150" s="449" t="s">
        <v>1176</v>
      </c>
      <c r="B150" s="460"/>
      <c r="C150" s="460"/>
      <c r="D150" s="259"/>
      <c r="E150" s="461"/>
      <c r="F150" s="461"/>
      <c r="G150" s="486"/>
      <c r="H150" s="490"/>
      <c r="I150" s="484"/>
      <c r="J150" s="484"/>
      <c r="K150" s="484"/>
      <c r="L150" s="464"/>
      <c r="M150" s="533"/>
      <c r="N150" s="484"/>
      <c r="O150" s="484"/>
      <c r="P150" s="484"/>
      <c r="Q150" s="467"/>
      <c r="R150" s="467"/>
      <c r="S150" s="467"/>
      <c r="T150" s="466"/>
      <c r="U150" s="468"/>
      <c r="V150" s="469"/>
      <c r="W150" s="471"/>
      <c r="X150" s="471"/>
      <c r="Y150" s="470"/>
      <c r="Z150" s="471"/>
      <c r="AA150" s="517"/>
      <c r="AB150" s="466"/>
      <c r="AC150" s="466"/>
      <c r="AD150" s="466"/>
      <c r="AE150" s="466"/>
      <c r="AF150" s="466"/>
      <c r="AG150" s="478"/>
      <c r="AH150" s="475"/>
      <c r="AI150" s="475"/>
      <c r="AJ150" s="475"/>
      <c r="AK150" s="475"/>
      <c r="AL150" s="475"/>
      <c r="AM150" s="475"/>
      <c r="AN150" s="475"/>
      <c r="AO150" s="475"/>
      <c r="AP150" s="475"/>
      <c r="AQ150" s="475"/>
      <c r="AR150" s="475"/>
      <c r="AS150" s="475"/>
      <c r="AT150" s="475"/>
      <c r="AU150" s="475"/>
      <c r="AV150" s="475"/>
      <c r="AW150" s="475"/>
      <c r="AX150" s="475"/>
      <c r="AY150" s="475"/>
      <c r="AZ150" s="475"/>
      <c r="BA150" s="475"/>
      <c r="BB150" s="475"/>
      <c r="BC150" s="475"/>
      <c r="BD150" s="475"/>
      <c r="BE150" s="475"/>
      <c r="BF150" s="475"/>
      <c r="BG150" s="475"/>
      <c r="BH150" s="475"/>
      <c r="BI150" s="475"/>
      <c r="BJ150" s="475"/>
      <c r="BK150" s="475"/>
      <c r="BL150" s="475"/>
      <c r="BM150" s="475"/>
      <c r="BN150" s="475"/>
      <c r="BO150" s="475"/>
      <c r="BP150" s="475"/>
      <c r="BQ150" s="475"/>
      <c r="BR150" s="475"/>
      <c r="BS150" s="475"/>
      <c r="BT150" s="475"/>
      <c r="BU150" s="475"/>
      <c r="BV150" s="475"/>
      <c r="BW150" s="475"/>
      <c r="BX150" s="475"/>
      <c r="BY150" s="475"/>
      <c r="BZ150" s="475"/>
      <c r="CA150" s="475"/>
      <c r="CB150" s="475"/>
      <c r="CC150" s="475"/>
    </row>
    <row r="151" customFormat="false" ht="30" hidden="false" customHeight="true" outlineLevel="0" collapsed="false">
      <c r="A151" s="449" t="s">
        <v>1177</v>
      </c>
      <c r="B151" s="460"/>
      <c r="C151" s="460"/>
      <c r="D151" s="259"/>
      <c r="E151" s="461"/>
      <c r="F151" s="461"/>
      <c r="G151" s="486"/>
      <c r="H151" s="490"/>
      <c r="I151" s="484"/>
      <c r="J151" s="484"/>
      <c r="K151" s="484"/>
      <c r="L151" s="464"/>
      <c r="M151" s="533"/>
      <c r="N151" s="484"/>
      <c r="O151" s="484"/>
      <c r="P151" s="484"/>
      <c r="Q151" s="467"/>
      <c r="R151" s="467"/>
      <c r="S151" s="467"/>
      <c r="T151" s="466"/>
      <c r="U151" s="468"/>
      <c r="V151" s="469"/>
      <c r="W151" s="471"/>
      <c r="X151" s="471"/>
      <c r="Y151" s="470"/>
      <c r="Z151" s="471"/>
      <c r="AA151" s="517"/>
      <c r="AB151" s="466"/>
      <c r="AC151" s="466"/>
      <c r="AD151" s="466"/>
      <c r="AE151" s="466"/>
      <c r="AF151" s="466"/>
      <c r="AG151" s="478"/>
      <c r="AH151" s="475"/>
      <c r="AI151" s="475"/>
      <c r="AJ151" s="475"/>
      <c r="AK151" s="475"/>
      <c r="AL151" s="475"/>
      <c r="AM151" s="475"/>
      <c r="AN151" s="475"/>
      <c r="AO151" s="475"/>
      <c r="AP151" s="475"/>
      <c r="AQ151" s="475"/>
      <c r="AR151" s="475"/>
      <c r="AS151" s="475"/>
      <c r="AT151" s="475"/>
      <c r="AU151" s="475"/>
      <c r="AV151" s="475"/>
      <c r="AW151" s="475"/>
      <c r="AX151" s="475"/>
      <c r="AY151" s="475"/>
      <c r="AZ151" s="475"/>
      <c r="BA151" s="475"/>
      <c r="BB151" s="475"/>
      <c r="BC151" s="475"/>
      <c r="BD151" s="475"/>
      <c r="BE151" s="475"/>
      <c r="BF151" s="475"/>
      <c r="BG151" s="475"/>
      <c r="BH151" s="475"/>
      <c r="BI151" s="475"/>
      <c r="BJ151" s="475"/>
      <c r="BK151" s="475"/>
      <c r="BL151" s="475"/>
      <c r="BM151" s="475"/>
      <c r="BN151" s="475"/>
      <c r="BO151" s="475"/>
      <c r="BP151" s="475"/>
      <c r="BQ151" s="475"/>
      <c r="BR151" s="475"/>
      <c r="BS151" s="475"/>
      <c r="BT151" s="475"/>
      <c r="BU151" s="475"/>
      <c r="BV151" s="475"/>
      <c r="BW151" s="475"/>
      <c r="BX151" s="475"/>
      <c r="BY151" s="475"/>
      <c r="BZ151" s="475"/>
      <c r="CA151" s="475"/>
      <c r="CB151" s="475"/>
      <c r="CC151" s="475"/>
    </row>
    <row r="152" customFormat="false" ht="30" hidden="false" customHeight="true" outlineLevel="0" collapsed="false">
      <c r="A152" s="449" t="s">
        <v>1178</v>
      </c>
      <c r="B152" s="460"/>
      <c r="C152" s="460"/>
      <c r="D152" s="259"/>
      <c r="E152" s="461"/>
      <c r="F152" s="461"/>
      <c r="G152" s="486"/>
      <c r="H152" s="490"/>
      <c r="I152" s="484"/>
      <c r="J152" s="484"/>
      <c r="K152" s="484"/>
      <c r="L152" s="464"/>
      <c r="M152" s="533"/>
      <c r="N152" s="484"/>
      <c r="O152" s="484"/>
      <c r="P152" s="484"/>
      <c r="Q152" s="467"/>
      <c r="R152" s="467"/>
      <c r="S152" s="467"/>
      <c r="T152" s="466"/>
      <c r="U152" s="468"/>
      <c r="V152" s="491"/>
      <c r="W152" s="470"/>
      <c r="X152" s="471"/>
      <c r="Y152" s="470"/>
      <c r="Z152" s="471"/>
      <c r="AA152" s="517"/>
      <c r="AB152" s="466"/>
      <c r="AC152" s="466"/>
      <c r="AD152" s="466"/>
      <c r="AE152" s="466"/>
      <c r="AF152" s="466"/>
      <c r="AG152" s="478"/>
      <c r="AH152" s="475"/>
      <c r="AI152" s="475"/>
      <c r="AJ152" s="475"/>
      <c r="AK152" s="475"/>
      <c r="AL152" s="475"/>
      <c r="AM152" s="475"/>
      <c r="AN152" s="475"/>
      <c r="AO152" s="475"/>
      <c r="AP152" s="475"/>
      <c r="AQ152" s="475"/>
      <c r="AR152" s="475"/>
      <c r="AS152" s="475"/>
      <c r="AT152" s="475"/>
      <c r="AU152" s="475"/>
      <c r="AV152" s="475"/>
      <c r="AW152" s="475"/>
      <c r="AX152" s="475"/>
      <c r="AY152" s="475"/>
      <c r="AZ152" s="475"/>
      <c r="BA152" s="475"/>
      <c r="BB152" s="475"/>
      <c r="BC152" s="475"/>
      <c r="BD152" s="475"/>
      <c r="BE152" s="475"/>
      <c r="BF152" s="475"/>
      <c r="BG152" s="475"/>
      <c r="BH152" s="475"/>
      <c r="BI152" s="475"/>
      <c r="BJ152" s="475"/>
      <c r="BK152" s="475"/>
      <c r="BL152" s="475"/>
      <c r="BM152" s="475"/>
      <c r="BN152" s="475"/>
      <c r="BO152" s="475"/>
      <c r="BP152" s="475"/>
      <c r="BQ152" s="475"/>
      <c r="BR152" s="475"/>
      <c r="BS152" s="475"/>
      <c r="BT152" s="475"/>
      <c r="BU152" s="475"/>
      <c r="BV152" s="475"/>
      <c r="BW152" s="475"/>
      <c r="BX152" s="475"/>
      <c r="BY152" s="475"/>
      <c r="BZ152" s="475"/>
      <c r="CA152" s="475"/>
      <c r="CB152" s="475"/>
      <c r="CC152" s="475"/>
    </row>
    <row r="153" customFormat="false" ht="30" hidden="false" customHeight="true" outlineLevel="0" collapsed="false">
      <c r="A153" s="449" t="s">
        <v>1179</v>
      </c>
      <c r="B153" s="460"/>
      <c r="C153" s="460"/>
      <c r="D153" s="259"/>
      <c r="E153" s="461"/>
      <c r="F153" s="461"/>
      <c r="G153" s="486"/>
      <c r="H153" s="490"/>
      <c r="I153" s="484"/>
      <c r="J153" s="484"/>
      <c r="K153" s="484"/>
      <c r="L153" s="464"/>
      <c r="M153" s="484"/>
      <c r="N153" s="484"/>
      <c r="O153" s="484"/>
      <c r="P153" s="484"/>
      <c r="Q153" s="467"/>
      <c r="R153" s="467"/>
      <c r="S153" s="467"/>
      <c r="T153" s="466"/>
      <c r="U153" s="468"/>
      <c r="V153" s="491"/>
      <c r="W153" s="470"/>
      <c r="X153" s="471"/>
      <c r="Y153" s="470"/>
      <c r="Z153" s="471"/>
      <c r="AA153" s="517"/>
      <c r="AB153" s="466"/>
      <c r="AC153" s="466"/>
      <c r="AD153" s="466"/>
      <c r="AE153" s="466"/>
      <c r="AF153" s="466"/>
      <c r="AG153" s="478"/>
      <c r="AH153" s="475"/>
      <c r="AI153" s="475"/>
      <c r="AJ153" s="475"/>
      <c r="AK153" s="475"/>
      <c r="AL153" s="475"/>
      <c r="AM153" s="475"/>
      <c r="AN153" s="475"/>
      <c r="AO153" s="475"/>
      <c r="AP153" s="475"/>
      <c r="AQ153" s="475"/>
      <c r="AR153" s="475"/>
      <c r="AS153" s="475"/>
      <c r="AT153" s="475"/>
      <c r="AU153" s="475"/>
      <c r="AV153" s="475"/>
      <c r="AW153" s="475"/>
      <c r="AX153" s="475"/>
      <c r="AY153" s="475"/>
      <c r="AZ153" s="475"/>
      <c r="BA153" s="475"/>
      <c r="BB153" s="475"/>
      <c r="BC153" s="475"/>
      <c r="BD153" s="475"/>
      <c r="BE153" s="475"/>
      <c r="BF153" s="475"/>
      <c r="BG153" s="475"/>
      <c r="BH153" s="475"/>
      <c r="BI153" s="475"/>
      <c r="BJ153" s="475"/>
      <c r="BK153" s="475"/>
      <c r="BL153" s="475"/>
      <c r="BM153" s="475"/>
      <c r="BN153" s="475"/>
      <c r="BO153" s="475"/>
      <c r="BP153" s="475"/>
      <c r="BQ153" s="475"/>
      <c r="BR153" s="475"/>
      <c r="BS153" s="475"/>
      <c r="BT153" s="475"/>
      <c r="BU153" s="475"/>
      <c r="BV153" s="475"/>
      <c r="BW153" s="475"/>
      <c r="BX153" s="475"/>
      <c r="BY153" s="475"/>
      <c r="BZ153" s="475"/>
      <c r="CA153" s="475"/>
      <c r="CB153" s="475"/>
      <c r="CC153" s="475"/>
    </row>
    <row r="154" customFormat="false" ht="30" hidden="false" customHeight="true" outlineLevel="0" collapsed="false">
      <c r="A154" s="449" t="s">
        <v>1180</v>
      </c>
      <c r="B154" s="460"/>
      <c r="C154" s="460"/>
      <c r="D154" s="259"/>
      <c r="E154" s="461"/>
      <c r="F154" s="461"/>
      <c r="G154" s="486"/>
      <c r="H154" s="490"/>
      <c r="I154" s="484"/>
      <c r="J154" s="484"/>
      <c r="K154" s="484"/>
      <c r="L154" s="464"/>
      <c r="M154" s="533"/>
      <c r="N154" s="484"/>
      <c r="O154" s="484"/>
      <c r="P154" s="484"/>
      <c r="Q154" s="467"/>
      <c r="R154" s="467"/>
      <c r="S154" s="467"/>
      <c r="T154" s="466"/>
      <c r="U154" s="468"/>
      <c r="V154" s="491"/>
      <c r="W154" s="470"/>
      <c r="X154" s="471"/>
      <c r="Y154" s="470"/>
      <c r="Z154" s="471"/>
      <c r="AA154" s="471"/>
      <c r="AB154" s="466"/>
      <c r="AC154" s="466"/>
      <c r="AD154" s="466"/>
      <c r="AE154" s="466"/>
      <c r="AF154" s="466"/>
      <c r="AG154" s="478"/>
      <c r="AH154" s="475"/>
      <c r="AI154" s="475"/>
      <c r="AJ154" s="475"/>
      <c r="AK154" s="475"/>
      <c r="AL154" s="475"/>
      <c r="AM154" s="475"/>
      <c r="AN154" s="475"/>
      <c r="AO154" s="475"/>
      <c r="AP154" s="475"/>
      <c r="AQ154" s="475"/>
      <c r="AR154" s="475"/>
      <c r="AS154" s="475"/>
      <c r="AT154" s="475"/>
      <c r="AU154" s="475"/>
      <c r="AV154" s="475"/>
      <c r="AW154" s="475"/>
      <c r="AX154" s="475"/>
      <c r="AY154" s="475"/>
      <c r="AZ154" s="475"/>
      <c r="BA154" s="475"/>
      <c r="BB154" s="475"/>
      <c r="BC154" s="475"/>
      <c r="BD154" s="475"/>
      <c r="BE154" s="475"/>
      <c r="BF154" s="475"/>
      <c r="BG154" s="475"/>
      <c r="BH154" s="475"/>
      <c r="BI154" s="475"/>
      <c r="BJ154" s="475"/>
      <c r="BK154" s="475"/>
      <c r="BL154" s="475"/>
      <c r="BM154" s="475"/>
      <c r="BN154" s="475"/>
      <c r="BO154" s="475"/>
      <c r="BP154" s="475"/>
      <c r="BQ154" s="475"/>
      <c r="BR154" s="475"/>
      <c r="BS154" s="475"/>
      <c r="BT154" s="475"/>
      <c r="BU154" s="475"/>
      <c r="BV154" s="475"/>
      <c r="BW154" s="475"/>
      <c r="BX154" s="475"/>
      <c r="BY154" s="475"/>
      <c r="BZ154" s="475"/>
      <c r="CA154" s="475"/>
      <c r="CB154" s="475"/>
      <c r="CC154" s="475"/>
      <c r="XCJ154" s="542"/>
      <c r="XCK154" s="542"/>
      <c r="XCL154" s="542"/>
      <c r="XCM154" s="542"/>
      <c r="XCN154" s="542"/>
      <c r="XCO154" s="542"/>
      <c r="XCP154" s="542"/>
      <c r="XCQ154" s="542"/>
      <c r="XCR154" s="542"/>
      <c r="XCS154" s="542"/>
      <c r="XCT154" s="542"/>
      <c r="XCU154" s="542"/>
      <c r="XCV154" s="542"/>
      <c r="XCW154" s="542"/>
      <c r="XCX154" s="542"/>
      <c r="XCY154" s="542"/>
      <c r="XCZ154" s="542"/>
      <c r="XDA154" s="542"/>
      <c r="XDB154" s="542"/>
      <c r="XDC154" s="542"/>
      <c r="XDD154" s="542"/>
      <c r="XDE154" s="542"/>
      <c r="XDF154" s="542"/>
      <c r="XDG154" s="542"/>
      <c r="XDH154" s="542"/>
      <c r="XDI154" s="542"/>
      <c r="XDJ154" s="542"/>
      <c r="XDK154" s="542"/>
      <c r="XDL154" s="542"/>
      <c r="XDM154" s="542"/>
      <c r="XDN154" s="542"/>
      <c r="XDO154" s="542"/>
      <c r="XDP154" s="542"/>
      <c r="XDQ154" s="542"/>
      <c r="XDR154" s="542"/>
      <c r="XDS154" s="542"/>
      <c r="XDT154" s="542"/>
      <c r="XDU154" s="542"/>
      <c r="XDV154" s="542"/>
      <c r="XDW154" s="542"/>
      <c r="XDX154" s="542"/>
      <c r="XDY154" s="542"/>
      <c r="XDZ154" s="542"/>
      <c r="XEA154" s="542"/>
      <c r="XEB154" s="542"/>
      <c r="XEC154" s="542"/>
      <c r="XED154" s="542"/>
      <c r="XEE154" s="542"/>
      <c r="XEF154" s="542"/>
      <c r="XEG154" s="542"/>
      <c r="XEH154" s="542"/>
      <c r="XEI154" s="542"/>
      <c r="XEJ154" s="542"/>
      <c r="XEK154" s="542"/>
      <c r="XEL154" s="542"/>
      <c r="XEM154" s="542"/>
      <c r="XEN154" s="542"/>
      <c r="XEO154" s="542"/>
      <c r="XEP154" s="542"/>
      <c r="XEQ154" s="542"/>
      <c r="XER154" s="542"/>
      <c r="XES154" s="542"/>
      <c r="XET154" s="542"/>
      <c r="XEU154" s="542"/>
      <c r="XEV154" s="542"/>
      <c r="XEW154" s="542"/>
      <c r="XEX154" s="542"/>
      <c r="XEY154" s="542"/>
      <c r="XEZ154" s="542"/>
      <c r="XFA154" s="542"/>
      <c r="XFB154" s="542"/>
      <c r="XFC154" s="542"/>
      <c r="XFD154" s="542"/>
    </row>
    <row r="155" customFormat="false" ht="30" hidden="false" customHeight="true" outlineLevel="0" collapsed="false">
      <c r="A155" s="449" t="s">
        <v>1181</v>
      </c>
      <c r="B155" s="460"/>
      <c r="C155" s="460"/>
      <c r="D155" s="259"/>
      <c r="E155" s="461"/>
      <c r="F155" s="461"/>
      <c r="G155" s="489"/>
      <c r="H155" s="490"/>
      <c r="I155" s="484"/>
      <c r="J155" s="484"/>
      <c r="K155" s="484"/>
      <c r="L155" s="464"/>
      <c r="M155" s="533"/>
      <c r="N155" s="484"/>
      <c r="O155" s="484"/>
      <c r="P155" s="484"/>
      <c r="Q155" s="467"/>
      <c r="R155" s="467"/>
      <c r="S155" s="467"/>
      <c r="T155" s="466"/>
      <c r="U155" s="468"/>
      <c r="V155" s="469"/>
      <c r="W155" s="470"/>
      <c r="X155" s="471"/>
      <c r="Y155" s="470"/>
      <c r="Z155" s="471"/>
      <c r="AA155" s="471"/>
      <c r="AB155" s="466"/>
      <c r="AC155" s="466"/>
      <c r="AD155" s="466"/>
      <c r="AE155" s="466"/>
      <c r="AF155" s="466"/>
      <c r="AG155" s="478"/>
      <c r="AH155" s="475"/>
      <c r="AI155" s="475"/>
      <c r="AJ155" s="475"/>
      <c r="AK155" s="475"/>
      <c r="AL155" s="475"/>
      <c r="AM155" s="475"/>
      <c r="AN155" s="475"/>
      <c r="AO155" s="475"/>
      <c r="AP155" s="475"/>
      <c r="AQ155" s="475"/>
      <c r="AR155" s="475"/>
      <c r="AS155" s="475"/>
      <c r="AT155" s="475"/>
      <c r="AU155" s="475"/>
      <c r="AV155" s="475"/>
      <c r="AW155" s="475"/>
      <c r="AX155" s="475"/>
      <c r="AY155" s="475"/>
      <c r="AZ155" s="475"/>
      <c r="BA155" s="475"/>
      <c r="BB155" s="475"/>
      <c r="BC155" s="475"/>
      <c r="BD155" s="475"/>
      <c r="BE155" s="475"/>
      <c r="BF155" s="475"/>
      <c r="BG155" s="475"/>
      <c r="BH155" s="475"/>
      <c r="BI155" s="475"/>
      <c r="BJ155" s="475"/>
      <c r="BK155" s="475"/>
      <c r="BL155" s="475"/>
      <c r="BM155" s="475"/>
      <c r="BN155" s="475"/>
      <c r="BO155" s="475"/>
      <c r="BP155" s="475"/>
      <c r="BQ155" s="475"/>
      <c r="BR155" s="475"/>
      <c r="BS155" s="475"/>
      <c r="BT155" s="475"/>
      <c r="BU155" s="475"/>
      <c r="BV155" s="475"/>
      <c r="BW155" s="475"/>
      <c r="BX155" s="475"/>
      <c r="BY155" s="475"/>
      <c r="BZ155" s="475"/>
      <c r="CA155" s="475"/>
      <c r="CB155" s="475"/>
      <c r="CC155" s="475"/>
    </row>
    <row r="156" customFormat="false" ht="30" hidden="false" customHeight="true" outlineLevel="0" collapsed="false">
      <c r="A156" s="449" t="s">
        <v>1182</v>
      </c>
      <c r="B156" s="460"/>
      <c r="C156" s="460"/>
      <c r="D156" s="259"/>
      <c r="E156" s="461"/>
      <c r="F156" s="461"/>
      <c r="G156" s="489"/>
      <c r="H156" s="490"/>
      <c r="I156" s="484"/>
      <c r="J156" s="484"/>
      <c r="K156" s="484"/>
      <c r="L156" s="464"/>
      <c r="M156" s="484"/>
      <c r="N156" s="484"/>
      <c r="O156" s="484"/>
      <c r="P156" s="484"/>
      <c r="Q156" s="467"/>
      <c r="R156" s="467"/>
      <c r="S156" s="467"/>
      <c r="T156" s="466"/>
      <c r="U156" s="468"/>
      <c r="V156" s="469"/>
      <c r="W156" s="470"/>
      <c r="X156" s="471"/>
      <c r="Y156" s="470"/>
      <c r="Z156" s="471"/>
      <c r="AA156" s="471"/>
      <c r="AB156" s="466"/>
      <c r="AC156" s="466"/>
      <c r="AD156" s="466"/>
      <c r="AE156" s="466"/>
      <c r="AF156" s="466"/>
      <c r="AG156" s="478"/>
      <c r="AH156" s="475"/>
      <c r="AI156" s="475"/>
      <c r="AJ156" s="475"/>
      <c r="AK156" s="475"/>
      <c r="AL156" s="475"/>
      <c r="AM156" s="475"/>
      <c r="AN156" s="475"/>
      <c r="AO156" s="475"/>
      <c r="AP156" s="475"/>
      <c r="AQ156" s="475"/>
      <c r="AR156" s="475"/>
      <c r="AS156" s="475"/>
      <c r="AT156" s="475"/>
      <c r="AU156" s="475"/>
      <c r="AV156" s="475"/>
      <c r="AW156" s="475"/>
      <c r="AX156" s="475"/>
      <c r="AY156" s="475"/>
      <c r="AZ156" s="475"/>
      <c r="BA156" s="475"/>
      <c r="BB156" s="475"/>
      <c r="BC156" s="475"/>
      <c r="BD156" s="475"/>
      <c r="BE156" s="475"/>
      <c r="BF156" s="475"/>
      <c r="BG156" s="475"/>
      <c r="BH156" s="475"/>
      <c r="BI156" s="475"/>
      <c r="BJ156" s="475"/>
      <c r="BK156" s="475"/>
      <c r="BL156" s="475"/>
      <c r="BM156" s="475"/>
      <c r="BN156" s="475"/>
      <c r="BO156" s="475"/>
      <c r="BP156" s="475"/>
      <c r="BQ156" s="475"/>
      <c r="BR156" s="475"/>
      <c r="BS156" s="475"/>
      <c r="BT156" s="475"/>
      <c r="BU156" s="475"/>
      <c r="BV156" s="475"/>
      <c r="BW156" s="475"/>
      <c r="BX156" s="475"/>
      <c r="BY156" s="475"/>
      <c r="BZ156" s="475"/>
      <c r="CA156" s="475"/>
      <c r="CB156" s="475"/>
      <c r="CC156" s="475"/>
    </row>
    <row r="157" customFormat="false" ht="30" hidden="false" customHeight="true" outlineLevel="0" collapsed="false">
      <c r="A157" s="449" t="s">
        <v>1183</v>
      </c>
      <c r="B157" s="460"/>
      <c r="C157" s="460"/>
      <c r="D157" s="259"/>
      <c r="E157" s="461"/>
      <c r="F157" s="461"/>
      <c r="G157" s="486"/>
      <c r="H157" s="490"/>
      <c r="I157" s="484"/>
      <c r="J157" s="484"/>
      <c r="K157" s="484"/>
      <c r="L157" s="464"/>
      <c r="M157" s="533"/>
      <c r="N157" s="484"/>
      <c r="O157" s="484"/>
      <c r="P157" s="484"/>
      <c r="Q157" s="467"/>
      <c r="R157" s="467"/>
      <c r="S157" s="467"/>
      <c r="T157" s="466"/>
      <c r="U157" s="468"/>
      <c r="V157" s="469"/>
      <c r="W157" s="470"/>
      <c r="X157" s="471"/>
      <c r="Y157" s="470"/>
      <c r="Z157" s="471"/>
      <c r="AA157" s="471"/>
      <c r="AB157" s="466"/>
      <c r="AC157" s="466"/>
      <c r="AD157" s="466"/>
      <c r="AE157" s="466"/>
      <c r="AF157" s="466"/>
      <c r="AG157" s="478"/>
      <c r="AH157" s="475"/>
      <c r="AI157" s="475"/>
      <c r="AJ157" s="475"/>
      <c r="AK157" s="475"/>
      <c r="AL157" s="475"/>
      <c r="AM157" s="475"/>
      <c r="AN157" s="475"/>
      <c r="AO157" s="475"/>
      <c r="AP157" s="475"/>
      <c r="AQ157" s="475"/>
      <c r="AR157" s="475"/>
      <c r="AS157" s="475"/>
      <c r="AT157" s="475"/>
      <c r="AU157" s="475"/>
      <c r="AV157" s="475"/>
      <c r="AW157" s="475"/>
      <c r="AX157" s="475"/>
      <c r="AY157" s="475"/>
      <c r="AZ157" s="475"/>
      <c r="BA157" s="475"/>
      <c r="BB157" s="475"/>
      <c r="BC157" s="475"/>
      <c r="BD157" s="475"/>
      <c r="BE157" s="475"/>
      <c r="BF157" s="475"/>
      <c r="BG157" s="475"/>
      <c r="BH157" s="475"/>
      <c r="BI157" s="475"/>
      <c r="BJ157" s="475"/>
      <c r="BK157" s="475"/>
      <c r="BL157" s="475"/>
      <c r="BM157" s="475"/>
      <c r="BN157" s="475"/>
      <c r="BO157" s="475"/>
      <c r="BP157" s="475"/>
      <c r="BQ157" s="475"/>
      <c r="BR157" s="475"/>
      <c r="BS157" s="475"/>
      <c r="BT157" s="475"/>
      <c r="BU157" s="475"/>
      <c r="BV157" s="475"/>
      <c r="BW157" s="475"/>
      <c r="BX157" s="475"/>
      <c r="BY157" s="475"/>
      <c r="BZ157" s="475"/>
      <c r="CA157" s="475"/>
      <c r="CB157" s="475"/>
      <c r="CC157" s="475"/>
    </row>
    <row r="158" customFormat="false" ht="30" hidden="false" customHeight="true" outlineLevel="0" collapsed="false">
      <c r="A158" s="449" t="s">
        <v>1184</v>
      </c>
      <c r="B158" s="460"/>
      <c r="C158" s="460"/>
      <c r="D158" s="259"/>
      <c r="E158" s="461"/>
      <c r="F158" s="461"/>
      <c r="G158" s="486"/>
      <c r="H158" s="490"/>
      <c r="I158" s="484"/>
      <c r="J158" s="484"/>
      <c r="K158" s="484"/>
      <c r="L158" s="464"/>
      <c r="M158" s="484"/>
      <c r="N158" s="488"/>
      <c r="O158" s="466"/>
      <c r="P158" s="466"/>
      <c r="Q158" s="467"/>
      <c r="R158" s="467"/>
      <c r="S158" s="467"/>
      <c r="T158" s="466"/>
      <c r="U158" s="468"/>
      <c r="V158" s="469"/>
      <c r="W158" s="479"/>
      <c r="X158" s="471"/>
      <c r="Y158" s="479"/>
      <c r="Z158" s="471"/>
      <c r="AA158" s="471"/>
      <c r="AB158" s="466"/>
      <c r="AC158" s="466"/>
      <c r="AD158" s="466"/>
      <c r="AE158" s="466"/>
      <c r="AF158" s="466"/>
      <c r="AG158" s="478"/>
      <c r="AH158" s="475"/>
      <c r="AI158" s="475"/>
      <c r="AJ158" s="475"/>
      <c r="AK158" s="475"/>
      <c r="AL158" s="475"/>
      <c r="AM158" s="475"/>
      <c r="AN158" s="475"/>
      <c r="AO158" s="475"/>
      <c r="AP158" s="475"/>
      <c r="AQ158" s="475"/>
      <c r="AR158" s="475"/>
      <c r="AS158" s="475"/>
      <c r="AT158" s="475"/>
      <c r="AU158" s="475"/>
      <c r="AV158" s="475"/>
      <c r="AW158" s="475"/>
      <c r="AX158" s="475"/>
      <c r="AY158" s="475"/>
      <c r="AZ158" s="475"/>
      <c r="BA158" s="475"/>
      <c r="BB158" s="475"/>
      <c r="BC158" s="475"/>
      <c r="BD158" s="475"/>
      <c r="BE158" s="475"/>
      <c r="BF158" s="475"/>
      <c r="BG158" s="475"/>
      <c r="BH158" s="475"/>
      <c r="BI158" s="475"/>
      <c r="BJ158" s="475"/>
      <c r="BK158" s="475"/>
      <c r="BL158" s="475"/>
      <c r="BM158" s="475"/>
      <c r="BN158" s="475"/>
      <c r="BO158" s="475"/>
      <c r="BP158" s="475"/>
      <c r="BQ158" s="475"/>
      <c r="BR158" s="475"/>
      <c r="BS158" s="475"/>
      <c r="BT158" s="475"/>
      <c r="BU158" s="475"/>
      <c r="BV158" s="475"/>
      <c r="BW158" s="475"/>
      <c r="BX158" s="475"/>
      <c r="BY158" s="475"/>
      <c r="BZ158" s="475"/>
      <c r="CA158" s="475"/>
      <c r="CB158" s="475"/>
      <c r="CC158" s="475"/>
    </row>
    <row r="159" customFormat="false" ht="30" hidden="false" customHeight="true" outlineLevel="0" collapsed="false">
      <c r="A159" s="449" t="s">
        <v>1185</v>
      </c>
      <c r="B159" s="460"/>
      <c r="C159" s="460"/>
      <c r="D159" s="259"/>
      <c r="E159" s="461"/>
      <c r="F159" s="461"/>
      <c r="G159" s="486"/>
      <c r="H159" s="490"/>
      <c r="I159" s="484"/>
      <c r="J159" s="484"/>
      <c r="K159" s="484"/>
      <c r="L159" s="464"/>
      <c r="M159" s="484"/>
      <c r="N159" s="488"/>
      <c r="O159" s="484"/>
      <c r="P159" s="484"/>
      <c r="Q159" s="467"/>
      <c r="R159" s="467"/>
      <c r="S159" s="467"/>
      <c r="T159" s="466"/>
      <c r="U159" s="468"/>
      <c r="V159" s="491"/>
      <c r="W159" s="479"/>
      <c r="X159" s="471"/>
      <c r="Y159" s="479"/>
      <c r="Z159" s="471"/>
      <c r="AA159" s="471"/>
      <c r="AB159" s="466"/>
      <c r="AC159" s="466"/>
      <c r="AD159" s="466"/>
      <c r="AE159" s="466"/>
      <c r="AF159" s="466"/>
      <c r="AG159" s="478"/>
      <c r="AH159" s="475"/>
      <c r="AI159" s="475"/>
      <c r="AJ159" s="475"/>
      <c r="AK159" s="475"/>
      <c r="AL159" s="475"/>
      <c r="AM159" s="475"/>
      <c r="AN159" s="475"/>
      <c r="AO159" s="475"/>
      <c r="AP159" s="475"/>
      <c r="AQ159" s="475"/>
      <c r="AR159" s="475"/>
      <c r="AS159" s="475"/>
      <c r="AT159" s="475"/>
      <c r="AU159" s="475"/>
      <c r="AV159" s="475"/>
      <c r="AW159" s="475"/>
      <c r="AX159" s="475"/>
      <c r="AY159" s="475"/>
      <c r="AZ159" s="475"/>
      <c r="BA159" s="475"/>
      <c r="BB159" s="475"/>
      <c r="BC159" s="475"/>
      <c r="BD159" s="475"/>
      <c r="BE159" s="475"/>
      <c r="BF159" s="475"/>
      <c r="BG159" s="475"/>
      <c r="BH159" s="475"/>
      <c r="BI159" s="475"/>
      <c r="BJ159" s="475"/>
      <c r="BK159" s="475"/>
      <c r="BL159" s="475"/>
      <c r="BM159" s="475"/>
      <c r="BN159" s="475"/>
      <c r="BO159" s="475"/>
      <c r="BP159" s="475"/>
      <c r="BQ159" s="475"/>
      <c r="BR159" s="475"/>
      <c r="BS159" s="475"/>
      <c r="BT159" s="475"/>
      <c r="BU159" s="475"/>
      <c r="BV159" s="475"/>
      <c r="BW159" s="475"/>
      <c r="BX159" s="475"/>
      <c r="BY159" s="475"/>
      <c r="BZ159" s="475"/>
      <c r="CA159" s="475"/>
      <c r="CB159" s="475"/>
      <c r="CC159" s="475"/>
    </row>
    <row r="160" customFormat="false" ht="30" hidden="false" customHeight="true" outlineLevel="0" collapsed="false">
      <c r="A160" s="449" t="s">
        <v>1186</v>
      </c>
      <c r="B160" s="460"/>
      <c r="C160" s="460"/>
      <c r="D160" s="259"/>
      <c r="E160" s="461"/>
      <c r="F160" s="461"/>
      <c r="G160" s="486"/>
      <c r="H160" s="490"/>
      <c r="I160" s="484"/>
      <c r="J160" s="484"/>
      <c r="K160" s="484"/>
      <c r="L160" s="464"/>
      <c r="M160" s="533"/>
      <c r="N160" s="484"/>
      <c r="O160" s="484"/>
      <c r="P160" s="484"/>
      <c r="Q160" s="467"/>
      <c r="R160" s="467"/>
      <c r="S160" s="467"/>
      <c r="T160" s="466"/>
      <c r="U160" s="468"/>
      <c r="V160" s="491"/>
      <c r="W160" s="470"/>
      <c r="X160" s="471"/>
      <c r="Y160" s="470"/>
      <c r="Z160" s="471"/>
      <c r="AA160" s="471"/>
      <c r="AB160" s="466"/>
      <c r="AC160" s="466"/>
      <c r="AD160" s="466"/>
      <c r="AE160" s="466"/>
      <c r="AF160" s="466"/>
      <c r="AG160" s="478"/>
      <c r="AH160" s="475"/>
      <c r="AI160" s="475"/>
      <c r="AJ160" s="475"/>
      <c r="AK160" s="475"/>
      <c r="AL160" s="475"/>
      <c r="AM160" s="475"/>
      <c r="AN160" s="475"/>
      <c r="AO160" s="475"/>
      <c r="AP160" s="475"/>
      <c r="AQ160" s="475"/>
      <c r="AR160" s="475"/>
      <c r="AS160" s="475"/>
      <c r="AT160" s="475"/>
      <c r="AU160" s="475"/>
      <c r="AV160" s="475"/>
      <c r="AW160" s="475"/>
      <c r="AX160" s="475"/>
      <c r="AY160" s="475"/>
      <c r="AZ160" s="475"/>
      <c r="BA160" s="475"/>
      <c r="BB160" s="475"/>
      <c r="BC160" s="475"/>
      <c r="BD160" s="475"/>
      <c r="BE160" s="475"/>
      <c r="BF160" s="475"/>
      <c r="BG160" s="475"/>
      <c r="BH160" s="475"/>
      <c r="BI160" s="475"/>
      <c r="BJ160" s="475"/>
      <c r="BK160" s="475"/>
      <c r="BL160" s="475"/>
      <c r="BM160" s="475"/>
      <c r="BN160" s="475"/>
      <c r="BO160" s="475"/>
      <c r="BP160" s="475"/>
      <c r="BQ160" s="475"/>
      <c r="BR160" s="475"/>
      <c r="BS160" s="475"/>
      <c r="BT160" s="475"/>
      <c r="BU160" s="475"/>
      <c r="BV160" s="475"/>
      <c r="BW160" s="475"/>
      <c r="BX160" s="475"/>
      <c r="BY160" s="475"/>
      <c r="BZ160" s="475"/>
      <c r="CA160" s="475"/>
      <c r="CB160" s="475"/>
      <c r="CC160" s="475"/>
    </row>
    <row r="161" customFormat="false" ht="30" hidden="false" customHeight="true" outlineLevel="0" collapsed="false">
      <c r="A161" s="449" t="s">
        <v>1187</v>
      </c>
      <c r="B161" s="460"/>
      <c r="C161" s="460"/>
      <c r="D161" s="259"/>
      <c r="E161" s="461"/>
      <c r="F161" s="461"/>
      <c r="G161" s="489"/>
      <c r="H161" s="490"/>
      <c r="I161" s="484"/>
      <c r="J161" s="484"/>
      <c r="K161" s="484"/>
      <c r="L161" s="464"/>
      <c r="M161" s="533"/>
      <c r="N161" s="484"/>
      <c r="O161" s="484"/>
      <c r="P161" s="484"/>
      <c r="Q161" s="467"/>
      <c r="R161" s="467"/>
      <c r="S161" s="467"/>
      <c r="T161" s="466"/>
      <c r="U161" s="468"/>
      <c r="V161" s="469"/>
      <c r="W161" s="470"/>
      <c r="X161" s="471"/>
      <c r="Y161" s="470"/>
      <c r="Z161" s="471"/>
      <c r="AA161" s="471"/>
      <c r="AB161" s="466"/>
      <c r="AC161" s="466"/>
      <c r="AD161" s="466"/>
      <c r="AE161" s="466"/>
      <c r="AF161" s="466"/>
      <c r="AG161" s="478"/>
      <c r="AH161" s="475"/>
      <c r="AI161" s="475"/>
      <c r="AJ161" s="475"/>
      <c r="AK161" s="475"/>
      <c r="AL161" s="475"/>
      <c r="AM161" s="475"/>
      <c r="AN161" s="475"/>
      <c r="AO161" s="475"/>
      <c r="AP161" s="475"/>
      <c r="AQ161" s="475"/>
      <c r="AR161" s="475"/>
      <c r="AS161" s="475"/>
      <c r="AT161" s="475"/>
      <c r="AU161" s="475"/>
      <c r="AV161" s="475"/>
      <c r="AW161" s="475"/>
      <c r="AX161" s="475"/>
      <c r="AY161" s="475"/>
      <c r="AZ161" s="475"/>
      <c r="BA161" s="475"/>
      <c r="BB161" s="475"/>
      <c r="BC161" s="475"/>
      <c r="BD161" s="475"/>
      <c r="BE161" s="475"/>
      <c r="BF161" s="475"/>
      <c r="BG161" s="475"/>
      <c r="BH161" s="475"/>
      <c r="BI161" s="475"/>
      <c r="BJ161" s="475"/>
      <c r="BK161" s="475"/>
      <c r="BL161" s="475"/>
      <c r="BM161" s="475"/>
      <c r="BN161" s="475"/>
      <c r="BO161" s="475"/>
      <c r="BP161" s="475"/>
      <c r="BQ161" s="475"/>
      <c r="BR161" s="475"/>
      <c r="BS161" s="475"/>
      <c r="BT161" s="475"/>
      <c r="BU161" s="475"/>
      <c r="BV161" s="475"/>
      <c r="BW161" s="475"/>
      <c r="BX161" s="475"/>
      <c r="BY161" s="475"/>
      <c r="BZ161" s="475"/>
      <c r="CA161" s="475"/>
      <c r="CB161" s="475"/>
      <c r="CC161" s="475"/>
    </row>
    <row r="162" customFormat="false" ht="30" hidden="false" customHeight="true" outlineLevel="0" collapsed="false">
      <c r="A162" s="449" t="s">
        <v>1188</v>
      </c>
      <c r="B162" s="460"/>
      <c r="C162" s="460"/>
      <c r="D162" s="259"/>
      <c r="E162" s="461"/>
      <c r="F162" s="461"/>
      <c r="G162" s="486"/>
      <c r="H162" s="490"/>
      <c r="I162" s="484"/>
      <c r="J162" s="484"/>
      <c r="K162" s="484"/>
      <c r="L162" s="464"/>
      <c r="M162" s="484"/>
      <c r="N162" s="484"/>
      <c r="O162" s="484"/>
      <c r="P162" s="484"/>
      <c r="Q162" s="467"/>
      <c r="R162" s="467"/>
      <c r="S162" s="467"/>
      <c r="T162" s="466"/>
      <c r="U162" s="468"/>
      <c r="V162" s="469"/>
      <c r="W162" s="470"/>
      <c r="X162" s="471"/>
      <c r="Y162" s="470"/>
      <c r="Z162" s="471"/>
      <c r="AA162" s="471"/>
      <c r="AB162" s="466"/>
      <c r="AC162" s="466"/>
      <c r="AD162" s="466"/>
      <c r="AE162" s="466"/>
      <c r="AF162" s="466"/>
      <c r="AG162" s="478"/>
      <c r="AH162" s="475"/>
      <c r="AI162" s="475"/>
      <c r="AJ162" s="475"/>
      <c r="AK162" s="475"/>
      <c r="AL162" s="475"/>
      <c r="AM162" s="475"/>
      <c r="AN162" s="475"/>
      <c r="AO162" s="475"/>
      <c r="AP162" s="475"/>
      <c r="AQ162" s="475"/>
      <c r="AR162" s="475"/>
      <c r="AS162" s="475"/>
      <c r="AT162" s="475"/>
      <c r="AU162" s="475"/>
      <c r="AV162" s="475"/>
      <c r="AW162" s="475"/>
      <c r="AX162" s="475"/>
      <c r="AY162" s="475"/>
      <c r="AZ162" s="475"/>
      <c r="BA162" s="475"/>
      <c r="BB162" s="475"/>
      <c r="BC162" s="475"/>
      <c r="BD162" s="475"/>
      <c r="BE162" s="475"/>
      <c r="BF162" s="475"/>
      <c r="BG162" s="475"/>
      <c r="BH162" s="475"/>
      <c r="BI162" s="475"/>
      <c r="BJ162" s="475"/>
      <c r="BK162" s="475"/>
      <c r="BL162" s="475"/>
      <c r="BM162" s="475"/>
      <c r="BN162" s="475"/>
      <c r="BO162" s="475"/>
      <c r="BP162" s="475"/>
      <c r="BQ162" s="475"/>
      <c r="BR162" s="475"/>
      <c r="BS162" s="475"/>
      <c r="BT162" s="475"/>
      <c r="BU162" s="475"/>
      <c r="BV162" s="475"/>
      <c r="BW162" s="475"/>
      <c r="BX162" s="475"/>
      <c r="BY162" s="475"/>
      <c r="BZ162" s="475"/>
      <c r="CA162" s="475"/>
      <c r="CB162" s="475"/>
      <c r="CC162" s="475"/>
    </row>
    <row r="163" customFormat="false" ht="30" hidden="false" customHeight="true" outlineLevel="0" collapsed="false">
      <c r="A163" s="449" t="s">
        <v>1189</v>
      </c>
      <c r="B163" s="460"/>
      <c r="C163" s="460"/>
      <c r="D163" s="259"/>
      <c r="E163" s="461"/>
      <c r="F163" s="461"/>
      <c r="G163" s="486"/>
      <c r="H163" s="490"/>
      <c r="I163" s="484"/>
      <c r="J163" s="484"/>
      <c r="K163" s="484"/>
      <c r="L163" s="464"/>
      <c r="M163" s="484"/>
      <c r="N163" s="484"/>
      <c r="O163" s="484"/>
      <c r="P163" s="484"/>
      <c r="Q163" s="467"/>
      <c r="R163" s="467"/>
      <c r="S163" s="467"/>
      <c r="T163" s="466"/>
      <c r="U163" s="468"/>
      <c r="V163" s="491"/>
      <c r="W163" s="470"/>
      <c r="X163" s="471"/>
      <c r="Y163" s="470"/>
      <c r="Z163" s="471"/>
      <c r="AA163" s="471"/>
      <c r="AB163" s="466"/>
      <c r="AC163" s="466"/>
      <c r="AD163" s="466"/>
      <c r="AE163" s="466"/>
      <c r="AF163" s="466"/>
      <c r="AG163" s="478"/>
      <c r="AH163" s="475"/>
      <c r="AI163" s="475"/>
      <c r="AJ163" s="475"/>
      <c r="AK163" s="475"/>
      <c r="AL163" s="475"/>
      <c r="AM163" s="475"/>
      <c r="AN163" s="475"/>
      <c r="AO163" s="475"/>
      <c r="AP163" s="475"/>
      <c r="AQ163" s="475"/>
      <c r="AR163" s="475"/>
      <c r="AS163" s="475"/>
      <c r="AT163" s="475"/>
      <c r="AU163" s="475"/>
      <c r="AV163" s="475"/>
      <c r="AW163" s="475"/>
      <c r="AX163" s="475"/>
      <c r="AY163" s="475"/>
      <c r="AZ163" s="475"/>
      <c r="BA163" s="475"/>
      <c r="BB163" s="475"/>
      <c r="BC163" s="475"/>
      <c r="BD163" s="475"/>
      <c r="BE163" s="475"/>
      <c r="BF163" s="475"/>
      <c r="BG163" s="475"/>
      <c r="BH163" s="475"/>
      <c r="BI163" s="475"/>
      <c r="BJ163" s="475"/>
      <c r="BK163" s="475"/>
      <c r="BL163" s="475"/>
      <c r="BM163" s="475"/>
      <c r="BN163" s="475"/>
      <c r="BO163" s="475"/>
      <c r="BP163" s="475"/>
      <c r="BQ163" s="475"/>
      <c r="BR163" s="475"/>
      <c r="BS163" s="475"/>
      <c r="BT163" s="475"/>
      <c r="BU163" s="475"/>
      <c r="BV163" s="475"/>
      <c r="BW163" s="475"/>
      <c r="BX163" s="475"/>
      <c r="BY163" s="475"/>
      <c r="BZ163" s="475"/>
      <c r="CA163" s="475"/>
      <c r="CB163" s="475"/>
      <c r="CC163" s="475"/>
    </row>
    <row r="164" customFormat="false" ht="30" hidden="false" customHeight="true" outlineLevel="0" collapsed="false">
      <c r="A164" s="449" t="s">
        <v>1190</v>
      </c>
      <c r="B164" s="460"/>
      <c r="C164" s="460"/>
      <c r="D164" s="259"/>
      <c r="E164" s="461"/>
      <c r="F164" s="461"/>
      <c r="G164" s="486"/>
      <c r="H164" s="490"/>
      <c r="I164" s="484"/>
      <c r="J164" s="484"/>
      <c r="K164" s="484"/>
      <c r="L164" s="464"/>
      <c r="M164" s="484"/>
      <c r="N164" s="484"/>
      <c r="O164" s="484"/>
      <c r="P164" s="484"/>
      <c r="Q164" s="467"/>
      <c r="R164" s="467"/>
      <c r="S164" s="467"/>
      <c r="T164" s="466"/>
      <c r="U164" s="468"/>
      <c r="V164" s="491"/>
      <c r="W164" s="470"/>
      <c r="X164" s="471"/>
      <c r="Y164" s="470"/>
      <c r="Z164" s="471"/>
      <c r="AA164" s="471"/>
      <c r="AB164" s="466"/>
      <c r="AC164" s="466"/>
      <c r="AD164" s="466"/>
      <c r="AE164" s="466"/>
      <c r="AF164" s="466"/>
      <c r="AG164" s="478"/>
      <c r="AH164" s="475"/>
      <c r="AI164" s="475"/>
      <c r="AJ164" s="475"/>
      <c r="AK164" s="475"/>
      <c r="AL164" s="475"/>
      <c r="AM164" s="475"/>
      <c r="AN164" s="475"/>
      <c r="AO164" s="475"/>
      <c r="AP164" s="475"/>
      <c r="AQ164" s="475"/>
      <c r="AR164" s="475"/>
      <c r="AS164" s="475"/>
      <c r="AT164" s="475"/>
      <c r="AU164" s="475"/>
      <c r="AV164" s="475"/>
      <c r="AW164" s="475"/>
      <c r="AX164" s="475"/>
      <c r="AY164" s="475"/>
      <c r="AZ164" s="475"/>
      <c r="BA164" s="475"/>
      <c r="BB164" s="475"/>
      <c r="BC164" s="475"/>
      <c r="BD164" s="475"/>
      <c r="BE164" s="475"/>
      <c r="BF164" s="475"/>
      <c r="BG164" s="475"/>
      <c r="BH164" s="475"/>
      <c r="BI164" s="475"/>
      <c r="BJ164" s="475"/>
      <c r="BK164" s="475"/>
      <c r="BL164" s="475"/>
      <c r="BM164" s="475"/>
      <c r="BN164" s="475"/>
      <c r="BO164" s="475"/>
      <c r="BP164" s="475"/>
      <c r="BQ164" s="475"/>
      <c r="BR164" s="475"/>
      <c r="BS164" s="475"/>
      <c r="BT164" s="475"/>
      <c r="BU164" s="475"/>
      <c r="BV164" s="475"/>
      <c r="BW164" s="475"/>
      <c r="BX164" s="475"/>
      <c r="BY164" s="475"/>
      <c r="BZ164" s="475"/>
      <c r="CA164" s="475"/>
      <c r="CB164" s="475"/>
      <c r="CC164" s="475"/>
    </row>
    <row r="165" customFormat="false" ht="30" hidden="false" customHeight="true" outlineLevel="0" collapsed="false">
      <c r="A165" s="449" t="s">
        <v>1191</v>
      </c>
      <c r="B165" s="460"/>
      <c r="C165" s="460"/>
      <c r="D165" s="259"/>
      <c r="E165" s="461"/>
      <c r="F165" s="461"/>
      <c r="G165" s="486"/>
      <c r="H165" s="490"/>
      <c r="I165" s="484"/>
      <c r="J165" s="484"/>
      <c r="K165" s="484"/>
      <c r="L165" s="464"/>
      <c r="M165" s="484"/>
      <c r="N165" s="484"/>
      <c r="O165" s="484"/>
      <c r="P165" s="484"/>
      <c r="Q165" s="467"/>
      <c r="R165" s="467"/>
      <c r="S165" s="467"/>
      <c r="T165" s="466"/>
      <c r="U165" s="468"/>
      <c r="V165" s="491"/>
      <c r="W165" s="470"/>
      <c r="X165" s="471"/>
      <c r="Y165" s="470"/>
      <c r="Z165" s="471"/>
      <c r="AA165" s="471"/>
      <c r="AB165" s="466"/>
      <c r="AC165" s="466"/>
      <c r="AD165" s="466"/>
      <c r="AE165" s="466"/>
      <c r="AF165" s="466"/>
      <c r="AG165" s="478"/>
      <c r="AH165" s="475"/>
      <c r="AI165" s="475"/>
      <c r="AJ165" s="475"/>
      <c r="AK165" s="475"/>
      <c r="AL165" s="475"/>
      <c r="AM165" s="475"/>
      <c r="AN165" s="475"/>
      <c r="AO165" s="475"/>
      <c r="AP165" s="475"/>
      <c r="AQ165" s="475"/>
      <c r="AR165" s="475"/>
      <c r="AS165" s="475"/>
      <c r="AT165" s="475"/>
      <c r="AU165" s="475"/>
      <c r="AV165" s="475"/>
      <c r="AW165" s="475"/>
      <c r="AX165" s="475"/>
      <c r="AY165" s="475"/>
      <c r="AZ165" s="475"/>
      <c r="BA165" s="475"/>
      <c r="BB165" s="475"/>
      <c r="BC165" s="475"/>
      <c r="BD165" s="475"/>
      <c r="BE165" s="475"/>
      <c r="BF165" s="475"/>
      <c r="BG165" s="475"/>
      <c r="BH165" s="475"/>
      <c r="BI165" s="475"/>
      <c r="BJ165" s="475"/>
      <c r="BK165" s="475"/>
      <c r="BL165" s="475"/>
      <c r="BM165" s="475"/>
      <c r="BN165" s="475"/>
      <c r="BO165" s="475"/>
      <c r="BP165" s="475"/>
      <c r="BQ165" s="475"/>
      <c r="BR165" s="475"/>
      <c r="BS165" s="475"/>
      <c r="BT165" s="475"/>
      <c r="BU165" s="475"/>
      <c r="BV165" s="475"/>
      <c r="BW165" s="475"/>
      <c r="BX165" s="475"/>
      <c r="BY165" s="475"/>
      <c r="BZ165" s="475"/>
      <c r="CA165" s="475"/>
      <c r="CB165" s="475"/>
      <c r="CC165" s="475"/>
    </row>
    <row r="166" customFormat="false" ht="30" hidden="false" customHeight="true" outlineLevel="0" collapsed="false">
      <c r="A166" s="449" t="s">
        <v>1192</v>
      </c>
      <c r="B166" s="460"/>
      <c r="C166" s="460"/>
      <c r="D166" s="259"/>
      <c r="E166" s="461"/>
      <c r="F166" s="461"/>
      <c r="G166" s="486"/>
      <c r="H166" s="490"/>
      <c r="I166" s="484"/>
      <c r="J166" s="484"/>
      <c r="K166" s="484"/>
      <c r="L166" s="464"/>
      <c r="M166" s="484"/>
      <c r="N166" s="484"/>
      <c r="O166" s="484"/>
      <c r="P166" s="484"/>
      <c r="Q166" s="467"/>
      <c r="R166" s="467"/>
      <c r="S166" s="467"/>
      <c r="T166" s="466"/>
      <c r="U166" s="468"/>
      <c r="V166" s="491"/>
      <c r="W166" s="470"/>
      <c r="X166" s="471"/>
      <c r="Y166" s="470"/>
      <c r="Z166" s="471"/>
      <c r="AA166" s="471"/>
      <c r="AB166" s="466"/>
      <c r="AC166" s="466"/>
      <c r="AD166" s="466"/>
      <c r="AE166" s="466"/>
      <c r="AF166" s="466"/>
      <c r="AG166" s="478"/>
      <c r="AH166" s="475"/>
      <c r="AI166" s="475"/>
      <c r="AJ166" s="475"/>
      <c r="AK166" s="475"/>
      <c r="AL166" s="475"/>
      <c r="AM166" s="475"/>
      <c r="AN166" s="475"/>
      <c r="AO166" s="475"/>
      <c r="AP166" s="475"/>
      <c r="AQ166" s="475"/>
      <c r="AR166" s="475"/>
      <c r="AS166" s="475"/>
      <c r="AT166" s="475"/>
      <c r="AU166" s="475"/>
      <c r="AV166" s="475"/>
      <c r="AW166" s="475"/>
      <c r="AX166" s="475"/>
      <c r="AY166" s="475"/>
      <c r="AZ166" s="475"/>
      <c r="BA166" s="475"/>
      <c r="BB166" s="475"/>
      <c r="BC166" s="475"/>
      <c r="BD166" s="475"/>
      <c r="BE166" s="475"/>
      <c r="BF166" s="475"/>
      <c r="BG166" s="475"/>
      <c r="BH166" s="475"/>
      <c r="BI166" s="475"/>
      <c r="BJ166" s="475"/>
      <c r="BK166" s="475"/>
      <c r="BL166" s="475"/>
      <c r="BM166" s="475"/>
      <c r="BN166" s="475"/>
      <c r="BO166" s="475"/>
      <c r="BP166" s="475"/>
      <c r="BQ166" s="475"/>
      <c r="BR166" s="475"/>
      <c r="BS166" s="475"/>
      <c r="BT166" s="475"/>
      <c r="BU166" s="475"/>
      <c r="BV166" s="475"/>
      <c r="BW166" s="475"/>
      <c r="BX166" s="475"/>
      <c r="BY166" s="475"/>
      <c r="BZ166" s="475"/>
      <c r="CA166" s="475"/>
      <c r="CB166" s="475"/>
      <c r="CC166" s="475"/>
    </row>
    <row r="167" customFormat="false" ht="30" hidden="false" customHeight="true" outlineLevel="0" collapsed="false">
      <c r="A167" s="449" t="s">
        <v>1193</v>
      </c>
      <c r="B167" s="460"/>
      <c r="C167" s="460"/>
      <c r="D167" s="259"/>
      <c r="E167" s="461"/>
      <c r="F167" s="461"/>
      <c r="G167" s="486"/>
      <c r="H167" s="490"/>
      <c r="I167" s="484"/>
      <c r="J167" s="484"/>
      <c r="K167" s="484"/>
      <c r="L167" s="464"/>
      <c r="M167" s="484"/>
      <c r="N167" s="484"/>
      <c r="O167" s="484"/>
      <c r="P167" s="484"/>
      <c r="Q167" s="467"/>
      <c r="R167" s="467"/>
      <c r="S167" s="467"/>
      <c r="T167" s="466"/>
      <c r="U167" s="468"/>
      <c r="V167" s="491"/>
      <c r="W167" s="470"/>
      <c r="X167" s="471"/>
      <c r="Y167" s="470"/>
      <c r="Z167" s="471"/>
      <c r="AA167" s="471"/>
      <c r="AB167" s="466"/>
      <c r="AC167" s="466"/>
      <c r="AD167" s="466"/>
      <c r="AE167" s="466"/>
      <c r="AF167" s="466"/>
      <c r="AG167" s="478"/>
      <c r="AH167" s="475"/>
      <c r="AI167" s="475"/>
      <c r="AJ167" s="475"/>
      <c r="AK167" s="475"/>
      <c r="AL167" s="475"/>
      <c r="AM167" s="475"/>
      <c r="AN167" s="475"/>
      <c r="AO167" s="475"/>
      <c r="AP167" s="475"/>
      <c r="AQ167" s="475"/>
      <c r="AR167" s="475"/>
      <c r="AS167" s="475"/>
      <c r="AT167" s="475"/>
      <c r="AU167" s="475"/>
      <c r="AV167" s="475"/>
      <c r="AW167" s="475"/>
      <c r="AX167" s="475"/>
      <c r="AY167" s="475"/>
      <c r="AZ167" s="475"/>
      <c r="BA167" s="475"/>
      <c r="BB167" s="475"/>
      <c r="BC167" s="475"/>
      <c r="BD167" s="475"/>
      <c r="BE167" s="475"/>
      <c r="BF167" s="475"/>
      <c r="BG167" s="475"/>
      <c r="BH167" s="475"/>
      <c r="BI167" s="475"/>
      <c r="BJ167" s="475"/>
      <c r="BK167" s="475"/>
      <c r="BL167" s="475"/>
      <c r="BM167" s="475"/>
      <c r="BN167" s="475"/>
      <c r="BO167" s="475"/>
      <c r="BP167" s="475"/>
      <c r="BQ167" s="475"/>
      <c r="BR167" s="475"/>
      <c r="BS167" s="475"/>
      <c r="BT167" s="475"/>
      <c r="BU167" s="475"/>
      <c r="BV167" s="475"/>
      <c r="BW167" s="475"/>
      <c r="BX167" s="475"/>
      <c r="BY167" s="475"/>
      <c r="BZ167" s="475"/>
      <c r="CA167" s="475"/>
      <c r="CB167" s="475"/>
      <c r="CC167" s="475"/>
    </row>
    <row r="168" customFormat="false" ht="30" hidden="false" customHeight="true" outlineLevel="0" collapsed="false">
      <c r="A168" s="449" t="s">
        <v>1194</v>
      </c>
      <c r="B168" s="460"/>
      <c r="C168" s="460"/>
      <c r="D168" s="259"/>
      <c r="E168" s="461"/>
      <c r="F168" s="461"/>
      <c r="G168" s="486"/>
      <c r="H168" s="490"/>
      <c r="I168" s="484"/>
      <c r="J168" s="484"/>
      <c r="K168" s="484"/>
      <c r="L168" s="464"/>
      <c r="M168" s="484"/>
      <c r="N168" s="484"/>
      <c r="O168" s="484"/>
      <c r="P168" s="484"/>
      <c r="Q168" s="467"/>
      <c r="R168" s="467"/>
      <c r="S168" s="467"/>
      <c r="T168" s="466"/>
      <c r="U168" s="468"/>
      <c r="V168" s="491"/>
      <c r="W168" s="470"/>
      <c r="X168" s="471"/>
      <c r="Y168" s="470"/>
      <c r="Z168" s="471"/>
      <c r="AA168" s="471"/>
      <c r="AB168" s="466"/>
      <c r="AC168" s="466"/>
      <c r="AD168" s="466"/>
      <c r="AE168" s="466"/>
      <c r="AF168" s="466"/>
      <c r="AG168" s="478"/>
      <c r="AH168" s="475"/>
      <c r="AI168" s="475"/>
      <c r="AJ168" s="475"/>
      <c r="AK168" s="475"/>
      <c r="AL168" s="475"/>
      <c r="AM168" s="475"/>
      <c r="AN168" s="475"/>
      <c r="AO168" s="475"/>
      <c r="AP168" s="475"/>
      <c r="AQ168" s="475"/>
      <c r="AR168" s="475"/>
      <c r="AS168" s="475"/>
      <c r="AT168" s="475"/>
      <c r="AU168" s="475"/>
      <c r="AV168" s="475"/>
      <c r="AW168" s="475"/>
      <c r="AX168" s="475"/>
      <c r="AY168" s="475"/>
      <c r="AZ168" s="475"/>
      <c r="BA168" s="475"/>
      <c r="BB168" s="475"/>
      <c r="BC168" s="475"/>
      <c r="BD168" s="475"/>
      <c r="BE168" s="475"/>
      <c r="BF168" s="475"/>
      <c r="BG168" s="475"/>
      <c r="BH168" s="475"/>
      <c r="BI168" s="475"/>
      <c r="BJ168" s="475"/>
      <c r="BK168" s="475"/>
      <c r="BL168" s="475"/>
      <c r="BM168" s="475"/>
      <c r="BN168" s="475"/>
      <c r="BO168" s="475"/>
      <c r="BP168" s="475"/>
      <c r="BQ168" s="475"/>
      <c r="BR168" s="475"/>
      <c r="BS168" s="475"/>
      <c r="BT168" s="475"/>
      <c r="BU168" s="475"/>
      <c r="BV168" s="475"/>
      <c r="BW168" s="475"/>
      <c r="BX168" s="475"/>
      <c r="BY168" s="475"/>
      <c r="BZ168" s="475"/>
      <c r="CA168" s="475"/>
      <c r="CB168" s="475"/>
      <c r="CC168" s="475"/>
    </row>
    <row r="169" customFormat="false" ht="30" hidden="false" customHeight="true" outlineLevel="0" collapsed="false">
      <c r="A169" s="449" t="s">
        <v>1195</v>
      </c>
      <c r="B169" s="460"/>
      <c r="C169" s="460"/>
      <c r="D169" s="259"/>
      <c r="E169" s="461"/>
      <c r="F169" s="461"/>
      <c r="G169" s="486"/>
      <c r="H169" s="490"/>
      <c r="I169" s="484"/>
      <c r="J169" s="484"/>
      <c r="K169" s="484"/>
      <c r="L169" s="464"/>
      <c r="M169" s="484"/>
      <c r="N169" s="484"/>
      <c r="O169" s="484"/>
      <c r="P169" s="484"/>
      <c r="Q169" s="467"/>
      <c r="R169" s="467"/>
      <c r="S169" s="467"/>
      <c r="T169" s="466"/>
      <c r="U169" s="468"/>
      <c r="V169" s="491"/>
      <c r="W169" s="470"/>
      <c r="X169" s="471"/>
      <c r="Y169" s="470"/>
      <c r="Z169" s="471"/>
      <c r="AA169" s="471"/>
      <c r="AB169" s="466"/>
      <c r="AC169" s="466"/>
      <c r="AD169" s="466"/>
      <c r="AE169" s="466"/>
      <c r="AF169" s="466"/>
      <c r="AG169" s="478"/>
      <c r="AH169" s="475"/>
      <c r="AI169" s="475"/>
      <c r="AJ169" s="475"/>
      <c r="AK169" s="475"/>
      <c r="AL169" s="475"/>
      <c r="AM169" s="475"/>
      <c r="AN169" s="475"/>
      <c r="AO169" s="475"/>
      <c r="AP169" s="475"/>
      <c r="AQ169" s="475"/>
      <c r="AR169" s="475"/>
      <c r="AS169" s="475"/>
      <c r="AT169" s="475"/>
      <c r="AU169" s="475"/>
      <c r="AV169" s="475"/>
      <c r="AW169" s="475"/>
      <c r="AX169" s="475"/>
      <c r="AY169" s="475"/>
      <c r="AZ169" s="475"/>
      <c r="BA169" s="475"/>
      <c r="BB169" s="475"/>
      <c r="BC169" s="475"/>
      <c r="BD169" s="475"/>
      <c r="BE169" s="475"/>
      <c r="BF169" s="475"/>
      <c r="BG169" s="475"/>
      <c r="BH169" s="475"/>
      <c r="BI169" s="475"/>
      <c r="BJ169" s="475"/>
      <c r="BK169" s="475"/>
      <c r="BL169" s="475"/>
      <c r="BM169" s="475"/>
      <c r="BN169" s="475"/>
      <c r="BO169" s="475"/>
      <c r="BP169" s="475"/>
      <c r="BQ169" s="475"/>
      <c r="BR169" s="475"/>
      <c r="BS169" s="475"/>
      <c r="BT169" s="475"/>
      <c r="BU169" s="475"/>
      <c r="BV169" s="475"/>
      <c r="BW169" s="475"/>
      <c r="BX169" s="475"/>
      <c r="BY169" s="475"/>
      <c r="BZ169" s="475"/>
      <c r="CA169" s="475"/>
      <c r="CB169" s="475"/>
      <c r="CC169" s="475"/>
    </row>
    <row r="170" customFormat="false" ht="30" hidden="false" customHeight="true" outlineLevel="0" collapsed="false">
      <c r="A170" s="449" t="s">
        <v>1196</v>
      </c>
      <c r="B170" s="460"/>
      <c r="C170" s="460"/>
      <c r="D170" s="259"/>
      <c r="E170" s="461"/>
      <c r="F170" s="461"/>
      <c r="G170" s="486"/>
      <c r="H170" s="490"/>
      <c r="I170" s="484"/>
      <c r="J170" s="484"/>
      <c r="K170" s="484"/>
      <c r="L170" s="464"/>
      <c r="M170" s="484"/>
      <c r="N170" s="484"/>
      <c r="O170" s="484"/>
      <c r="P170" s="484"/>
      <c r="Q170" s="467"/>
      <c r="R170" s="467"/>
      <c r="S170" s="467"/>
      <c r="T170" s="466"/>
      <c r="U170" s="468"/>
      <c r="V170" s="491"/>
      <c r="W170" s="470"/>
      <c r="X170" s="471"/>
      <c r="Y170" s="470"/>
      <c r="Z170" s="471"/>
      <c r="AA170" s="471"/>
      <c r="AB170" s="466"/>
      <c r="AC170" s="466"/>
      <c r="AD170" s="466"/>
      <c r="AE170" s="466"/>
      <c r="AF170" s="466"/>
      <c r="AG170" s="478"/>
      <c r="AH170" s="475"/>
      <c r="AI170" s="475"/>
      <c r="AJ170" s="475"/>
      <c r="AK170" s="475"/>
      <c r="AL170" s="475"/>
      <c r="AM170" s="475"/>
      <c r="AN170" s="475"/>
      <c r="AO170" s="475"/>
      <c r="AP170" s="475"/>
      <c r="AQ170" s="475"/>
      <c r="AR170" s="475"/>
      <c r="AS170" s="475"/>
      <c r="AT170" s="475"/>
      <c r="AU170" s="475"/>
      <c r="AV170" s="475"/>
      <c r="AW170" s="475"/>
      <c r="AX170" s="475"/>
      <c r="AY170" s="475"/>
      <c r="AZ170" s="475"/>
      <c r="BA170" s="475"/>
      <c r="BB170" s="475"/>
      <c r="BC170" s="475"/>
      <c r="BD170" s="475"/>
      <c r="BE170" s="475"/>
      <c r="BF170" s="475"/>
      <c r="BG170" s="475"/>
      <c r="BH170" s="475"/>
      <c r="BI170" s="475"/>
      <c r="BJ170" s="475"/>
      <c r="BK170" s="475"/>
      <c r="BL170" s="475"/>
      <c r="BM170" s="475"/>
      <c r="BN170" s="475"/>
      <c r="BO170" s="475"/>
      <c r="BP170" s="475"/>
      <c r="BQ170" s="475"/>
      <c r="BR170" s="475"/>
      <c r="BS170" s="475"/>
      <c r="BT170" s="475"/>
      <c r="BU170" s="475"/>
      <c r="BV170" s="475"/>
      <c r="BW170" s="475"/>
      <c r="BX170" s="475"/>
      <c r="BY170" s="475"/>
      <c r="BZ170" s="475"/>
      <c r="CA170" s="475"/>
      <c r="CB170" s="475"/>
      <c r="CC170" s="475"/>
    </row>
    <row r="171" customFormat="false" ht="30" hidden="false" customHeight="true" outlineLevel="0" collapsed="false">
      <c r="A171" s="449" t="s">
        <v>1197</v>
      </c>
      <c r="B171" s="460"/>
      <c r="C171" s="460"/>
      <c r="D171" s="259"/>
      <c r="E171" s="461"/>
      <c r="F171" s="461"/>
      <c r="G171" s="486"/>
      <c r="H171" s="490"/>
      <c r="I171" s="484"/>
      <c r="J171" s="484"/>
      <c r="K171" s="484"/>
      <c r="L171" s="464"/>
      <c r="M171" s="484"/>
      <c r="N171" s="484"/>
      <c r="O171" s="484"/>
      <c r="P171" s="484"/>
      <c r="Q171" s="467"/>
      <c r="R171" s="467"/>
      <c r="S171" s="467"/>
      <c r="T171" s="466"/>
      <c r="U171" s="468"/>
      <c r="V171" s="491"/>
      <c r="W171" s="470"/>
      <c r="X171" s="471"/>
      <c r="Y171" s="470"/>
      <c r="Z171" s="471"/>
      <c r="AA171" s="471"/>
      <c r="AB171" s="466"/>
      <c r="AC171" s="466"/>
      <c r="AD171" s="466"/>
      <c r="AE171" s="466"/>
      <c r="AF171" s="466"/>
      <c r="AG171" s="478"/>
      <c r="AH171" s="475"/>
      <c r="AI171" s="475"/>
      <c r="AJ171" s="475"/>
      <c r="AK171" s="475"/>
      <c r="AL171" s="475"/>
      <c r="AM171" s="475"/>
      <c r="AN171" s="475"/>
      <c r="AO171" s="475"/>
      <c r="AP171" s="475"/>
      <c r="AQ171" s="475"/>
      <c r="AR171" s="475"/>
      <c r="AS171" s="475"/>
      <c r="AT171" s="475"/>
      <c r="AU171" s="475"/>
      <c r="AV171" s="475"/>
      <c r="AW171" s="475"/>
      <c r="AX171" s="475"/>
      <c r="AY171" s="475"/>
      <c r="AZ171" s="475"/>
      <c r="BA171" s="475"/>
      <c r="BB171" s="475"/>
      <c r="BC171" s="475"/>
      <c r="BD171" s="475"/>
      <c r="BE171" s="475"/>
      <c r="BF171" s="475"/>
      <c r="BG171" s="475"/>
      <c r="BH171" s="475"/>
      <c r="BI171" s="475"/>
      <c r="BJ171" s="475"/>
      <c r="BK171" s="475"/>
      <c r="BL171" s="475"/>
      <c r="BM171" s="475"/>
      <c r="BN171" s="475"/>
      <c r="BO171" s="475"/>
      <c r="BP171" s="475"/>
      <c r="BQ171" s="475"/>
      <c r="BR171" s="475"/>
      <c r="BS171" s="475"/>
      <c r="BT171" s="475"/>
      <c r="BU171" s="475"/>
      <c r="BV171" s="475"/>
      <c r="BW171" s="475"/>
      <c r="BX171" s="475"/>
      <c r="BY171" s="475"/>
      <c r="BZ171" s="475"/>
      <c r="CA171" s="475"/>
      <c r="CB171" s="475"/>
      <c r="CC171" s="475"/>
    </row>
    <row r="172" customFormat="false" ht="30" hidden="false" customHeight="true" outlineLevel="0" collapsed="false">
      <c r="A172" s="449" t="s">
        <v>1198</v>
      </c>
      <c r="B172" s="460"/>
      <c r="C172" s="460"/>
      <c r="D172" s="259"/>
      <c r="E172" s="461"/>
      <c r="F172" s="461"/>
      <c r="G172" s="486"/>
      <c r="H172" s="490"/>
      <c r="I172" s="484"/>
      <c r="J172" s="484"/>
      <c r="K172" s="484"/>
      <c r="L172" s="464"/>
      <c r="M172" s="484"/>
      <c r="N172" s="484"/>
      <c r="O172" s="484"/>
      <c r="P172" s="484"/>
      <c r="Q172" s="467"/>
      <c r="R172" s="467"/>
      <c r="S172" s="467"/>
      <c r="T172" s="466"/>
      <c r="U172" s="468"/>
      <c r="V172" s="491"/>
      <c r="W172" s="470"/>
      <c r="X172" s="471"/>
      <c r="Y172" s="470"/>
      <c r="Z172" s="471"/>
      <c r="AA172" s="471"/>
      <c r="AB172" s="466"/>
      <c r="AC172" s="466"/>
      <c r="AD172" s="466"/>
      <c r="AE172" s="466"/>
      <c r="AF172" s="466"/>
      <c r="AG172" s="478"/>
      <c r="AH172" s="475"/>
      <c r="AI172" s="475"/>
      <c r="AJ172" s="475"/>
      <c r="AK172" s="475"/>
      <c r="AL172" s="475"/>
      <c r="AM172" s="475"/>
      <c r="AN172" s="475"/>
      <c r="AO172" s="475"/>
      <c r="AP172" s="475"/>
      <c r="AQ172" s="475"/>
      <c r="AR172" s="475"/>
      <c r="AS172" s="475"/>
      <c r="AT172" s="475"/>
      <c r="AU172" s="475"/>
      <c r="AV172" s="475"/>
      <c r="AW172" s="475"/>
      <c r="AX172" s="475"/>
      <c r="AY172" s="475"/>
      <c r="AZ172" s="475"/>
      <c r="BA172" s="475"/>
      <c r="BB172" s="475"/>
      <c r="BC172" s="475"/>
      <c r="BD172" s="475"/>
      <c r="BE172" s="475"/>
      <c r="BF172" s="475"/>
      <c r="BG172" s="475"/>
      <c r="BH172" s="475"/>
      <c r="BI172" s="475"/>
      <c r="BJ172" s="475"/>
      <c r="BK172" s="475"/>
      <c r="BL172" s="475"/>
      <c r="BM172" s="475"/>
      <c r="BN172" s="475"/>
      <c r="BO172" s="475"/>
      <c r="BP172" s="475"/>
      <c r="BQ172" s="475"/>
      <c r="BR172" s="475"/>
      <c r="BS172" s="475"/>
      <c r="BT172" s="475"/>
      <c r="BU172" s="475"/>
      <c r="BV172" s="475"/>
      <c r="BW172" s="475"/>
      <c r="BX172" s="475"/>
      <c r="BY172" s="475"/>
      <c r="BZ172" s="475"/>
      <c r="CA172" s="475"/>
      <c r="CB172" s="475"/>
      <c r="CC172" s="475"/>
    </row>
    <row r="173" customFormat="false" ht="30" hidden="false" customHeight="true" outlineLevel="0" collapsed="false">
      <c r="A173" s="449" t="s">
        <v>1199</v>
      </c>
      <c r="B173" s="460"/>
      <c r="C173" s="460"/>
      <c r="D173" s="259"/>
      <c r="E173" s="461"/>
      <c r="F173" s="461"/>
      <c r="G173" s="486"/>
      <c r="H173" s="490"/>
      <c r="I173" s="484"/>
      <c r="J173" s="484"/>
      <c r="K173" s="484"/>
      <c r="L173" s="464"/>
      <c r="M173" s="484"/>
      <c r="N173" s="484"/>
      <c r="O173" s="484"/>
      <c r="P173" s="484"/>
      <c r="Q173" s="467"/>
      <c r="R173" s="467"/>
      <c r="S173" s="467"/>
      <c r="T173" s="466"/>
      <c r="U173" s="468"/>
      <c r="V173" s="491"/>
      <c r="W173" s="470"/>
      <c r="X173" s="471"/>
      <c r="Y173" s="470"/>
      <c r="Z173" s="471"/>
      <c r="AA173" s="471"/>
      <c r="AB173" s="466"/>
      <c r="AC173" s="466"/>
      <c r="AD173" s="466"/>
      <c r="AE173" s="466"/>
      <c r="AF173" s="466"/>
      <c r="AG173" s="478"/>
      <c r="AH173" s="475"/>
      <c r="AI173" s="475"/>
      <c r="AJ173" s="475"/>
      <c r="AK173" s="475"/>
      <c r="AL173" s="475"/>
      <c r="AM173" s="475"/>
      <c r="AN173" s="475"/>
      <c r="AO173" s="475"/>
      <c r="AP173" s="475"/>
      <c r="AQ173" s="475"/>
      <c r="AR173" s="475"/>
      <c r="AS173" s="475"/>
      <c r="AT173" s="475"/>
      <c r="AU173" s="475"/>
      <c r="AV173" s="475"/>
      <c r="AW173" s="475"/>
      <c r="AX173" s="475"/>
      <c r="AY173" s="475"/>
      <c r="AZ173" s="475"/>
      <c r="BA173" s="475"/>
      <c r="BB173" s="475"/>
      <c r="BC173" s="475"/>
      <c r="BD173" s="475"/>
      <c r="BE173" s="475"/>
      <c r="BF173" s="475"/>
      <c r="BG173" s="475"/>
      <c r="BH173" s="475"/>
      <c r="BI173" s="475"/>
      <c r="BJ173" s="475"/>
      <c r="BK173" s="475"/>
      <c r="BL173" s="475"/>
      <c r="BM173" s="475"/>
      <c r="BN173" s="475"/>
      <c r="BO173" s="475"/>
      <c r="BP173" s="475"/>
      <c r="BQ173" s="475"/>
      <c r="BR173" s="475"/>
      <c r="BS173" s="475"/>
      <c r="BT173" s="475"/>
      <c r="BU173" s="475"/>
      <c r="BV173" s="475"/>
      <c r="BW173" s="475"/>
      <c r="BX173" s="475"/>
      <c r="BY173" s="475"/>
      <c r="BZ173" s="475"/>
      <c r="CA173" s="475"/>
      <c r="CB173" s="475"/>
      <c r="CC173" s="475"/>
    </row>
    <row r="174" customFormat="false" ht="30" hidden="false" customHeight="true" outlineLevel="0" collapsed="false">
      <c r="A174" s="449" t="s">
        <v>1200</v>
      </c>
      <c r="B174" s="460"/>
      <c r="C174" s="460"/>
      <c r="D174" s="259"/>
      <c r="E174" s="461"/>
      <c r="F174" s="461"/>
      <c r="G174" s="486"/>
      <c r="H174" s="490"/>
      <c r="I174" s="484"/>
      <c r="J174" s="484"/>
      <c r="K174" s="484"/>
      <c r="L174" s="464"/>
      <c r="M174" s="484"/>
      <c r="N174" s="466"/>
      <c r="O174" s="466"/>
      <c r="P174" s="466"/>
      <c r="Q174" s="467"/>
      <c r="R174" s="467"/>
      <c r="S174" s="467"/>
      <c r="T174" s="466"/>
      <c r="U174" s="468"/>
      <c r="V174" s="469"/>
      <c r="W174" s="471"/>
      <c r="X174" s="471"/>
      <c r="Y174" s="471"/>
      <c r="Z174" s="471"/>
      <c r="AA174" s="471"/>
      <c r="AB174" s="466"/>
      <c r="AC174" s="466"/>
      <c r="AD174" s="466"/>
      <c r="AE174" s="466"/>
      <c r="AF174" s="466"/>
      <c r="AG174" s="478"/>
      <c r="AH174" s="475"/>
      <c r="AI174" s="475"/>
      <c r="AJ174" s="475"/>
      <c r="AK174" s="475"/>
      <c r="AL174" s="475"/>
      <c r="AM174" s="475"/>
      <c r="AN174" s="475"/>
      <c r="AO174" s="475"/>
      <c r="AP174" s="475"/>
      <c r="AQ174" s="475"/>
      <c r="AR174" s="475"/>
      <c r="AS174" s="475"/>
      <c r="AT174" s="475"/>
      <c r="AU174" s="475"/>
      <c r="AV174" s="475"/>
      <c r="AW174" s="475"/>
      <c r="AX174" s="475"/>
      <c r="AY174" s="475"/>
      <c r="AZ174" s="475"/>
      <c r="BA174" s="475"/>
      <c r="BB174" s="475"/>
      <c r="BC174" s="475"/>
      <c r="BD174" s="475"/>
      <c r="BE174" s="475"/>
      <c r="BF174" s="475"/>
      <c r="BG174" s="475"/>
      <c r="BH174" s="475"/>
      <c r="BI174" s="475"/>
      <c r="BJ174" s="475"/>
      <c r="BK174" s="475"/>
      <c r="BL174" s="475"/>
      <c r="BM174" s="475"/>
      <c r="BN174" s="475"/>
      <c r="BO174" s="475"/>
      <c r="BP174" s="475"/>
      <c r="BQ174" s="475"/>
      <c r="BR174" s="475"/>
      <c r="BS174" s="475"/>
      <c r="BT174" s="475"/>
      <c r="BU174" s="475"/>
      <c r="BV174" s="475"/>
      <c r="BW174" s="475"/>
      <c r="BX174" s="475"/>
      <c r="BY174" s="475"/>
      <c r="BZ174" s="475"/>
      <c r="CA174" s="475"/>
      <c r="CB174" s="475"/>
      <c r="CC174" s="475"/>
    </row>
    <row r="175" customFormat="false" ht="30" hidden="false" customHeight="true" outlineLevel="0" collapsed="false">
      <c r="A175" s="449" t="s">
        <v>1201</v>
      </c>
      <c r="B175" s="460"/>
      <c r="C175" s="460"/>
      <c r="D175" s="259"/>
      <c r="E175" s="461"/>
      <c r="F175" s="461"/>
      <c r="G175" s="489"/>
      <c r="H175" s="490"/>
      <c r="I175" s="484"/>
      <c r="J175" s="484"/>
      <c r="K175" s="484"/>
      <c r="L175" s="464"/>
      <c r="M175" s="484"/>
      <c r="N175" s="484"/>
      <c r="O175" s="484"/>
      <c r="P175" s="484"/>
      <c r="Q175" s="467"/>
      <c r="R175" s="467"/>
      <c r="S175" s="467"/>
      <c r="T175" s="466"/>
      <c r="U175" s="468"/>
      <c r="V175" s="469"/>
      <c r="W175" s="470"/>
      <c r="X175" s="471"/>
      <c r="Y175" s="470"/>
      <c r="Z175" s="471"/>
      <c r="AA175" s="471"/>
      <c r="AB175" s="466"/>
      <c r="AC175" s="466"/>
      <c r="AD175" s="466"/>
      <c r="AE175" s="466"/>
      <c r="AF175" s="466"/>
      <c r="AG175" s="478"/>
      <c r="AH175" s="475"/>
      <c r="AI175" s="475"/>
      <c r="AJ175" s="475"/>
      <c r="AK175" s="475"/>
      <c r="AL175" s="475"/>
      <c r="AM175" s="475"/>
      <c r="AN175" s="475"/>
      <c r="AO175" s="475"/>
      <c r="AP175" s="475"/>
      <c r="AQ175" s="475"/>
      <c r="AR175" s="475"/>
      <c r="AS175" s="475"/>
      <c r="AT175" s="475"/>
      <c r="AU175" s="475"/>
      <c r="AV175" s="475"/>
      <c r="AW175" s="475"/>
      <c r="AX175" s="475"/>
      <c r="AY175" s="475"/>
      <c r="AZ175" s="475"/>
      <c r="BA175" s="475"/>
      <c r="BB175" s="475"/>
      <c r="BC175" s="475"/>
      <c r="BD175" s="475"/>
      <c r="BE175" s="475"/>
      <c r="BF175" s="475"/>
      <c r="BG175" s="475"/>
      <c r="BH175" s="475"/>
      <c r="BI175" s="475"/>
      <c r="BJ175" s="475"/>
      <c r="BK175" s="475"/>
      <c r="BL175" s="475"/>
      <c r="BM175" s="475"/>
      <c r="BN175" s="475"/>
      <c r="BO175" s="475"/>
      <c r="BP175" s="475"/>
      <c r="BQ175" s="475"/>
      <c r="BR175" s="475"/>
      <c r="BS175" s="475"/>
      <c r="BT175" s="475"/>
      <c r="BU175" s="475"/>
      <c r="BV175" s="475"/>
      <c r="BW175" s="475"/>
      <c r="BX175" s="475"/>
      <c r="BY175" s="475"/>
      <c r="BZ175" s="475"/>
      <c r="CA175" s="475"/>
      <c r="CB175" s="475"/>
      <c r="CC175" s="475"/>
    </row>
    <row r="176" customFormat="false" ht="30" hidden="false" customHeight="true" outlineLevel="0" collapsed="false">
      <c r="A176" s="449" t="s">
        <v>1202</v>
      </c>
      <c r="B176" s="460"/>
      <c r="C176" s="460"/>
      <c r="D176" s="259"/>
      <c r="E176" s="461"/>
      <c r="F176" s="461"/>
      <c r="G176" s="543"/>
      <c r="H176" s="490"/>
      <c r="I176" s="484"/>
      <c r="J176" s="484"/>
      <c r="K176" s="484"/>
      <c r="L176" s="464"/>
      <c r="M176" s="484"/>
      <c r="N176" s="484"/>
      <c r="O176" s="484"/>
      <c r="P176" s="484"/>
      <c r="Q176" s="467"/>
      <c r="R176" s="467"/>
      <c r="S176" s="467"/>
      <c r="T176" s="466"/>
      <c r="U176" s="468"/>
      <c r="V176" s="469"/>
      <c r="W176" s="470"/>
      <c r="X176" s="471"/>
      <c r="Y176" s="470"/>
      <c r="Z176" s="471"/>
      <c r="AA176" s="471"/>
      <c r="AB176" s="466"/>
      <c r="AC176" s="466"/>
      <c r="AD176" s="466"/>
      <c r="AE176" s="466"/>
      <c r="AF176" s="466"/>
      <c r="AG176" s="478"/>
      <c r="AH176" s="475"/>
      <c r="AI176" s="475"/>
      <c r="AJ176" s="475"/>
      <c r="AK176" s="475"/>
      <c r="AL176" s="475"/>
      <c r="AM176" s="475"/>
      <c r="AN176" s="475"/>
      <c r="AO176" s="475"/>
      <c r="AP176" s="475"/>
      <c r="AQ176" s="475"/>
      <c r="AR176" s="475"/>
      <c r="AS176" s="475"/>
      <c r="AT176" s="475"/>
      <c r="AU176" s="475"/>
      <c r="AV176" s="475"/>
      <c r="AW176" s="475"/>
      <c r="AX176" s="475"/>
      <c r="AY176" s="475"/>
      <c r="AZ176" s="475"/>
      <c r="BA176" s="475"/>
      <c r="BB176" s="475"/>
      <c r="BC176" s="475"/>
      <c r="BD176" s="475"/>
      <c r="BE176" s="475"/>
      <c r="BF176" s="475"/>
      <c r="BG176" s="475"/>
      <c r="BH176" s="475"/>
      <c r="BI176" s="475"/>
      <c r="BJ176" s="475"/>
      <c r="BK176" s="475"/>
      <c r="BL176" s="475"/>
      <c r="BM176" s="475"/>
      <c r="BN176" s="475"/>
      <c r="BO176" s="475"/>
      <c r="BP176" s="475"/>
      <c r="BQ176" s="475"/>
      <c r="BR176" s="475"/>
      <c r="BS176" s="475"/>
      <c r="BT176" s="475"/>
      <c r="BU176" s="475"/>
      <c r="BV176" s="475"/>
      <c r="BW176" s="475"/>
      <c r="BX176" s="475"/>
      <c r="BY176" s="475"/>
      <c r="BZ176" s="475"/>
      <c r="CA176" s="475"/>
      <c r="CB176" s="475"/>
      <c r="CC176" s="475"/>
    </row>
    <row r="177" customFormat="false" ht="30" hidden="false" customHeight="true" outlineLevel="0" collapsed="false">
      <c r="A177" s="449" t="s">
        <v>1203</v>
      </c>
      <c r="B177" s="460"/>
      <c r="C177" s="460"/>
      <c r="D177" s="538"/>
      <c r="E177" s="461"/>
      <c r="F177" s="461"/>
      <c r="G177" s="543"/>
      <c r="H177" s="490"/>
      <c r="I177" s="484"/>
      <c r="J177" s="484"/>
      <c r="K177" s="484"/>
      <c r="L177" s="464"/>
      <c r="M177" s="484"/>
      <c r="N177" s="484"/>
      <c r="O177" s="484"/>
      <c r="P177" s="484"/>
      <c r="Q177" s="467"/>
      <c r="R177" s="467"/>
      <c r="S177" s="467"/>
      <c r="T177" s="466"/>
      <c r="U177" s="468"/>
      <c r="V177" s="469"/>
      <c r="W177" s="470"/>
      <c r="X177" s="471"/>
      <c r="Y177" s="470"/>
      <c r="Z177" s="471"/>
      <c r="AA177" s="471"/>
      <c r="AB177" s="466"/>
      <c r="AC177" s="466"/>
      <c r="AD177" s="466"/>
      <c r="AE177" s="466"/>
      <c r="AF177" s="466"/>
      <c r="AG177" s="478"/>
      <c r="AH177" s="475"/>
      <c r="AI177" s="475"/>
      <c r="AJ177" s="475"/>
      <c r="AK177" s="475"/>
      <c r="AL177" s="475"/>
      <c r="AM177" s="475"/>
      <c r="AN177" s="475"/>
      <c r="AO177" s="475"/>
      <c r="AP177" s="475"/>
      <c r="AQ177" s="475"/>
      <c r="AR177" s="475"/>
      <c r="AS177" s="475"/>
      <c r="AT177" s="475"/>
      <c r="AU177" s="475"/>
      <c r="AV177" s="475"/>
      <c r="AW177" s="475"/>
      <c r="AX177" s="475"/>
      <c r="AY177" s="475"/>
      <c r="AZ177" s="475"/>
      <c r="BA177" s="475"/>
      <c r="BB177" s="475"/>
      <c r="BC177" s="475"/>
      <c r="BD177" s="475"/>
      <c r="BE177" s="475"/>
      <c r="BF177" s="475"/>
      <c r="BG177" s="475"/>
      <c r="BH177" s="475"/>
      <c r="BI177" s="475"/>
      <c r="BJ177" s="475"/>
      <c r="BK177" s="475"/>
      <c r="BL177" s="475"/>
      <c r="BM177" s="475"/>
      <c r="BN177" s="475"/>
      <c r="BO177" s="475"/>
      <c r="BP177" s="475"/>
      <c r="BQ177" s="475"/>
      <c r="BR177" s="475"/>
      <c r="BS177" s="475"/>
      <c r="BT177" s="475"/>
      <c r="BU177" s="475"/>
      <c r="BV177" s="475"/>
      <c r="BW177" s="475"/>
      <c r="BX177" s="475"/>
      <c r="BY177" s="475"/>
      <c r="BZ177" s="475"/>
      <c r="CA177" s="475"/>
      <c r="CB177" s="475"/>
      <c r="CC177" s="475"/>
      <c r="XCJ177" s="541"/>
      <c r="XCK177" s="541"/>
      <c r="XCL177" s="541"/>
      <c r="XCM177" s="541"/>
      <c r="XCN177" s="541"/>
      <c r="XCO177" s="541"/>
      <c r="XCP177" s="541"/>
      <c r="XCQ177" s="541"/>
      <c r="XCR177" s="541"/>
      <c r="XCS177" s="541"/>
      <c r="XCT177" s="541"/>
      <c r="XCU177" s="541"/>
      <c r="XCV177" s="541"/>
      <c r="XCW177" s="541"/>
      <c r="XCX177" s="541"/>
      <c r="XCY177" s="541"/>
      <c r="XCZ177" s="541"/>
      <c r="XDA177" s="541"/>
      <c r="XDB177" s="541"/>
      <c r="XDC177" s="541"/>
      <c r="XDD177" s="541"/>
      <c r="XDE177" s="541"/>
      <c r="XDF177" s="541"/>
      <c r="XDG177" s="541"/>
      <c r="XDH177" s="541"/>
      <c r="XDI177" s="541"/>
      <c r="XDJ177" s="541"/>
      <c r="XDK177" s="541"/>
      <c r="XDL177" s="541"/>
      <c r="XDM177" s="541"/>
      <c r="XDN177" s="541"/>
      <c r="XDO177" s="541"/>
      <c r="XDP177" s="541"/>
      <c r="XDQ177" s="541"/>
      <c r="XDR177" s="541"/>
      <c r="XDS177" s="541"/>
      <c r="XDT177" s="541"/>
      <c r="XDU177" s="541"/>
      <c r="XDV177" s="541"/>
      <c r="XDW177" s="541"/>
      <c r="XDX177" s="541"/>
      <c r="XDY177" s="541"/>
      <c r="XDZ177" s="541"/>
      <c r="XEA177" s="541"/>
      <c r="XEB177" s="541"/>
      <c r="XEC177" s="541"/>
      <c r="XED177" s="541"/>
      <c r="XEE177" s="541"/>
      <c r="XEF177" s="541"/>
      <c r="XEG177" s="541"/>
      <c r="XEH177" s="541"/>
      <c r="XEI177" s="541"/>
      <c r="XEJ177" s="541"/>
      <c r="XEK177" s="541"/>
      <c r="XEL177" s="541"/>
      <c r="XEM177" s="541"/>
      <c r="XEN177" s="541"/>
      <c r="XEO177" s="541"/>
      <c r="XEP177" s="541"/>
      <c r="XEQ177" s="541"/>
      <c r="XER177" s="541"/>
      <c r="XES177" s="541"/>
      <c r="XET177" s="541"/>
      <c r="XEU177" s="541"/>
      <c r="XEV177" s="541"/>
      <c r="XEW177" s="541"/>
      <c r="XEX177" s="541"/>
      <c r="XEY177" s="541"/>
      <c r="XEZ177" s="541"/>
      <c r="XFA177" s="541"/>
      <c r="XFB177" s="541"/>
      <c r="XFC177" s="541"/>
      <c r="XFD177" s="541"/>
    </row>
    <row r="178" customFormat="false" ht="30" hidden="false" customHeight="true" outlineLevel="0" collapsed="false">
      <c r="A178" s="449" t="s">
        <v>1204</v>
      </c>
      <c r="B178" s="460"/>
      <c r="C178" s="460"/>
      <c r="D178" s="259"/>
      <c r="E178" s="461"/>
      <c r="F178" s="461"/>
      <c r="G178" s="489"/>
      <c r="H178" s="490"/>
      <c r="I178" s="484"/>
      <c r="J178" s="484"/>
      <c r="K178" s="484"/>
      <c r="L178" s="464"/>
      <c r="M178" s="484"/>
      <c r="N178" s="484"/>
      <c r="O178" s="484"/>
      <c r="P178" s="484"/>
      <c r="Q178" s="467"/>
      <c r="R178" s="467"/>
      <c r="S178" s="467"/>
      <c r="T178" s="466"/>
      <c r="U178" s="468"/>
      <c r="V178" s="469"/>
      <c r="W178" s="470"/>
      <c r="X178" s="471"/>
      <c r="Y178" s="470"/>
      <c r="Z178" s="471"/>
      <c r="AA178" s="471"/>
      <c r="AB178" s="466"/>
      <c r="AC178" s="466"/>
      <c r="AD178" s="466"/>
      <c r="AE178" s="466"/>
      <c r="AF178" s="466"/>
      <c r="AG178" s="478"/>
      <c r="AH178" s="475"/>
      <c r="AI178" s="475"/>
      <c r="AJ178" s="475"/>
      <c r="AK178" s="475"/>
      <c r="AL178" s="475"/>
      <c r="AM178" s="475"/>
      <c r="AN178" s="475"/>
      <c r="AO178" s="475"/>
      <c r="AP178" s="475"/>
      <c r="AQ178" s="475"/>
      <c r="AR178" s="475"/>
      <c r="AS178" s="475"/>
      <c r="AT178" s="475"/>
      <c r="AU178" s="475"/>
      <c r="AV178" s="475"/>
      <c r="AW178" s="475"/>
      <c r="AX178" s="475"/>
      <c r="AY178" s="475"/>
      <c r="AZ178" s="475"/>
      <c r="BA178" s="475"/>
      <c r="BB178" s="475"/>
      <c r="BC178" s="475"/>
      <c r="BD178" s="475"/>
      <c r="BE178" s="475"/>
      <c r="BF178" s="475"/>
      <c r="BG178" s="475"/>
      <c r="BH178" s="475"/>
      <c r="BI178" s="475"/>
      <c r="BJ178" s="475"/>
      <c r="BK178" s="475"/>
      <c r="BL178" s="475"/>
      <c r="BM178" s="475"/>
      <c r="BN178" s="475"/>
      <c r="BO178" s="475"/>
      <c r="BP178" s="475"/>
      <c r="BQ178" s="475"/>
      <c r="BR178" s="475"/>
      <c r="BS178" s="475"/>
      <c r="BT178" s="475"/>
      <c r="BU178" s="475"/>
      <c r="BV178" s="475"/>
      <c r="BW178" s="475"/>
      <c r="BX178" s="475"/>
      <c r="BY178" s="475"/>
      <c r="BZ178" s="475"/>
      <c r="CA178" s="475"/>
      <c r="CB178" s="475"/>
      <c r="CC178" s="475"/>
    </row>
    <row r="179" customFormat="false" ht="30" hidden="false" customHeight="true" outlineLevel="0" collapsed="false">
      <c r="A179" s="449" t="s">
        <v>1205</v>
      </c>
      <c r="B179" s="460"/>
      <c r="C179" s="460"/>
      <c r="D179" s="538"/>
      <c r="E179" s="461"/>
      <c r="F179" s="461"/>
      <c r="G179" s="489"/>
      <c r="H179" s="490"/>
      <c r="I179" s="484"/>
      <c r="J179" s="484"/>
      <c r="K179" s="484"/>
      <c r="L179" s="464"/>
      <c r="M179" s="484"/>
      <c r="N179" s="484"/>
      <c r="O179" s="484"/>
      <c r="P179" s="484"/>
      <c r="Q179" s="467"/>
      <c r="R179" s="467"/>
      <c r="S179" s="467"/>
      <c r="T179" s="466"/>
      <c r="U179" s="468"/>
      <c r="V179" s="469"/>
      <c r="W179" s="470"/>
      <c r="X179" s="471"/>
      <c r="Y179" s="470"/>
      <c r="Z179" s="471"/>
      <c r="AA179" s="471"/>
      <c r="AB179" s="466"/>
      <c r="AC179" s="466"/>
      <c r="AD179" s="466"/>
      <c r="AE179" s="466"/>
      <c r="AF179" s="466"/>
      <c r="AG179" s="478"/>
      <c r="AH179" s="475"/>
      <c r="AI179" s="475"/>
      <c r="AJ179" s="475"/>
      <c r="AK179" s="475"/>
      <c r="AL179" s="475"/>
      <c r="AM179" s="475"/>
      <c r="AN179" s="475"/>
      <c r="AO179" s="475"/>
      <c r="AP179" s="475"/>
      <c r="AQ179" s="475"/>
      <c r="AR179" s="475"/>
      <c r="AS179" s="475"/>
      <c r="AT179" s="475"/>
      <c r="AU179" s="475"/>
      <c r="AV179" s="475"/>
      <c r="AW179" s="475"/>
      <c r="AX179" s="475"/>
      <c r="AY179" s="475"/>
      <c r="AZ179" s="475"/>
      <c r="BA179" s="475"/>
      <c r="BB179" s="475"/>
      <c r="BC179" s="475"/>
      <c r="BD179" s="475"/>
      <c r="BE179" s="475"/>
      <c r="BF179" s="475"/>
      <c r="BG179" s="475"/>
      <c r="BH179" s="475"/>
      <c r="BI179" s="475"/>
      <c r="BJ179" s="475"/>
      <c r="BK179" s="475"/>
      <c r="BL179" s="475"/>
      <c r="BM179" s="475"/>
      <c r="BN179" s="475"/>
      <c r="BO179" s="475"/>
      <c r="BP179" s="475"/>
      <c r="BQ179" s="475"/>
      <c r="BR179" s="475"/>
      <c r="BS179" s="475"/>
      <c r="BT179" s="475"/>
      <c r="BU179" s="475"/>
      <c r="BV179" s="475"/>
      <c r="BW179" s="475"/>
      <c r="BX179" s="475"/>
      <c r="BY179" s="475"/>
      <c r="BZ179" s="475"/>
      <c r="CA179" s="475"/>
      <c r="CB179" s="475"/>
      <c r="CC179" s="475"/>
      <c r="XCJ179" s="541"/>
      <c r="XCK179" s="541"/>
      <c r="XCL179" s="541"/>
      <c r="XCM179" s="541"/>
      <c r="XCN179" s="541"/>
      <c r="XCO179" s="541"/>
      <c r="XCP179" s="541"/>
      <c r="XCQ179" s="541"/>
      <c r="XCR179" s="541"/>
      <c r="XCS179" s="541"/>
      <c r="XCT179" s="541"/>
      <c r="XCU179" s="541"/>
      <c r="XCV179" s="541"/>
      <c r="XCW179" s="541"/>
      <c r="XCX179" s="541"/>
      <c r="XCY179" s="541"/>
      <c r="XCZ179" s="541"/>
      <c r="XDA179" s="541"/>
      <c r="XDB179" s="541"/>
      <c r="XDC179" s="541"/>
      <c r="XDD179" s="541"/>
      <c r="XDE179" s="541"/>
      <c r="XDF179" s="541"/>
      <c r="XDG179" s="541"/>
      <c r="XDH179" s="541"/>
      <c r="XDI179" s="541"/>
      <c r="XDJ179" s="541"/>
      <c r="XDK179" s="541"/>
      <c r="XDL179" s="541"/>
      <c r="XDM179" s="541"/>
      <c r="XDN179" s="541"/>
      <c r="XDO179" s="541"/>
      <c r="XDP179" s="541"/>
      <c r="XDQ179" s="541"/>
      <c r="XDR179" s="541"/>
      <c r="XDS179" s="541"/>
      <c r="XDT179" s="541"/>
      <c r="XDU179" s="541"/>
      <c r="XDV179" s="541"/>
      <c r="XDW179" s="541"/>
      <c r="XDX179" s="541"/>
      <c r="XDY179" s="541"/>
      <c r="XDZ179" s="541"/>
      <c r="XEA179" s="541"/>
      <c r="XEB179" s="541"/>
      <c r="XEC179" s="541"/>
      <c r="XED179" s="541"/>
      <c r="XEE179" s="541"/>
      <c r="XEF179" s="541"/>
      <c r="XEG179" s="541"/>
      <c r="XEH179" s="541"/>
      <c r="XEI179" s="541"/>
      <c r="XEJ179" s="541"/>
      <c r="XEK179" s="541"/>
      <c r="XEL179" s="541"/>
      <c r="XEM179" s="541"/>
      <c r="XEN179" s="541"/>
      <c r="XEO179" s="541"/>
      <c r="XEP179" s="541"/>
      <c r="XEQ179" s="541"/>
      <c r="XER179" s="541"/>
      <c r="XES179" s="541"/>
      <c r="XET179" s="541"/>
      <c r="XEU179" s="541"/>
      <c r="XEV179" s="541"/>
      <c r="XEW179" s="541"/>
      <c r="XEX179" s="541"/>
      <c r="XEY179" s="541"/>
      <c r="XEZ179" s="541"/>
      <c r="XFA179" s="541"/>
      <c r="XFB179" s="541"/>
      <c r="XFC179" s="541"/>
      <c r="XFD179" s="541"/>
    </row>
    <row r="180" customFormat="false" ht="30" hidden="false" customHeight="true" outlineLevel="0" collapsed="false">
      <c r="A180" s="449" t="s">
        <v>1206</v>
      </c>
      <c r="B180" s="460"/>
      <c r="C180" s="460"/>
      <c r="D180" s="259"/>
      <c r="E180" s="461"/>
      <c r="F180" s="461"/>
      <c r="G180" s="489"/>
      <c r="H180" s="490"/>
      <c r="I180" s="484"/>
      <c r="J180" s="484"/>
      <c r="K180" s="484"/>
      <c r="L180" s="464"/>
      <c r="M180" s="484"/>
      <c r="N180" s="484"/>
      <c r="O180" s="484"/>
      <c r="P180" s="484"/>
      <c r="Q180" s="467"/>
      <c r="R180" s="467"/>
      <c r="S180" s="467"/>
      <c r="T180" s="466"/>
      <c r="U180" s="468"/>
      <c r="V180" s="469"/>
      <c r="W180" s="470"/>
      <c r="X180" s="471"/>
      <c r="Y180" s="470"/>
      <c r="Z180" s="471"/>
      <c r="AA180" s="471"/>
      <c r="AB180" s="466"/>
      <c r="AC180" s="466"/>
      <c r="AD180" s="466"/>
      <c r="AE180" s="466"/>
      <c r="AF180" s="466"/>
      <c r="AG180" s="478"/>
      <c r="AH180" s="475"/>
      <c r="AI180" s="475"/>
      <c r="AJ180" s="475"/>
      <c r="AK180" s="475"/>
      <c r="AL180" s="475"/>
      <c r="AM180" s="475"/>
      <c r="AN180" s="475"/>
      <c r="AO180" s="475"/>
      <c r="AP180" s="475"/>
      <c r="AQ180" s="475"/>
      <c r="AR180" s="475"/>
      <c r="AS180" s="475"/>
      <c r="AT180" s="475"/>
      <c r="AU180" s="475"/>
      <c r="AV180" s="475"/>
      <c r="AW180" s="475"/>
      <c r="AX180" s="475"/>
      <c r="AY180" s="475"/>
      <c r="AZ180" s="475"/>
      <c r="BA180" s="475"/>
      <c r="BB180" s="475"/>
      <c r="BC180" s="475"/>
      <c r="BD180" s="475"/>
      <c r="BE180" s="475"/>
      <c r="BF180" s="475"/>
      <c r="BG180" s="475"/>
      <c r="BH180" s="475"/>
      <c r="BI180" s="475"/>
      <c r="BJ180" s="475"/>
      <c r="BK180" s="475"/>
      <c r="BL180" s="475"/>
      <c r="BM180" s="475"/>
      <c r="BN180" s="475"/>
      <c r="BO180" s="475"/>
      <c r="BP180" s="475"/>
      <c r="BQ180" s="475"/>
      <c r="BR180" s="475"/>
      <c r="BS180" s="475"/>
      <c r="BT180" s="475"/>
      <c r="BU180" s="475"/>
      <c r="BV180" s="475"/>
      <c r="BW180" s="475"/>
      <c r="BX180" s="475"/>
      <c r="BY180" s="475"/>
      <c r="BZ180" s="475"/>
      <c r="CA180" s="475"/>
      <c r="CB180" s="475"/>
      <c r="CC180" s="475"/>
    </row>
    <row r="181" customFormat="false" ht="30" hidden="false" customHeight="true" outlineLevel="0" collapsed="false">
      <c r="A181" s="449" t="s">
        <v>1207</v>
      </c>
      <c r="B181" s="460"/>
      <c r="C181" s="460"/>
      <c r="D181" s="259"/>
      <c r="E181" s="461"/>
      <c r="F181" s="461"/>
      <c r="G181" s="489"/>
      <c r="H181" s="490"/>
      <c r="I181" s="484"/>
      <c r="J181" s="484"/>
      <c r="K181" s="484"/>
      <c r="L181" s="464"/>
      <c r="M181" s="484"/>
      <c r="N181" s="484"/>
      <c r="O181" s="484"/>
      <c r="P181" s="484"/>
      <c r="Q181" s="467"/>
      <c r="R181" s="467"/>
      <c r="S181" s="467"/>
      <c r="T181" s="466"/>
      <c r="U181" s="468"/>
      <c r="V181" s="469"/>
      <c r="W181" s="470"/>
      <c r="X181" s="471"/>
      <c r="Y181" s="470"/>
      <c r="Z181" s="471"/>
      <c r="AA181" s="471"/>
      <c r="AB181" s="466"/>
      <c r="AC181" s="466"/>
      <c r="AD181" s="466"/>
      <c r="AE181" s="466"/>
      <c r="AF181" s="466"/>
      <c r="AG181" s="478"/>
      <c r="AH181" s="475"/>
      <c r="AI181" s="475"/>
      <c r="AJ181" s="475"/>
      <c r="AK181" s="475"/>
      <c r="AL181" s="475"/>
      <c r="AM181" s="475"/>
      <c r="AN181" s="475"/>
      <c r="AO181" s="475"/>
      <c r="AP181" s="475"/>
      <c r="AQ181" s="475"/>
      <c r="AR181" s="475"/>
      <c r="AS181" s="475"/>
      <c r="AT181" s="475"/>
      <c r="AU181" s="475"/>
      <c r="AV181" s="475"/>
      <c r="AW181" s="475"/>
      <c r="AX181" s="475"/>
      <c r="AY181" s="475"/>
      <c r="AZ181" s="475"/>
      <c r="BA181" s="475"/>
      <c r="BB181" s="475"/>
      <c r="BC181" s="475"/>
      <c r="BD181" s="475"/>
      <c r="BE181" s="475"/>
      <c r="BF181" s="475"/>
      <c r="BG181" s="475"/>
      <c r="BH181" s="475"/>
      <c r="BI181" s="475"/>
      <c r="BJ181" s="475"/>
      <c r="BK181" s="475"/>
      <c r="BL181" s="475"/>
      <c r="BM181" s="475"/>
      <c r="BN181" s="475"/>
      <c r="BO181" s="475"/>
      <c r="BP181" s="475"/>
      <c r="BQ181" s="475"/>
      <c r="BR181" s="475"/>
      <c r="BS181" s="475"/>
      <c r="BT181" s="475"/>
      <c r="BU181" s="475"/>
      <c r="BV181" s="475"/>
      <c r="BW181" s="475"/>
      <c r="BX181" s="475"/>
      <c r="BY181" s="475"/>
      <c r="BZ181" s="475"/>
      <c r="CA181" s="475"/>
      <c r="CB181" s="475"/>
      <c r="CC181" s="475"/>
    </row>
    <row r="182" customFormat="false" ht="30" hidden="false" customHeight="true" outlineLevel="0" collapsed="false">
      <c r="A182" s="449" t="s">
        <v>1208</v>
      </c>
      <c r="B182" s="460"/>
      <c r="C182" s="460"/>
      <c r="D182" s="259"/>
      <c r="E182" s="461"/>
      <c r="F182" s="461"/>
      <c r="G182" s="489"/>
      <c r="H182" s="490"/>
      <c r="I182" s="484"/>
      <c r="J182" s="484"/>
      <c r="K182" s="484"/>
      <c r="L182" s="464"/>
      <c r="M182" s="484"/>
      <c r="N182" s="484"/>
      <c r="O182" s="484"/>
      <c r="P182" s="484"/>
      <c r="Q182" s="467"/>
      <c r="R182" s="467"/>
      <c r="S182" s="467"/>
      <c r="T182" s="466"/>
      <c r="U182" s="468"/>
      <c r="V182" s="469"/>
      <c r="W182" s="470"/>
      <c r="X182" s="471"/>
      <c r="Y182" s="470"/>
      <c r="Z182" s="471"/>
      <c r="AA182" s="471"/>
      <c r="AB182" s="466"/>
      <c r="AC182" s="466"/>
      <c r="AD182" s="466"/>
      <c r="AE182" s="466"/>
      <c r="AF182" s="466"/>
      <c r="AG182" s="478"/>
      <c r="AH182" s="475"/>
      <c r="AI182" s="475"/>
      <c r="AJ182" s="475"/>
      <c r="AK182" s="475"/>
      <c r="AL182" s="475"/>
      <c r="AM182" s="475"/>
      <c r="AN182" s="475"/>
      <c r="AO182" s="475"/>
      <c r="AP182" s="475"/>
      <c r="AQ182" s="475"/>
      <c r="AR182" s="475"/>
      <c r="AS182" s="475"/>
      <c r="AT182" s="475"/>
      <c r="AU182" s="475"/>
      <c r="AV182" s="475"/>
      <c r="AW182" s="475"/>
      <c r="AX182" s="475"/>
      <c r="AY182" s="475"/>
      <c r="AZ182" s="475"/>
      <c r="BA182" s="475"/>
      <c r="BB182" s="475"/>
      <c r="BC182" s="475"/>
      <c r="BD182" s="475"/>
      <c r="BE182" s="475"/>
      <c r="BF182" s="475"/>
      <c r="BG182" s="475"/>
      <c r="BH182" s="475"/>
      <c r="BI182" s="475"/>
      <c r="BJ182" s="475"/>
      <c r="BK182" s="475"/>
      <c r="BL182" s="475"/>
      <c r="BM182" s="475"/>
      <c r="BN182" s="475"/>
      <c r="BO182" s="475"/>
      <c r="BP182" s="475"/>
      <c r="BQ182" s="475"/>
      <c r="BR182" s="475"/>
      <c r="BS182" s="475"/>
      <c r="BT182" s="475"/>
      <c r="BU182" s="475"/>
      <c r="BV182" s="475"/>
      <c r="BW182" s="475"/>
      <c r="BX182" s="475"/>
      <c r="BY182" s="475"/>
      <c r="BZ182" s="475"/>
      <c r="CA182" s="475"/>
      <c r="CB182" s="475"/>
      <c r="CC182" s="475"/>
    </row>
    <row r="183" customFormat="false" ht="30" hidden="false" customHeight="true" outlineLevel="0" collapsed="false">
      <c r="A183" s="449" t="s">
        <v>1209</v>
      </c>
      <c r="B183" s="460"/>
      <c r="C183" s="460"/>
      <c r="D183" s="259"/>
      <c r="E183" s="461"/>
      <c r="F183" s="461"/>
      <c r="G183" s="486"/>
      <c r="H183" s="490"/>
      <c r="I183" s="484"/>
      <c r="J183" s="484"/>
      <c r="K183" s="484"/>
      <c r="L183" s="464"/>
      <c r="M183" s="484"/>
      <c r="N183" s="484"/>
      <c r="O183" s="484"/>
      <c r="P183" s="484"/>
      <c r="Q183" s="467"/>
      <c r="R183" s="467"/>
      <c r="S183" s="467"/>
      <c r="T183" s="466"/>
      <c r="U183" s="468"/>
      <c r="V183" s="469"/>
      <c r="W183" s="470"/>
      <c r="X183" s="471"/>
      <c r="Y183" s="470"/>
      <c r="Z183" s="471"/>
      <c r="AA183" s="471"/>
      <c r="AB183" s="466"/>
      <c r="AC183" s="466"/>
      <c r="AD183" s="466"/>
      <c r="AE183" s="466"/>
      <c r="AF183" s="466"/>
      <c r="AG183" s="478"/>
      <c r="AH183" s="475"/>
      <c r="AI183" s="475"/>
      <c r="AJ183" s="475"/>
      <c r="AK183" s="475"/>
      <c r="AL183" s="475"/>
      <c r="AM183" s="475"/>
      <c r="AN183" s="475"/>
      <c r="AO183" s="475"/>
      <c r="AP183" s="475"/>
      <c r="AQ183" s="475"/>
      <c r="AR183" s="475"/>
      <c r="AS183" s="475"/>
      <c r="AT183" s="475"/>
      <c r="AU183" s="475"/>
      <c r="AV183" s="475"/>
      <c r="AW183" s="475"/>
      <c r="AX183" s="475"/>
      <c r="AY183" s="475"/>
      <c r="AZ183" s="475"/>
      <c r="BA183" s="475"/>
      <c r="BB183" s="475"/>
      <c r="BC183" s="475"/>
      <c r="BD183" s="475"/>
      <c r="BE183" s="475"/>
      <c r="BF183" s="475"/>
      <c r="BG183" s="475"/>
      <c r="BH183" s="475"/>
      <c r="BI183" s="475"/>
      <c r="BJ183" s="475"/>
      <c r="BK183" s="475"/>
      <c r="BL183" s="475"/>
      <c r="BM183" s="475"/>
      <c r="BN183" s="475"/>
      <c r="BO183" s="475"/>
      <c r="BP183" s="475"/>
      <c r="BQ183" s="475"/>
      <c r="BR183" s="475"/>
      <c r="BS183" s="475"/>
      <c r="BT183" s="475"/>
      <c r="BU183" s="475"/>
      <c r="BV183" s="475"/>
      <c r="BW183" s="475"/>
      <c r="BX183" s="475"/>
      <c r="BY183" s="475"/>
      <c r="BZ183" s="475"/>
      <c r="CA183" s="475"/>
      <c r="CB183" s="475"/>
      <c r="CC183" s="475"/>
    </row>
    <row r="184" customFormat="false" ht="30" hidden="false" customHeight="true" outlineLevel="0" collapsed="false">
      <c r="A184" s="449" t="s">
        <v>1210</v>
      </c>
      <c r="B184" s="460"/>
      <c r="C184" s="460"/>
      <c r="D184" s="259"/>
      <c r="E184" s="461"/>
      <c r="F184" s="461"/>
      <c r="G184" s="486"/>
      <c r="H184" s="490"/>
      <c r="I184" s="484"/>
      <c r="J184" s="484"/>
      <c r="K184" s="484"/>
      <c r="L184" s="464"/>
      <c r="M184" s="533"/>
      <c r="N184" s="488"/>
      <c r="O184" s="466"/>
      <c r="P184" s="466"/>
      <c r="Q184" s="467"/>
      <c r="R184" s="467"/>
      <c r="S184" s="467"/>
      <c r="T184" s="466"/>
      <c r="U184" s="468"/>
      <c r="V184" s="469"/>
      <c r="W184" s="471"/>
      <c r="X184" s="471"/>
      <c r="Y184" s="471"/>
      <c r="Z184" s="471"/>
      <c r="AA184" s="470"/>
      <c r="AB184" s="473"/>
      <c r="AC184" s="473"/>
      <c r="AD184" s="466"/>
      <c r="AE184" s="466"/>
      <c r="AF184" s="544"/>
      <c r="AG184" s="478"/>
      <c r="AH184" s="475"/>
      <c r="AI184" s="475"/>
      <c r="AJ184" s="475"/>
      <c r="AK184" s="475"/>
      <c r="AL184" s="475"/>
      <c r="AM184" s="475"/>
      <c r="AN184" s="475"/>
      <c r="AO184" s="475"/>
      <c r="AP184" s="475"/>
      <c r="AQ184" s="475"/>
      <c r="AR184" s="475"/>
      <c r="AS184" s="475"/>
      <c r="AT184" s="475"/>
      <c r="AU184" s="475"/>
      <c r="AV184" s="475"/>
      <c r="AW184" s="475"/>
      <c r="AX184" s="475"/>
      <c r="AY184" s="475"/>
      <c r="AZ184" s="475"/>
      <c r="BA184" s="475"/>
      <c r="BB184" s="475"/>
      <c r="BC184" s="475"/>
      <c r="BD184" s="475"/>
      <c r="BE184" s="475"/>
      <c r="BF184" s="475"/>
      <c r="BG184" s="475"/>
      <c r="BH184" s="475"/>
      <c r="BI184" s="475"/>
      <c r="BJ184" s="475"/>
      <c r="BK184" s="475"/>
      <c r="BL184" s="475"/>
      <c r="BM184" s="475"/>
      <c r="BN184" s="475"/>
      <c r="BO184" s="475"/>
      <c r="BP184" s="475"/>
      <c r="BQ184" s="475"/>
      <c r="BR184" s="475"/>
      <c r="BS184" s="475"/>
      <c r="BT184" s="475"/>
      <c r="BU184" s="475"/>
      <c r="BV184" s="475"/>
      <c r="BW184" s="475"/>
      <c r="BX184" s="475"/>
      <c r="BY184" s="475"/>
      <c r="BZ184" s="475"/>
      <c r="CA184" s="475"/>
      <c r="CB184" s="475"/>
      <c r="CC184" s="475"/>
    </row>
    <row r="185" customFormat="false" ht="30" hidden="false" customHeight="true" outlineLevel="0" collapsed="false">
      <c r="A185" s="449" t="s">
        <v>1211</v>
      </c>
      <c r="B185" s="460"/>
      <c r="C185" s="460"/>
      <c r="D185" s="538"/>
      <c r="E185" s="461"/>
      <c r="F185" s="461"/>
      <c r="G185" s="486"/>
      <c r="H185" s="490"/>
      <c r="I185" s="484"/>
      <c r="J185" s="484"/>
      <c r="K185" s="484"/>
      <c r="L185" s="464"/>
      <c r="M185" s="533"/>
      <c r="N185" s="484"/>
      <c r="O185" s="484"/>
      <c r="P185" s="484"/>
      <c r="Q185" s="467"/>
      <c r="R185" s="467"/>
      <c r="S185" s="467"/>
      <c r="T185" s="466"/>
      <c r="U185" s="468"/>
      <c r="V185" s="469"/>
      <c r="W185" s="470"/>
      <c r="X185" s="471"/>
      <c r="Y185" s="470"/>
      <c r="Z185" s="471"/>
      <c r="AA185" s="470"/>
      <c r="AB185" s="466"/>
      <c r="AC185" s="466"/>
      <c r="AD185" s="466"/>
      <c r="AE185" s="466"/>
      <c r="AF185" s="484"/>
      <c r="AG185" s="478"/>
      <c r="AH185" s="475"/>
      <c r="AI185" s="475"/>
      <c r="AJ185" s="475"/>
      <c r="AK185" s="475"/>
      <c r="AL185" s="475"/>
      <c r="AM185" s="475"/>
      <c r="AN185" s="475"/>
      <c r="AO185" s="475"/>
      <c r="AP185" s="475"/>
      <c r="AQ185" s="475"/>
      <c r="AR185" s="475"/>
      <c r="AS185" s="475"/>
      <c r="AT185" s="475"/>
      <c r="AU185" s="475"/>
      <c r="AV185" s="475"/>
      <c r="AW185" s="475"/>
      <c r="AX185" s="475"/>
      <c r="AY185" s="475"/>
      <c r="AZ185" s="475"/>
      <c r="BA185" s="475"/>
      <c r="BB185" s="475"/>
      <c r="BC185" s="475"/>
      <c r="BD185" s="475"/>
      <c r="BE185" s="475"/>
      <c r="BF185" s="475"/>
      <c r="BG185" s="475"/>
      <c r="BH185" s="475"/>
      <c r="BI185" s="475"/>
      <c r="BJ185" s="475"/>
      <c r="BK185" s="475"/>
      <c r="BL185" s="475"/>
      <c r="BM185" s="475"/>
      <c r="BN185" s="475"/>
      <c r="BO185" s="475"/>
      <c r="BP185" s="475"/>
      <c r="BQ185" s="475"/>
      <c r="BR185" s="475"/>
      <c r="BS185" s="475"/>
      <c r="BT185" s="475"/>
      <c r="BU185" s="475"/>
      <c r="BV185" s="475"/>
      <c r="BW185" s="475"/>
      <c r="BX185" s="475"/>
      <c r="BY185" s="475"/>
      <c r="BZ185" s="475"/>
      <c r="CA185" s="475"/>
      <c r="CB185" s="475"/>
      <c r="CC185" s="475"/>
    </row>
    <row r="186" customFormat="false" ht="30" hidden="false" customHeight="true" outlineLevel="0" collapsed="false">
      <c r="A186" s="449" t="s">
        <v>1212</v>
      </c>
      <c r="B186" s="460"/>
      <c r="C186" s="460"/>
      <c r="D186" s="538"/>
      <c r="E186" s="461"/>
      <c r="F186" s="461"/>
      <c r="G186" s="486"/>
      <c r="H186" s="490"/>
      <c r="I186" s="484"/>
      <c r="J186" s="484"/>
      <c r="K186" s="484"/>
      <c r="L186" s="464"/>
      <c r="M186" s="533"/>
      <c r="N186" s="484"/>
      <c r="O186" s="484"/>
      <c r="P186" s="484"/>
      <c r="Q186" s="467"/>
      <c r="R186" s="467"/>
      <c r="S186" s="467"/>
      <c r="T186" s="466"/>
      <c r="U186" s="468"/>
      <c r="V186" s="469"/>
      <c r="W186" s="470"/>
      <c r="X186" s="471"/>
      <c r="Y186" s="470"/>
      <c r="Z186" s="471"/>
      <c r="AA186" s="470"/>
      <c r="AB186" s="466"/>
      <c r="AC186" s="466"/>
      <c r="AD186" s="466"/>
      <c r="AE186" s="466"/>
      <c r="AF186" s="484"/>
      <c r="AG186" s="478"/>
      <c r="AH186" s="475"/>
      <c r="AI186" s="475"/>
      <c r="AJ186" s="475"/>
      <c r="AK186" s="475"/>
      <c r="AL186" s="475"/>
      <c r="AM186" s="475"/>
      <c r="AN186" s="475"/>
      <c r="AO186" s="475"/>
      <c r="AP186" s="475"/>
      <c r="AQ186" s="475"/>
      <c r="AR186" s="475"/>
      <c r="AS186" s="475"/>
      <c r="AT186" s="475"/>
      <c r="AU186" s="475"/>
      <c r="AV186" s="475"/>
      <c r="AW186" s="475"/>
      <c r="AX186" s="475"/>
      <c r="AY186" s="475"/>
      <c r="AZ186" s="475"/>
      <c r="BA186" s="475"/>
      <c r="BB186" s="475"/>
      <c r="BC186" s="475"/>
      <c r="BD186" s="475"/>
      <c r="BE186" s="475"/>
      <c r="BF186" s="475"/>
      <c r="BG186" s="475"/>
      <c r="BH186" s="475"/>
      <c r="BI186" s="475"/>
      <c r="BJ186" s="475"/>
      <c r="BK186" s="475"/>
      <c r="BL186" s="475"/>
      <c r="BM186" s="475"/>
      <c r="BN186" s="475"/>
      <c r="BO186" s="475"/>
      <c r="BP186" s="475"/>
      <c r="BQ186" s="475"/>
      <c r="BR186" s="475"/>
      <c r="BS186" s="475"/>
      <c r="BT186" s="475"/>
      <c r="BU186" s="475"/>
      <c r="BV186" s="475"/>
      <c r="BW186" s="475"/>
      <c r="BX186" s="475"/>
      <c r="BY186" s="475"/>
      <c r="BZ186" s="475"/>
      <c r="CA186" s="475"/>
      <c r="CB186" s="475"/>
      <c r="CC186" s="475"/>
    </row>
    <row r="187" customFormat="false" ht="30" hidden="false" customHeight="true" outlineLevel="0" collapsed="false">
      <c r="A187" s="449" t="s">
        <v>1213</v>
      </c>
      <c r="B187" s="460"/>
      <c r="C187" s="460"/>
      <c r="D187" s="259"/>
      <c r="E187" s="461"/>
      <c r="F187" s="461"/>
      <c r="G187" s="486"/>
      <c r="H187" s="490"/>
      <c r="I187" s="484"/>
      <c r="J187" s="484"/>
      <c r="K187" s="484"/>
      <c r="L187" s="464"/>
      <c r="M187" s="484"/>
      <c r="N187" s="484"/>
      <c r="O187" s="484"/>
      <c r="P187" s="484"/>
      <c r="Q187" s="467"/>
      <c r="R187" s="467"/>
      <c r="S187" s="467"/>
      <c r="T187" s="466"/>
      <c r="U187" s="468"/>
      <c r="V187" s="469"/>
      <c r="W187" s="470"/>
      <c r="X187" s="471"/>
      <c r="Y187" s="470"/>
      <c r="Z187" s="471"/>
      <c r="AA187" s="471"/>
      <c r="AB187" s="466"/>
      <c r="AC187" s="466"/>
      <c r="AD187" s="466"/>
      <c r="AE187" s="466"/>
      <c r="AF187" s="466"/>
      <c r="AG187" s="478"/>
      <c r="AH187" s="475"/>
      <c r="AI187" s="475"/>
      <c r="AJ187" s="475"/>
      <c r="AK187" s="475"/>
      <c r="AL187" s="475"/>
      <c r="AM187" s="475"/>
      <c r="AN187" s="475"/>
      <c r="AO187" s="475"/>
      <c r="AP187" s="475"/>
      <c r="AQ187" s="475"/>
      <c r="AR187" s="475"/>
      <c r="AS187" s="475"/>
      <c r="AT187" s="475"/>
      <c r="AU187" s="475"/>
      <c r="AV187" s="475"/>
      <c r="AW187" s="475"/>
      <c r="AX187" s="475"/>
      <c r="AY187" s="475"/>
      <c r="AZ187" s="475"/>
      <c r="BA187" s="475"/>
      <c r="BB187" s="475"/>
      <c r="BC187" s="475"/>
      <c r="BD187" s="475"/>
      <c r="BE187" s="475"/>
      <c r="BF187" s="475"/>
      <c r="BG187" s="475"/>
      <c r="BH187" s="475"/>
      <c r="BI187" s="475"/>
      <c r="BJ187" s="475"/>
      <c r="BK187" s="475"/>
      <c r="BL187" s="475"/>
      <c r="BM187" s="475"/>
      <c r="BN187" s="475"/>
      <c r="BO187" s="475"/>
      <c r="BP187" s="475"/>
      <c r="BQ187" s="475"/>
      <c r="BR187" s="475"/>
      <c r="BS187" s="475"/>
      <c r="BT187" s="475"/>
      <c r="BU187" s="475"/>
      <c r="BV187" s="475"/>
      <c r="BW187" s="475"/>
      <c r="BX187" s="475"/>
      <c r="BY187" s="475"/>
      <c r="BZ187" s="475"/>
      <c r="CA187" s="475"/>
      <c r="CB187" s="475"/>
      <c r="CC187" s="475"/>
    </row>
    <row r="188" customFormat="false" ht="30" hidden="false" customHeight="true" outlineLevel="0" collapsed="false">
      <c r="A188" s="449" t="s">
        <v>1214</v>
      </c>
      <c r="B188" s="460"/>
      <c r="C188" s="460"/>
      <c r="D188" s="259"/>
      <c r="E188" s="461"/>
      <c r="F188" s="461"/>
      <c r="G188" s="486"/>
      <c r="H188" s="490"/>
      <c r="I188" s="484"/>
      <c r="J188" s="484"/>
      <c r="K188" s="484"/>
      <c r="L188" s="464"/>
      <c r="M188" s="484"/>
      <c r="N188" s="488"/>
      <c r="O188" s="466"/>
      <c r="P188" s="466"/>
      <c r="Q188" s="467"/>
      <c r="R188" s="467"/>
      <c r="S188" s="467"/>
      <c r="T188" s="466"/>
      <c r="U188" s="468"/>
      <c r="V188" s="469"/>
      <c r="W188" s="471"/>
      <c r="X188" s="471"/>
      <c r="Y188" s="471"/>
      <c r="Z188" s="471"/>
      <c r="AA188" s="479"/>
      <c r="AB188" s="473"/>
      <c r="AC188" s="473"/>
      <c r="AD188" s="466"/>
      <c r="AE188" s="466"/>
      <c r="AF188" s="545"/>
      <c r="AG188" s="478"/>
      <c r="AH188" s="475"/>
      <c r="AI188" s="475"/>
      <c r="AJ188" s="475"/>
      <c r="AK188" s="475"/>
      <c r="AL188" s="475"/>
      <c r="AM188" s="475"/>
      <c r="AN188" s="475"/>
      <c r="AO188" s="475"/>
      <c r="AP188" s="475"/>
      <c r="AQ188" s="475"/>
      <c r="AR188" s="475"/>
      <c r="AS188" s="475"/>
      <c r="AT188" s="475"/>
      <c r="AU188" s="475"/>
      <c r="AV188" s="475"/>
      <c r="AW188" s="475"/>
      <c r="AX188" s="475"/>
      <c r="AY188" s="475"/>
      <c r="AZ188" s="475"/>
      <c r="BA188" s="475"/>
      <c r="BB188" s="475"/>
      <c r="BC188" s="475"/>
      <c r="BD188" s="475"/>
      <c r="BE188" s="475"/>
      <c r="BF188" s="475"/>
      <c r="BG188" s="475"/>
      <c r="BH188" s="475"/>
      <c r="BI188" s="475"/>
      <c r="BJ188" s="475"/>
      <c r="BK188" s="475"/>
      <c r="BL188" s="475"/>
      <c r="BM188" s="475"/>
      <c r="BN188" s="475"/>
      <c r="BO188" s="475"/>
      <c r="BP188" s="475"/>
      <c r="BQ188" s="475"/>
      <c r="BR188" s="475"/>
      <c r="BS188" s="475"/>
      <c r="BT188" s="475"/>
      <c r="BU188" s="475"/>
      <c r="BV188" s="475"/>
      <c r="BW188" s="475"/>
      <c r="BX188" s="475"/>
      <c r="BY188" s="475"/>
      <c r="BZ188" s="475"/>
      <c r="CA188" s="475"/>
      <c r="CB188" s="475"/>
      <c r="CC188" s="475"/>
    </row>
    <row r="189" customFormat="false" ht="30" hidden="false" customHeight="true" outlineLevel="0" collapsed="false">
      <c r="A189" s="449" t="s">
        <v>1215</v>
      </c>
      <c r="B189" s="460"/>
      <c r="C189" s="460"/>
      <c r="D189" s="259"/>
      <c r="E189" s="461"/>
      <c r="F189" s="461"/>
      <c r="G189" s="486"/>
      <c r="H189" s="490"/>
      <c r="I189" s="484"/>
      <c r="J189" s="484"/>
      <c r="K189" s="484"/>
      <c r="L189" s="464"/>
      <c r="M189" s="484"/>
      <c r="N189" s="484"/>
      <c r="O189" s="484"/>
      <c r="P189" s="484"/>
      <c r="Q189" s="467"/>
      <c r="R189" s="467"/>
      <c r="S189" s="467"/>
      <c r="T189" s="466"/>
      <c r="U189" s="468"/>
      <c r="V189" s="469"/>
      <c r="W189" s="470"/>
      <c r="X189" s="471"/>
      <c r="Y189" s="470"/>
      <c r="Z189" s="471"/>
      <c r="AA189" s="471"/>
      <c r="AB189" s="466"/>
      <c r="AC189" s="466"/>
      <c r="AD189" s="466"/>
      <c r="AE189" s="466"/>
      <c r="AF189" s="466"/>
      <c r="AG189" s="478"/>
      <c r="AH189" s="475"/>
      <c r="AI189" s="475"/>
      <c r="AJ189" s="475"/>
      <c r="AK189" s="475"/>
      <c r="AL189" s="475"/>
      <c r="AM189" s="475"/>
      <c r="AN189" s="475"/>
      <c r="AO189" s="475"/>
      <c r="AP189" s="475"/>
      <c r="AQ189" s="475"/>
      <c r="AR189" s="475"/>
      <c r="AS189" s="475"/>
      <c r="AT189" s="475"/>
      <c r="AU189" s="475"/>
      <c r="AV189" s="475"/>
      <c r="AW189" s="475"/>
      <c r="AX189" s="475"/>
      <c r="AY189" s="475"/>
      <c r="AZ189" s="475"/>
      <c r="BA189" s="475"/>
      <c r="BB189" s="475"/>
      <c r="BC189" s="475"/>
      <c r="BD189" s="475"/>
      <c r="BE189" s="475"/>
      <c r="BF189" s="475"/>
      <c r="BG189" s="475"/>
      <c r="BH189" s="475"/>
      <c r="BI189" s="475"/>
      <c r="BJ189" s="475"/>
      <c r="BK189" s="475"/>
      <c r="BL189" s="475"/>
      <c r="BM189" s="475"/>
      <c r="BN189" s="475"/>
      <c r="BO189" s="475"/>
      <c r="BP189" s="475"/>
      <c r="BQ189" s="475"/>
      <c r="BR189" s="475"/>
      <c r="BS189" s="475"/>
      <c r="BT189" s="475"/>
      <c r="BU189" s="475"/>
      <c r="BV189" s="475"/>
      <c r="BW189" s="475"/>
      <c r="BX189" s="475"/>
      <c r="BY189" s="475"/>
      <c r="BZ189" s="475"/>
      <c r="CA189" s="475"/>
      <c r="CB189" s="475"/>
      <c r="CC189" s="475"/>
    </row>
    <row r="190" customFormat="false" ht="30" hidden="false" customHeight="true" outlineLevel="0" collapsed="false">
      <c r="A190" s="449" t="s">
        <v>1216</v>
      </c>
      <c r="B190" s="460"/>
      <c r="C190" s="460"/>
      <c r="D190" s="259"/>
      <c r="E190" s="461"/>
      <c r="F190" s="461"/>
      <c r="G190" s="486"/>
      <c r="H190" s="490"/>
      <c r="I190" s="484"/>
      <c r="J190" s="484"/>
      <c r="K190" s="484"/>
      <c r="L190" s="464"/>
      <c r="M190" s="484"/>
      <c r="N190" s="484"/>
      <c r="O190" s="484"/>
      <c r="P190" s="484"/>
      <c r="Q190" s="467"/>
      <c r="R190" s="467"/>
      <c r="S190" s="467"/>
      <c r="T190" s="466"/>
      <c r="U190" s="468"/>
      <c r="V190" s="491"/>
      <c r="W190" s="470"/>
      <c r="X190" s="471"/>
      <c r="Y190" s="470"/>
      <c r="Z190" s="471"/>
      <c r="AA190" s="471"/>
      <c r="AB190" s="466"/>
      <c r="AC190" s="466"/>
      <c r="AD190" s="466"/>
      <c r="AE190" s="466"/>
      <c r="AF190" s="466"/>
      <c r="AG190" s="478"/>
      <c r="AH190" s="475"/>
      <c r="AI190" s="475"/>
      <c r="AJ190" s="475"/>
      <c r="AK190" s="475"/>
      <c r="AL190" s="475"/>
      <c r="AM190" s="475"/>
      <c r="AN190" s="475"/>
      <c r="AO190" s="475"/>
      <c r="AP190" s="475"/>
      <c r="AQ190" s="475"/>
      <c r="AR190" s="475"/>
      <c r="AS190" s="475"/>
      <c r="AT190" s="475"/>
      <c r="AU190" s="475"/>
      <c r="AV190" s="475"/>
      <c r="AW190" s="475"/>
      <c r="AX190" s="475"/>
      <c r="AY190" s="475"/>
      <c r="AZ190" s="475"/>
      <c r="BA190" s="475"/>
      <c r="BB190" s="475"/>
      <c r="BC190" s="475"/>
      <c r="BD190" s="475"/>
      <c r="BE190" s="475"/>
      <c r="BF190" s="475"/>
      <c r="BG190" s="475"/>
      <c r="BH190" s="475"/>
      <c r="BI190" s="475"/>
      <c r="BJ190" s="475"/>
      <c r="BK190" s="475"/>
      <c r="BL190" s="475"/>
      <c r="BM190" s="475"/>
      <c r="BN190" s="475"/>
      <c r="BO190" s="475"/>
      <c r="BP190" s="475"/>
      <c r="BQ190" s="475"/>
      <c r="BR190" s="475"/>
      <c r="BS190" s="475"/>
      <c r="BT190" s="475"/>
      <c r="BU190" s="475"/>
      <c r="BV190" s="475"/>
      <c r="BW190" s="475"/>
      <c r="BX190" s="475"/>
      <c r="BY190" s="475"/>
      <c r="BZ190" s="475"/>
      <c r="CA190" s="475"/>
      <c r="CB190" s="475"/>
      <c r="CC190" s="475"/>
    </row>
    <row r="191" customFormat="false" ht="30" hidden="false" customHeight="true" outlineLevel="0" collapsed="false">
      <c r="A191" s="449" t="s">
        <v>1217</v>
      </c>
      <c r="B191" s="460"/>
      <c r="C191" s="460"/>
      <c r="D191" s="538"/>
      <c r="E191" s="461"/>
      <c r="F191" s="461"/>
      <c r="G191" s="486"/>
      <c r="H191" s="490"/>
      <c r="I191" s="484"/>
      <c r="J191" s="484"/>
      <c r="K191" s="484"/>
      <c r="L191" s="464"/>
      <c r="M191" s="484"/>
      <c r="N191" s="484"/>
      <c r="O191" s="484"/>
      <c r="P191" s="484"/>
      <c r="Q191" s="467"/>
      <c r="R191" s="467"/>
      <c r="S191" s="467"/>
      <c r="T191" s="466"/>
      <c r="U191" s="468"/>
      <c r="V191" s="491"/>
      <c r="W191" s="470"/>
      <c r="X191" s="471"/>
      <c r="Y191" s="470"/>
      <c r="Z191" s="471"/>
      <c r="AA191" s="470"/>
      <c r="AB191" s="466"/>
      <c r="AC191" s="466"/>
      <c r="AD191" s="466"/>
      <c r="AE191" s="466"/>
      <c r="AF191" s="466"/>
      <c r="AG191" s="478"/>
      <c r="AH191" s="475"/>
      <c r="AI191" s="475"/>
      <c r="AJ191" s="475"/>
      <c r="AK191" s="475"/>
      <c r="AL191" s="475"/>
      <c r="AM191" s="475"/>
      <c r="AN191" s="475"/>
      <c r="AO191" s="475"/>
      <c r="AP191" s="475"/>
      <c r="AQ191" s="475"/>
      <c r="AR191" s="475"/>
      <c r="AS191" s="475"/>
      <c r="AT191" s="475"/>
      <c r="AU191" s="475"/>
      <c r="AV191" s="475"/>
      <c r="AW191" s="475"/>
      <c r="AX191" s="475"/>
      <c r="AY191" s="475"/>
      <c r="AZ191" s="475"/>
      <c r="BA191" s="475"/>
      <c r="BB191" s="475"/>
      <c r="BC191" s="475"/>
      <c r="BD191" s="475"/>
      <c r="BE191" s="475"/>
      <c r="BF191" s="475"/>
      <c r="BG191" s="475"/>
      <c r="BH191" s="475"/>
      <c r="BI191" s="475"/>
      <c r="BJ191" s="475"/>
      <c r="BK191" s="475"/>
      <c r="BL191" s="475"/>
      <c r="BM191" s="475"/>
      <c r="BN191" s="475"/>
      <c r="BO191" s="475"/>
      <c r="BP191" s="475"/>
      <c r="BQ191" s="475"/>
      <c r="BR191" s="475"/>
      <c r="BS191" s="475"/>
      <c r="BT191" s="475"/>
      <c r="BU191" s="475"/>
      <c r="BV191" s="475"/>
      <c r="BW191" s="475"/>
      <c r="BX191" s="475"/>
      <c r="BY191" s="475"/>
      <c r="BZ191" s="475"/>
      <c r="CA191" s="475"/>
      <c r="CB191" s="475"/>
      <c r="CC191" s="475"/>
    </row>
    <row r="192" customFormat="false" ht="30" hidden="false" customHeight="true" outlineLevel="0" collapsed="false">
      <c r="A192" s="449" t="s">
        <v>1218</v>
      </c>
      <c r="B192" s="460"/>
      <c r="C192" s="460"/>
      <c r="D192" s="259"/>
      <c r="E192" s="461"/>
      <c r="F192" s="461"/>
      <c r="G192" s="486"/>
      <c r="H192" s="490"/>
      <c r="I192" s="484"/>
      <c r="J192" s="484"/>
      <c r="K192" s="484"/>
      <c r="L192" s="464"/>
      <c r="M192" s="533"/>
      <c r="N192" s="488"/>
      <c r="O192" s="466"/>
      <c r="P192" s="484"/>
      <c r="Q192" s="467"/>
      <c r="R192" s="467"/>
      <c r="S192" s="467"/>
      <c r="T192" s="466"/>
      <c r="U192" s="468"/>
      <c r="V192" s="469"/>
      <c r="W192" s="471"/>
      <c r="X192" s="471"/>
      <c r="Y192" s="471"/>
      <c r="Z192" s="471"/>
      <c r="AA192" s="470"/>
      <c r="AB192" s="466"/>
      <c r="AC192" s="466"/>
      <c r="AD192" s="466"/>
      <c r="AE192" s="466"/>
      <c r="AF192" s="466"/>
      <c r="AG192" s="478"/>
      <c r="AH192" s="475"/>
      <c r="AI192" s="475"/>
      <c r="AJ192" s="475"/>
      <c r="AK192" s="475"/>
      <c r="AL192" s="475"/>
      <c r="AM192" s="475"/>
      <c r="AN192" s="475"/>
      <c r="AO192" s="475"/>
      <c r="AP192" s="475"/>
      <c r="AQ192" s="475"/>
      <c r="AR192" s="475"/>
      <c r="AS192" s="475"/>
      <c r="AT192" s="475"/>
      <c r="AU192" s="475"/>
      <c r="AV192" s="475"/>
      <c r="AW192" s="475"/>
      <c r="AX192" s="475"/>
      <c r="AY192" s="475"/>
      <c r="AZ192" s="475"/>
      <c r="BA192" s="475"/>
      <c r="BB192" s="475"/>
      <c r="BC192" s="475"/>
      <c r="BD192" s="475"/>
      <c r="BE192" s="475"/>
      <c r="BF192" s="475"/>
      <c r="BG192" s="475"/>
      <c r="BH192" s="475"/>
      <c r="BI192" s="475"/>
      <c r="BJ192" s="475"/>
      <c r="BK192" s="475"/>
      <c r="BL192" s="475"/>
      <c r="BM192" s="475"/>
      <c r="BN192" s="475"/>
      <c r="BO192" s="475"/>
      <c r="BP192" s="475"/>
      <c r="BQ192" s="475"/>
      <c r="BR192" s="475"/>
      <c r="BS192" s="475"/>
      <c r="BT192" s="475"/>
      <c r="BU192" s="475"/>
      <c r="BV192" s="475"/>
      <c r="BW192" s="475"/>
      <c r="BX192" s="475"/>
      <c r="BY192" s="475"/>
      <c r="BZ192" s="475"/>
      <c r="CA192" s="475"/>
      <c r="CB192" s="475"/>
      <c r="CC192" s="475"/>
    </row>
    <row r="193" customFormat="false" ht="30" hidden="false" customHeight="true" outlineLevel="0" collapsed="false">
      <c r="A193" s="449" t="s">
        <v>1219</v>
      </c>
      <c r="B193" s="460"/>
      <c r="C193" s="460"/>
      <c r="D193" s="259"/>
      <c r="E193" s="461"/>
      <c r="F193" s="461"/>
      <c r="G193" s="486"/>
      <c r="H193" s="490"/>
      <c r="I193" s="484"/>
      <c r="J193" s="484"/>
      <c r="K193" s="484"/>
      <c r="L193" s="464"/>
      <c r="M193" s="484"/>
      <c r="N193" s="488"/>
      <c r="O193" s="466"/>
      <c r="P193" s="484"/>
      <c r="Q193" s="467"/>
      <c r="R193" s="467"/>
      <c r="S193" s="467"/>
      <c r="T193" s="466"/>
      <c r="U193" s="468"/>
      <c r="V193" s="469"/>
      <c r="W193" s="479"/>
      <c r="X193" s="471"/>
      <c r="Y193" s="471"/>
      <c r="Z193" s="471"/>
      <c r="AA193" s="479"/>
      <c r="AB193" s="466"/>
      <c r="AC193" s="466"/>
      <c r="AD193" s="466"/>
      <c r="AE193" s="466"/>
      <c r="AF193" s="466"/>
      <c r="AG193" s="478"/>
      <c r="AH193" s="475"/>
      <c r="AI193" s="475"/>
      <c r="AJ193" s="475"/>
      <c r="AK193" s="475"/>
      <c r="AL193" s="475"/>
      <c r="AM193" s="475"/>
      <c r="AN193" s="475"/>
      <c r="AO193" s="475"/>
      <c r="AP193" s="475"/>
      <c r="AQ193" s="475"/>
      <c r="AR193" s="475"/>
      <c r="AS193" s="475"/>
      <c r="AT193" s="475"/>
      <c r="AU193" s="475"/>
      <c r="AV193" s="475"/>
      <c r="AW193" s="475"/>
      <c r="AX193" s="475"/>
      <c r="AY193" s="475"/>
      <c r="AZ193" s="475"/>
      <c r="BA193" s="475"/>
      <c r="BB193" s="475"/>
      <c r="BC193" s="475"/>
      <c r="BD193" s="475"/>
      <c r="BE193" s="475"/>
      <c r="BF193" s="475"/>
      <c r="BG193" s="475"/>
      <c r="BH193" s="475"/>
      <c r="BI193" s="475"/>
      <c r="BJ193" s="475"/>
      <c r="BK193" s="475"/>
      <c r="BL193" s="475"/>
      <c r="BM193" s="475"/>
      <c r="BN193" s="475"/>
      <c r="BO193" s="475"/>
      <c r="BP193" s="475"/>
      <c r="BQ193" s="475"/>
      <c r="BR193" s="475"/>
      <c r="BS193" s="475"/>
      <c r="BT193" s="475"/>
      <c r="BU193" s="475"/>
      <c r="BV193" s="475"/>
      <c r="BW193" s="475"/>
      <c r="BX193" s="475"/>
      <c r="BY193" s="475"/>
      <c r="BZ193" s="475"/>
      <c r="CA193" s="475"/>
      <c r="CB193" s="475"/>
      <c r="CC193" s="475"/>
    </row>
    <row r="194" customFormat="false" ht="30" hidden="false" customHeight="true" outlineLevel="0" collapsed="false">
      <c r="A194" s="449" t="s">
        <v>1220</v>
      </c>
      <c r="B194" s="460"/>
      <c r="C194" s="460"/>
      <c r="D194" s="259"/>
      <c r="E194" s="461"/>
      <c r="F194" s="461"/>
      <c r="G194" s="486"/>
      <c r="H194" s="490"/>
      <c r="I194" s="484"/>
      <c r="J194" s="484"/>
      <c r="K194" s="484"/>
      <c r="L194" s="464"/>
      <c r="M194" s="484"/>
      <c r="N194" s="488"/>
      <c r="O194" s="466"/>
      <c r="P194" s="466"/>
      <c r="Q194" s="467"/>
      <c r="R194" s="467"/>
      <c r="S194" s="467"/>
      <c r="T194" s="466"/>
      <c r="U194" s="468"/>
      <c r="V194" s="469"/>
      <c r="W194" s="471"/>
      <c r="X194" s="471"/>
      <c r="Y194" s="471"/>
      <c r="Z194" s="471"/>
      <c r="AA194" s="471"/>
      <c r="AB194" s="466"/>
      <c r="AC194" s="466"/>
      <c r="AD194" s="466"/>
      <c r="AE194" s="466"/>
      <c r="AF194" s="466"/>
      <c r="AG194" s="478"/>
      <c r="AH194" s="475"/>
      <c r="AI194" s="475"/>
      <c r="AJ194" s="475"/>
      <c r="AK194" s="475"/>
      <c r="AL194" s="475"/>
      <c r="AM194" s="475"/>
      <c r="AN194" s="475"/>
      <c r="AO194" s="475"/>
      <c r="AP194" s="475"/>
      <c r="AQ194" s="475"/>
      <c r="AR194" s="475"/>
      <c r="AS194" s="475"/>
      <c r="AT194" s="475"/>
      <c r="AU194" s="475"/>
      <c r="AV194" s="475"/>
      <c r="AW194" s="475"/>
      <c r="AX194" s="475"/>
      <c r="AY194" s="475"/>
      <c r="AZ194" s="475"/>
      <c r="BA194" s="475"/>
      <c r="BB194" s="475"/>
      <c r="BC194" s="475"/>
      <c r="BD194" s="475"/>
      <c r="BE194" s="475"/>
      <c r="BF194" s="475"/>
      <c r="BG194" s="475"/>
      <c r="BH194" s="475"/>
      <c r="BI194" s="475"/>
      <c r="BJ194" s="475"/>
      <c r="BK194" s="475"/>
      <c r="BL194" s="475"/>
      <c r="BM194" s="475"/>
      <c r="BN194" s="475"/>
      <c r="BO194" s="475"/>
      <c r="BP194" s="475"/>
      <c r="BQ194" s="475"/>
      <c r="BR194" s="475"/>
      <c r="BS194" s="475"/>
      <c r="BT194" s="475"/>
      <c r="BU194" s="475"/>
      <c r="BV194" s="475"/>
      <c r="BW194" s="475"/>
      <c r="BX194" s="475"/>
      <c r="BY194" s="475"/>
      <c r="BZ194" s="475"/>
      <c r="CA194" s="475"/>
      <c r="CB194" s="475"/>
      <c r="CC194" s="475"/>
    </row>
    <row r="195" customFormat="false" ht="30" hidden="false" customHeight="true" outlineLevel="0" collapsed="false">
      <c r="A195" s="449" t="s">
        <v>1221</v>
      </c>
      <c r="B195" s="460"/>
      <c r="C195" s="460"/>
      <c r="D195" s="259"/>
      <c r="E195" s="461"/>
      <c r="F195" s="461"/>
      <c r="G195" s="486"/>
      <c r="H195" s="490"/>
      <c r="I195" s="484"/>
      <c r="J195" s="484"/>
      <c r="K195" s="484"/>
      <c r="L195" s="464"/>
      <c r="M195" s="484"/>
      <c r="N195" s="488"/>
      <c r="O195" s="466"/>
      <c r="P195" s="466"/>
      <c r="Q195" s="467"/>
      <c r="R195" s="467"/>
      <c r="S195" s="467"/>
      <c r="T195" s="466"/>
      <c r="U195" s="468"/>
      <c r="V195" s="469"/>
      <c r="W195" s="471"/>
      <c r="X195" s="471"/>
      <c r="Y195" s="471"/>
      <c r="Z195" s="471"/>
      <c r="AA195" s="471"/>
      <c r="AB195" s="466"/>
      <c r="AC195" s="466"/>
      <c r="AD195" s="466"/>
      <c r="AE195" s="466"/>
      <c r="AF195" s="466"/>
      <c r="AG195" s="478"/>
      <c r="AH195" s="475"/>
      <c r="AI195" s="475"/>
      <c r="AJ195" s="475"/>
      <c r="AK195" s="475"/>
      <c r="AL195" s="475"/>
      <c r="AM195" s="475"/>
      <c r="AN195" s="475"/>
      <c r="AO195" s="475"/>
      <c r="AP195" s="475"/>
      <c r="AQ195" s="475"/>
      <c r="AR195" s="475"/>
      <c r="AS195" s="475"/>
      <c r="AT195" s="475"/>
      <c r="AU195" s="475"/>
      <c r="AV195" s="475"/>
      <c r="AW195" s="475"/>
      <c r="AX195" s="475"/>
      <c r="AY195" s="475"/>
      <c r="AZ195" s="475"/>
      <c r="BA195" s="475"/>
      <c r="BB195" s="475"/>
      <c r="BC195" s="475"/>
      <c r="BD195" s="475"/>
      <c r="BE195" s="475"/>
      <c r="BF195" s="475"/>
      <c r="BG195" s="475"/>
      <c r="BH195" s="475"/>
      <c r="BI195" s="475"/>
      <c r="BJ195" s="475"/>
      <c r="BK195" s="475"/>
      <c r="BL195" s="475"/>
      <c r="BM195" s="475"/>
      <c r="BN195" s="475"/>
      <c r="BO195" s="475"/>
      <c r="BP195" s="475"/>
      <c r="BQ195" s="475"/>
      <c r="BR195" s="475"/>
      <c r="BS195" s="475"/>
      <c r="BT195" s="475"/>
      <c r="BU195" s="475"/>
      <c r="BV195" s="475"/>
      <c r="BW195" s="475"/>
      <c r="BX195" s="475"/>
      <c r="BY195" s="475"/>
      <c r="BZ195" s="475"/>
      <c r="CA195" s="475"/>
      <c r="CB195" s="475"/>
      <c r="CC195" s="475"/>
    </row>
    <row r="196" customFormat="false" ht="30" hidden="false" customHeight="true" outlineLevel="0" collapsed="false">
      <c r="A196" s="449" t="s">
        <v>1222</v>
      </c>
      <c r="B196" s="460"/>
      <c r="C196" s="460"/>
      <c r="D196" s="259"/>
      <c r="E196" s="461"/>
      <c r="F196" s="461"/>
      <c r="G196" s="486"/>
      <c r="H196" s="490"/>
      <c r="I196" s="484"/>
      <c r="J196" s="484"/>
      <c r="K196" s="484"/>
      <c r="L196" s="464"/>
      <c r="M196" s="484"/>
      <c r="N196" s="488"/>
      <c r="O196" s="466"/>
      <c r="P196" s="484"/>
      <c r="Q196" s="467"/>
      <c r="R196" s="467"/>
      <c r="S196" s="467"/>
      <c r="T196" s="466"/>
      <c r="U196" s="468"/>
      <c r="V196" s="469"/>
      <c r="W196" s="471"/>
      <c r="X196" s="471"/>
      <c r="Y196" s="471"/>
      <c r="Z196" s="471"/>
      <c r="AA196" s="471"/>
      <c r="AB196" s="466"/>
      <c r="AC196" s="466"/>
      <c r="AD196" s="466"/>
      <c r="AE196" s="466"/>
      <c r="AF196" s="466"/>
      <c r="AG196" s="478"/>
      <c r="AH196" s="475"/>
      <c r="AI196" s="475"/>
      <c r="AJ196" s="475"/>
      <c r="AK196" s="475"/>
      <c r="AL196" s="475"/>
      <c r="AM196" s="475"/>
      <c r="AN196" s="475"/>
      <c r="AO196" s="475"/>
      <c r="AP196" s="475"/>
      <c r="AQ196" s="475"/>
      <c r="AR196" s="475"/>
      <c r="AS196" s="475"/>
      <c r="AT196" s="475"/>
      <c r="AU196" s="475"/>
      <c r="AV196" s="475"/>
      <c r="AW196" s="475"/>
      <c r="AX196" s="475"/>
      <c r="AY196" s="475"/>
      <c r="AZ196" s="475"/>
      <c r="BA196" s="475"/>
      <c r="BB196" s="475"/>
      <c r="BC196" s="475"/>
      <c r="BD196" s="475"/>
      <c r="BE196" s="475"/>
      <c r="BF196" s="475"/>
      <c r="BG196" s="475"/>
      <c r="BH196" s="475"/>
      <c r="BI196" s="475"/>
      <c r="BJ196" s="475"/>
      <c r="BK196" s="475"/>
      <c r="BL196" s="475"/>
      <c r="BM196" s="475"/>
      <c r="BN196" s="475"/>
      <c r="BO196" s="475"/>
      <c r="BP196" s="475"/>
      <c r="BQ196" s="475"/>
      <c r="BR196" s="475"/>
      <c r="BS196" s="475"/>
      <c r="BT196" s="475"/>
      <c r="BU196" s="475"/>
      <c r="BV196" s="475"/>
      <c r="BW196" s="475"/>
      <c r="BX196" s="475"/>
      <c r="BY196" s="475"/>
      <c r="BZ196" s="475"/>
      <c r="CA196" s="475"/>
      <c r="CB196" s="475"/>
      <c r="CC196" s="475"/>
    </row>
    <row r="197" customFormat="false" ht="30" hidden="false" customHeight="true" outlineLevel="0" collapsed="false">
      <c r="A197" s="449" t="s">
        <v>1223</v>
      </c>
      <c r="B197" s="460"/>
      <c r="C197" s="460"/>
      <c r="D197" s="259"/>
      <c r="E197" s="461"/>
      <c r="F197" s="461"/>
      <c r="G197" s="486"/>
      <c r="H197" s="490"/>
      <c r="I197" s="484"/>
      <c r="J197" s="484"/>
      <c r="K197" s="484"/>
      <c r="L197" s="464"/>
      <c r="M197" s="484"/>
      <c r="N197" s="484"/>
      <c r="O197" s="466"/>
      <c r="P197" s="484"/>
      <c r="Q197" s="467"/>
      <c r="R197" s="467"/>
      <c r="S197" s="467"/>
      <c r="T197" s="466"/>
      <c r="U197" s="468"/>
      <c r="V197" s="469"/>
      <c r="W197" s="471"/>
      <c r="X197" s="471"/>
      <c r="Y197" s="471"/>
      <c r="Z197" s="471"/>
      <c r="AA197" s="471"/>
      <c r="AB197" s="466"/>
      <c r="AC197" s="466"/>
      <c r="AD197" s="466"/>
      <c r="AE197" s="466"/>
      <c r="AF197" s="466"/>
      <c r="AG197" s="478"/>
      <c r="AH197" s="475"/>
      <c r="AI197" s="475"/>
      <c r="AJ197" s="475"/>
      <c r="AK197" s="475"/>
      <c r="AL197" s="475"/>
      <c r="AM197" s="475"/>
      <c r="AN197" s="475"/>
      <c r="AO197" s="475"/>
      <c r="AP197" s="475"/>
      <c r="AQ197" s="475"/>
      <c r="AR197" s="475"/>
      <c r="AS197" s="475"/>
      <c r="AT197" s="475"/>
      <c r="AU197" s="475"/>
      <c r="AV197" s="475"/>
      <c r="AW197" s="475"/>
      <c r="AX197" s="475"/>
      <c r="AY197" s="475"/>
      <c r="AZ197" s="475"/>
      <c r="BA197" s="475"/>
      <c r="BB197" s="475"/>
      <c r="BC197" s="475"/>
      <c r="BD197" s="475"/>
      <c r="BE197" s="475"/>
      <c r="BF197" s="475"/>
      <c r="BG197" s="475"/>
      <c r="BH197" s="475"/>
      <c r="BI197" s="475"/>
      <c r="BJ197" s="475"/>
      <c r="BK197" s="475"/>
      <c r="BL197" s="475"/>
      <c r="BM197" s="475"/>
      <c r="BN197" s="475"/>
      <c r="BO197" s="475"/>
      <c r="BP197" s="475"/>
      <c r="BQ197" s="475"/>
      <c r="BR197" s="475"/>
      <c r="BS197" s="475"/>
      <c r="BT197" s="475"/>
      <c r="BU197" s="475"/>
      <c r="BV197" s="475"/>
      <c r="BW197" s="475"/>
      <c r="BX197" s="475"/>
      <c r="BY197" s="475"/>
      <c r="BZ197" s="475"/>
      <c r="CA197" s="475"/>
      <c r="CB197" s="475"/>
      <c r="CC197" s="475"/>
    </row>
    <row r="198" customFormat="false" ht="30" hidden="false" customHeight="true" outlineLevel="0" collapsed="false">
      <c r="A198" s="449" t="s">
        <v>1224</v>
      </c>
      <c r="B198" s="460"/>
      <c r="C198" s="460"/>
      <c r="D198" s="546"/>
      <c r="E198" s="461"/>
      <c r="F198" s="461"/>
      <c r="G198" s="486"/>
      <c r="H198" s="490"/>
      <c r="I198" s="484"/>
      <c r="J198" s="484"/>
      <c r="K198" s="484"/>
      <c r="L198" s="464"/>
      <c r="M198" s="465"/>
      <c r="N198" s="488"/>
      <c r="O198" s="466"/>
      <c r="P198" s="466"/>
      <c r="Q198" s="467"/>
      <c r="R198" s="467"/>
      <c r="S198" s="467"/>
      <c r="T198" s="466"/>
      <c r="U198" s="468"/>
      <c r="V198" s="469"/>
      <c r="W198" s="470"/>
      <c r="X198" s="471"/>
      <c r="Y198" s="471"/>
      <c r="Z198" s="471"/>
      <c r="AA198" s="470"/>
      <c r="AB198" s="466"/>
      <c r="AC198" s="466"/>
      <c r="AD198" s="466"/>
      <c r="AE198" s="466"/>
      <c r="AF198" s="466"/>
      <c r="AG198" s="478"/>
      <c r="AH198" s="475"/>
      <c r="AI198" s="475"/>
      <c r="AJ198" s="475"/>
      <c r="AK198" s="475"/>
      <c r="AL198" s="475"/>
      <c r="AM198" s="475"/>
      <c r="AN198" s="475"/>
      <c r="AO198" s="475"/>
      <c r="AP198" s="475"/>
      <c r="AQ198" s="475"/>
      <c r="AR198" s="475"/>
      <c r="AS198" s="475"/>
      <c r="AT198" s="475"/>
      <c r="AU198" s="475"/>
      <c r="AV198" s="475"/>
      <c r="AW198" s="475"/>
      <c r="AX198" s="475"/>
      <c r="AY198" s="475"/>
      <c r="AZ198" s="475"/>
      <c r="BA198" s="475"/>
      <c r="BB198" s="475"/>
      <c r="BC198" s="475"/>
      <c r="BD198" s="475"/>
      <c r="BE198" s="475"/>
      <c r="BF198" s="475"/>
      <c r="BG198" s="475"/>
      <c r="BH198" s="475"/>
      <c r="BI198" s="475"/>
      <c r="BJ198" s="475"/>
      <c r="BK198" s="475"/>
      <c r="BL198" s="475"/>
      <c r="BM198" s="475"/>
      <c r="BN198" s="475"/>
      <c r="BO198" s="475"/>
      <c r="BP198" s="475"/>
      <c r="BQ198" s="475"/>
      <c r="BR198" s="475"/>
      <c r="BS198" s="475"/>
      <c r="BT198" s="475"/>
      <c r="BU198" s="475"/>
      <c r="BV198" s="475"/>
      <c r="BW198" s="475"/>
      <c r="BX198" s="475"/>
      <c r="BY198" s="475"/>
      <c r="BZ198" s="475"/>
      <c r="CA198" s="475"/>
      <c r="CB198" s="475"/>
      <c r="CC198" s="475"/>
    </row>
    <row r="199" customFormat="false" ht="30" hidden="false" customHeight="true" outlineLevel="0" collapsed="false">
      <c r="A199" s="449" t="s">
        <v>1225</v>
      </c>
      <c r="B199" s="460"/>
      <c r="C199" s="460"/>
      <c r="D199" s="546"/>
      <c r="E199" s="461"/>
      <c r="F199" s="461"/>
      <c r="G199" s="486"/>
      <c r="H199" s="490"/>
      <c r="I199" s="484"/>
      <c r="J199" s="484"/>
      <c r="K199" s="484"/>
      <c r="L199" s="464"/>
      <c r="M199" s="533"/>
      <c r="N199" s="488"/>
      <c r="O199" s="466"/>
      <c r="P199" s="466"/>
      <c r="Q199" s="467"/>
      <c r="R199" s="467"/>
      <c r="S199" s="467"/>
      <c r="T199" s="466"/>
      <c r="U199" s="468"/>
      <c r="V199" s="469"/>
      <c r="W199" s="470"/>
      <c r="X199" s="471"/>
      <c r="Y199" s="471"/>
      <c r="Z199" s="471"/>
      <c r="AA199" s="470"/>
      <c r="AB199" s="466"/>
      <c r="AC199" s="466"/>
      <c r="AD199" s="466"/>
      <c r="AE199" s="466"/>
      <c r="AF199" s="466"/>
      <c r="AG199" s="478"/>
      <c r="AH199" s="475"/>
      <c r="AI199" s="475"/>
      <c r="AJ199" s="475"/>
      <c r="AK199" s="475"/>
      <c r="AL199" s="475"/>
      <c r="AM199" s="475"/>
      <c r="AN199" s="475"/>
      <c r="AO199" s="475"/>
      <c r="AP199" s="475"/>
      <c r="AQ199" s="475"/>
      <c r="AR199" s="475"/>
      <c r="AS199" s="475"/>
      <c r="AT199" s="475"/>
      <c r="AU199" s="475"/>
      <c r="AV199" s="475"/>
      <c r="AW199" s="475"/>
      <c r="AX199" s="475"/>
      <c r="AY199" s="475"/>
      <c r="AZ199" s="475"/>
      <c r="BA199" s="475"/>
      <c r="BB199" s="475"/>
      <c r="BC199" s="475"/>
      <c r="BD199" s="475"/>
      <c r="BE199" s="475"/>
      <c r="BF199" s="475"/>
      <c r="BG199" s="475"/>
      <c r="BH199" s="475"/>
      <c r="BI199" s="475"/>
      <c r="BJ199" s="475"/>
      <c r="BK199" s="475"/>
      <c r="BL199" s="475"/>
      <c r="BM199" s="475"/>
      <c r="BN199" s="475"/>
      <c r="BO199" s="475"/>
      <c r="BP199" s="475"/>
      <c r="BQ199" s="475"/>
      <c r="BR199" s="475"/>
      <c r="BS199" s="475"/>
      <c r="BT199" s="475"/>
      <c r="BU199" s="475"/>
      <c r="BV199" s="475"/>
      <c r="BW199" s="475"/>
      <c r="BX199" s="475"/>
      <c r="BY199" s="475"/>
      <c r="BZ199" s="475"/>
      <c r="CA199" s="475"/>
      <c r="CB199" s="475"/>
      <c r="CC199" s="475"/>
    </row>
    <row r="200" customFormat="false" ht="30" hidden="false" customHeight="true" outlineLevel="0" collapsed="false">
      <c r="A200" s="449" t="s">
        <v>1226</v>
      </c>
      <c r="B200" s="460"/>
      <c r="C200" s="460"/>
      <c r="D200" s="546"/>
      <c r="E200" s="461"/>
      <c r="F200" s="461"/>
      <c r="G200" s="486"/>
      <c r="H200" s="490"/>
      <c r="I200" s="484"/>
      <c r="J200" s="484"/>
      <c r="K200" s="484"/>
      <c r="L200" s="464"/>
      <c r="M200" s="533"/>
      <c r="N200" s="488"/>
      <c r="O200" s="466"/>
      <c r="P200" s="466"/>
      <c r="Q200" s="467"/>
      <c r="R200" s="467"/>
      <c r="S200" s="467"/>
      <c r="T200" s="466"/>
      <c r="U200" s="468"/>
      <c r="V200" s="469"/>
      <c r="W200" s="470"/>
      <c r="X200" s="471"/>
      <c r="Y200" s="471"/>
      <c r="Z200" s="471"/>
      <c r="AA200" s="470"/>
      <c r="AB200" s="466"/>
      <c r="AC200" s="466"/>
      <c r="AD200" s="466"/>
      <c r="AE200" s="466"/>
      <c r="AF200" s="466"/>
      <c r="AG200" s="478"/>
      <c r="AH200" s="475"/>
      <c r="AI200" s="475"/>
      <c r="AJ200" s="475"/>
      <c r="AK200" s="475"/>
      <c r="AL200" s="475"/>
      <c r="AM200" s="475"/>
      <c r="AN200" s="475"/>
      <c r="AO200" s="475"/>
      <c r="AP200" s="475"/>
      <c r="AQ200" s="475"/>
      <c r="AR200" s="475"/>
      <c r="AS200" s="475"/>
      <c r="AT200" s="475"/>
      <c r="AU200" s="475"/>
      <c r="AV200" s="475"/>
      <c r="AW200" s="475"/>
      <c r="AX200" s="475"/>
      <c r="AY200" s="475"/>
      <c r="AZ200" s="475"/>
      <c r="BA200" s="475"/>
      <c r="BB200" s="475"/>
      <c r="BC200" s="475"/>
      <c r="BD200" s="475"/>
      <c r="BE200" s="475"/>
      <c r="BF200" s="475"/>
      <c r="BG200" s="475"/>
      <c r="BH200" s="475"/>
      <c r="BI200" s="475"/>
      <c r="BJ200" s="475"/>
      <c r="BK200" s="475"/>
      <c r="BL200" s="475"/>
      <c r="BM200" s="475"/>
      <c r="BN200" s="475"/>
      <c r="BO200" s="475"/>
      <c r="BP200" s="475"/>
      <c r="BQ200" s="475"/>
      <c r="BR200" s="475"/>
      <c r="BS200" s="475"/>
      <c r="BT200" s="475"/>
      <c r="BU200" s="475"/>
      <c r="BV200" s="475"/>
      <c r="BW200" s="475"/>
      <c r="BX200" s="475"/>
      <c r="BY200" s="475"/>
      <c r="BZ200" s="475"/>
      <c r="CA200" s="475"/>
      <c r="CB200" s="475"/>
      <c r="CC200" s="475"/>
    </row>
    <row r="201" customFormat="false" ht="30" hidden="false" customHeight="true" outlineLevel="0" collapsed="false">
      <c r="A201" s="449" t="s">
        <v>1227</v>
      </c>
      <c r="B201" s="460"/>
      <c r="C201" s="460"/>
      <c r="D201" s="546"/>
      <c r="E201" s="461"/>
      <c r="F201" s="461"/>
      <c r="G201" s="486"/>
      <c r="H201" s="490"/>
      <c r="I201" s="484"/>
      <c r="J201" s="484"/>
      <c r="K201" s="484"/>
      <c r="L201" s="464"/>
      <c r="M201" s="533"/>
      <c r="N201" s="488"/>
      <c r="O201" s="466"/>
      <c r="P201" s="466"/>
      <c r="Q201" s="467"/>
      <c r="R201" s="467"/>
      <c r="S201" s="467"/>
      <c r="T201" s="466"/>
      <c r="U201" s="468"/>
      <c r="V201" s="469"/>
      <c r="W201" s="471"/>
      <c r="X201" s="471"/>
      <c r="Y201" s="470"/>
      <c r="Z201" s="471"/>
      <c r="AA201" s="470"/>
      <c r="AB201" s="466"/>
      <c r="AC201" s="466"/>
      <c r="AD201" s="466"/>
      <c r="AE201" s="466"/>
      <c r="AF201" s="466"/>
      <c r="AG201" s="478"/>
      <c r="AH201" s="475"/>
      <c r="AI201" s="475"/>
      <c r="AJ201" s="475"/>
      <c r="AK201" s="475"/>
      <c r="AL201" s="475"/>
      <c r="AM201" s="475"/>
      <c r="AN201" s="475"/>
      <c r="AO201" s="475"/>
      <c r="AP201" s="475"/>
      <c r="AQ201" s="475"/>
      <c r="AR201" s="475"/>
      <c r="AS201" s="475"/>
      <c r="AT201" s="475"/>
      <c r="AU201" s="475"/>
      <c r="AV201" s="475"/>
      <c r="AW201" s="475"/>
      <c r="AX201" s="475"/>
      <c r="AY201" s="475"/>
      <c r="AZ201" s="475"/>
      <c r="BA201" s="475"/>
      <c r="BB201" s="475"/>
      <c r="BC201" s="475"/>
      <c r="BD201" s="475"/>
      <c r="BE201" s="475"/>
      <c r="BF201" s="475"/>
      <c r="BG201" s="475"/>
      <c r="BH201" s="475"/>
      <c r="BI201" s="475"/>
      <c r="BJ201" s="475"/>
      <c r="BK201" s="475"/>
      <c r="BL201" s="475"/>
      <c r="BM201" s="475"/>
      <c r="BN201" s="475"/>
      <c r="BO201" s="475"/>
      <c r="BP201" s="475"/>
      <c r="BQ201" s="475"/>
      <c r="BR201" s="475"/>
      <c r="BS201" s="475"/>
      <c r="BT201" s="475"/>
      <c r="BU201" s="475"/>
      <c r="BV201" s="475"/>
      <c r="BW201" s="475"/>
      <c r="BX201" s="475"/>
      <c r="BY201" s="475"/>
      <c r="BZ201" s="475"/>
      <c r="CA201" s="475"/>
      <c r="CB201" s="475"/>
      <c r="CC201" s="475"/>
    </row>
    <row r="202" customFormat="false" ht="30" hidden="false" customHeight="true" outlineLevel="0" collapsed="false">
      <c r="A202" s="449" t="s">
        <v>1228</v>
      </c>
      <c r="B202" s="460"/>
      <c r="C202" s="460"/>
      <c r="D202" s="538"/>
      <c r="E202" s="461"/>
      <c r="F202" s="461"/>
      <c r="G202" s="486"/>
      <c r="H202" s="490"/>
      <c r="I202" s="484"/>
      <c r="J202" s="484"/>
      <c r="K202" s="484"/>
      <c r="L202" s="464"/>
      <c r="M202" s="533"/>
      <c r="N202" s="484"/>
      <c r="O202" s="466"/>
      <c r="P202" s="466"/>
      <c r="Q202" s="467"/>
      <c r="R202" s="467"/>
      <c r="S202" s="467"/>
      <c r="T202" s="466"/>
      <c r="U202" s="468"/>
      <c r="V202" s="469"/>
      <c r="W202" s="471"/>
      <c r="X202" s="471"/>
      <c r="Y202" s="470"/>
      <c r="Z202" s="471"/>
      <c r="AA202" s="470"/>
      <c r="AB202" s="466"/>
      <c r="AC202" s="466"/>
      <c r="AD202" s="466"/>
      <c r="AE202" s="466"/>
      <c r="AF202" s="466"/>
      <c r="AG202" s="478"/>
      <c r="AH202" s="475"/>
      <c r="AI202" s="475"/>
      <c r="AJ202" s="475"/>
      <c r="AK202" s="475"/>
      <c r="AL202" s="475"/>
      <c r="AM202" s="475"/>
      <c r="AN202" s="475"/>
      <c r="AO202" s="475"/>
      <c r="AP202" s="475"/>
      <c r="AQ202" s="475"/>
      <c r="AR202" s="475"/>
      <c r="AS202" s="475"/>
      <c r="AT202" s="475"/>
      <c r="AU202" s="475"/>
      <c r="AV202" s="475"/>
      <c r="AW202" s="475"/>
      <c r="AX202" s="475"/>
      <c r="AY202" s="475"/>
      <c r="AZ202" s="475"/>
      <c r="BA202" s="475"/>
      <c r="BB202" s="475"/>
      <c r="BC202" s="475"/>
      <c r="BD202" s="475"/>
      <c r="BE202" s="475"/>
      <c r="BF202" s="475"/>
      <c r="BG202" s="475"/>
      <c r="BH202" s="475"/>
      <c r="BI202" s="475"/>
      <c r="BJ202" s="475"/>
      <c r="BK202" s="475"/>
      <c r="BL202" s="475"/>
      <c r="BM202" s="475"/>
      <c r="BN202" s="475"/>
      <c r="BO202" s="475"/>
      <c r="BP202" s="475"/>
      <c r="BQ202" s="475"/>
      <c r="BR202" s="475"/>
      <c r="BS202" s="475"/>
      <c r="BT202" s="475"/>
      <c r="BU202" s="475"/>
      <c r="BV202" s="475"/>
      <c r="BW202" s="475"/>
      <c r="BX202" s="475"/>
      <c r="BY202" s="475"/>
      <c r="BZ202" s="475"/>
      <c r="CA202" s="475"/>
      <c r="CB202" s="475"/>
      <c r="CC202" s="475"/>
    </row>
    <row r="203" customFormat="false" ht="30" hidden="false" customHeight="true" outlineLevel="0" collapsed="false">
      <c r="A203" s="449" t="s">
        <v>1229</v>
      </c>
      <c r="B203" s="460"/>
      <c r="C203" s="460"/>
      <c r="D203" s="259"/>
      <c r="E203" s="461"/>
      <c r="F203" s="461"/>
      <c r="G203" s="486"/>
      <c r="H203" s="490"/>
      <c r="I203" s="484"/>
      <c r="J203" s="484"/>
      <c r="K203" s="484"/>
      <c r="L203" s="464"/>
      <c r="M203" s="533"/>
      <c r="N203" s="484"/>
      <c r="O203" s="466"/>
      <c r="P203" s="484"/>
      <c r="Q203" s="467"/>
      <c r="R203" s="467"/>
      <c r="S203" s="467"/>
      <c r="T203" s="466"/>
      <c r="U203" s="468"/>
      <c r="V203" s="469"/>
      <c r="W203" s="471"/>
      <c r="X203" s="471"/>
      <c r="Y203" s="471"/>
      <c r="Z203" s="471"/>
      <c r="AA203" s="517"/>
      <c r="AB203" s="466"/>
      <c r="AC203" s="466"/>
      <c r="AD203" s="466"/>
      <c r="AE203" s="466"/>
      <c r="AF203" s="466"/>
      <c r="AG203" s="478"/>
      <c r="AH203" s="475"/>
      <c r="AI203" s="475"/>
      <c r="AJ203" s="475"/>
      <c r="AK203" s="475"/>
      <c r="AL203" s="475"/>
      <c r="AM203" s="475"/>
      <c r="AN203" s="475"/>
      <c r="AO203" s="475"/>
      <c r="AP203" s="475"/>
      <c r="AQ203" s="475"/>
      <c r="AR203" s="475"/>
      <c r="AS203" s="475"/>
      <c r="AT203" s="475"/>
      <c r="AU203" s="475"/>
      <c r="AV203" s="475"/>
      <c r="AW203" s="475"/>
      <c r="AX203" s="475"/>
      <c r="AY203" s="475"/>
      <c r="AZ203" s="475"/>
      <c r="BA203" s="475"/>
      <c r="BB203" s="475"/>
      <c r="BC203" s="475"/>
      <c r="BD203" s="475"/>
      <c r="BE203" s="475"/>
      <c r="BF203" s="475"/>
      <c r="BG203" s="475"/>
      <c r="BH203" s="475"/>
      <c r="BI203" s="475"/>
      <c r="BJ203" s="475"/>
      <c r="BK203" s="475"/>
      <c r="BL203" s="475"/>
      <c r="BM203" s="475"/>
      <c r="BN203" s="475"/>
      <c r="BO203" s="475"/>
      <c r="BP203" s="475"/>
      <c r="BQ203" s="475"/>
      <c r="BR203" s="475"/>
      <c r="BS203" s="475"/>
      <c r="BT203" s="475"/>
      <c r="BU203" s="475"/>
      <c r="BV203" s="475"/>
      <c r="BW203" s="475"/>
      <c r="BX203" s="475"/>
      <c r="BY203" s="475"/>
      <c r="BZ203" s="475"/>
      <c r="CA203" s="475"/>
      <c r="CB203" s="475"/>
      <c r="CC203" s="475"/>
    </row>
    <row r="204" customFormat="false" ht="30" hidden="false" customHeight="true" outlineLevel="0" collapsed="false">
      <c r="A204" s="449" t="s">
        <v>1230</v>
      </c>
      <c r="B204" s="460"/>
      <c r="C204" s="460"/>
      <c r="D204" s="259"/>
      <c r="E204" s="461"/>
      <c r="F204" s="461"/>
      <c r="G204" s="486"/>
      <c r="H204" s="490"/>
      <c r="I204" s="484"/>
      <c r="J204" s="484"/>
      <c r="K204" s="484"/>
      <c r="L204" s="464"/>
      <c r="M204" s="533"/>
      <c r="N204" s="484"/>
      <c r="O204" s="466"/>
      <c r="P204" s="484"/>
      <c r="Q204" s="467"/>
      <c r="R204" s="467"/>
      <c r="S204" s="467"/>
      <c r="T204" s="466"/>
      <c r="U204" s="468"/>
      <c r="V204" s="469"/>
      <c r="W204" s="471"/>
      <c r="X204" s="471"/>
      <c r="Y204" s="471"/>
      <c r="Z204" s="471"/>
      <c r="AA204" s="517"/>
      <c r="AB204" s="466"/>
      <c r="AC204" s="466"/>
      <c r="AD204" s="466"/>
      <c r="AE204" s="466"/>
      <c r="AF204" s="466"/>
      <c r="AG204" s="478"/>
      <c r="AH204" s="475"/>
      <c r="AI204" s="475"/>
      <c r="AJ204" s="475"/>
      <c r="AK204" s="475"/>
      <c r="AL204" s="475"/>
      <c r="AM204" s="475"/>
      <c r="AN204" s="475"/>
      <c r="AO204" s="475"/>
      <c r="AP204" s="475"/>
      <c r="AQ204" s="475"/>
      <c r="AR204" s="475"/>
      <c r="AS204" s="475"/>
      <c r="AT204" s="475"/>
      <c r="AU204" s="475"/>
      <c r="AV204" s="475"/>
      <c r="AW204" s="475"/>
      <c r="AX204" s="475"/>
      <c r="AY204" s="475"/>
      <c r="AZ204" s="475"/>
      <c r="BA204" s="475"/>
      <c r="BB204" s="475"/>
      <c r="BC204" s="475"/>
      <c r="BD204" s="475"/>
      <c r="BE204" s="475"/>
      <c r="BF204" s="475"/>
      <c r="BG204" s="475"/>
      <c r="BH204" s="475"/>
      <c r="BI204" s="475"/>
      <c r="BJ204" s="475"/>
      <c r="BK204" s="475"/>
      <c r="BL204" s="475"/>
      <c r="BM204" s="475"/>
      <c r="BN204" s="475"/>
      <c r="BO204" s="475"/>
      <c r="BP204" s="475"/>
      <c r="BQ204" s="475"/>
      <c r="BR204" s="475"/>
      <c r="BS204" s="475"/>
      <c r="BT204" s="475"/>
      <c r="BU204" s="475"/>
      <c r="BV204" s="475"/>
      <c r="BW204" s="475"/>
      <c r="BX204" s="475"/>
      <c r="BY204" s="475"/>
      <c r="BZ204" s="475"/>
      <c r="CA204" s="475"/>
      <c r="CB204" s="475"/>
      <c r="CC204" s="475"/>
    </row>
    <row r="205" customFormat="false" ht="30" hidden="false" customHeight="true" outlineLevel="0" collapsed="false">
      <c r="A205" s="449" t="s">
        <v>1231</v>
      </c>
      <c r="B205" s="460"/>
      <c r="C205" s="460"/>
      <c r="D205" s="259"/>
      <c r="E205" s="461"/>
      <c r="F205" s="461"/>
      <c r="G205" s="486"/>
      <c r="H205" s="490"/>
      <c r="I205" s="484"/>
      <c r="J205" s="484"/>
      <c r="K205" s="484"/>
      <c r="L205" s="464"/>
      <c r="M205" s="533"/>
      <c r="N205" s="484"/>
      <c r="O205" s="466"/>
      <c r="P205" s="484"/>
      <c r="Q205" s="467"/>
      <c r="R205" s="467"/>
      <c r="S205" s="467"/>
      <c r="T205" s="466"/>
      <c r="U205" s="468"/>
      <c r="V205" s="469"/>
      <c r="W205" s="471"/>
      <c r="X205" s="471"/>
      <c r="Y205" s="471"/>
      <c r="Z205" s="471"/>
      <c r="AA205" s="517"/>
      <c r="AB205" s="466"/>
      <c r="AC205" s="466"/>
      <c r="AD205" s="466"/>
      <c r="AE205" s="466"/>
      <c r="AF205" s="466"/>
      <c r="AG205" s="478"/>
      <c r="AH205" s="475"/>
      <c r="AI205" s="475"/>
      <c r="AJ205" s="475"/>
      <c r="AK205" s="475"/>
      <c r="AL205" s="475"/>
      <c r="AM205" s="475"/>
      <c r="AN205" s="475"/>
      <c r="AO205" s="475"/>
      <c r="AP205" s="475"/>
      <c r="AQ205" s="475"/>
      <c r="AR205" s="475"/>
      <c r="AS205" s="475"/>
      <c r="AT205" s="475"/>
      <c r="AU205" s="475"/>
      <c r="AV205" s="475"/>
      <c r="AW205" s="475"/>
      <c r="AX205" s="475"/>
      <c r="AY205" s="475"/>
      <c r="AZ205" s="475"/>
      <c r="BA205" s="475"/>
      <c r="BB205" s="475"/>
      <c r="BC205" s="475"/>
      <c r="BD205" s="475"/>
      <c r="BE205" s="475"/>
      <c r="BF205" s="475"/>
      <c r="BG205" s="475"/>
      <c r="BH205" s="475"/>
      <c r="BI205" s="475"/>
      <c r="BJ205" s="475"/>
      <c r="BK205" s="475"/>
      <c r="BL205" s="475"/>
      <c r="BM205" s="475"/>
      <c r="BN205" s="475"/>
      <c r="BO205" s="475"/>
      <c r="BP205" s="475"/>
      <c r="BQ205" s="475"/>
      <c r="BR205" s="475"/>
      <c r="BS205" s="475"/>
      <c r="BT205" s="475"/>
      <c r="BU205" s="475"/>
      <c r="BV205" s="475"/>
      <c r="BW205" s="475"/>
      <c r="BX205" s="475"/>
      <c r="BY205" s="475"/>
      <c r="BZ205" s="475"/>
      <c r="CA205" s="475"/>
      <c r="CB205" s="475"/>
      <c r="CC205" s="475"/>
    </row>
    <row r="206" customFormat="false" ht="30" hidden="false" customHeight="true" outlineLevel="0" collapsed="false">
      <c r="A206" s="449" t="s">
        <v>1232</v>
      </c>
      <c r="B206" s="460"/>
      <c r="C206" s="460"/>
      <c r="D206" s="546"/>
      <c r="E206" s="461"/>
      <c r="F206" s="461"/>
      <c r="G206" s="486"/>
      <c r="H206" s="490"/>
      <c r="I206" s="484"/>
      <c r="J206" s="484"/>
      <c r="K206" s="484"/>
      <c r="L206" s="464"/>
      <c r="M206" s="465"/>
      <c r="N206" s="466"/>
      <c r="O206" s="466"/>
      <c r="P206" s="466"/>
      <c r="Q206" s="467"/>
      <c r="R206" s="467"/>
      <c r="S206" s="467"/>
      <c r="T206" s="466"/>
      <c r="U206" s="468"/>
      <c r="V206" s="469"/>
      <c r="W206" s="471"/>
      <c r="X206" s="471"/>
      <c r="Y206" s="471"/>
      <c r="Z206" s="471"/>
      <c r="AA206" s="470"/>
      <c r="AB206" s="466"/>
      <c r="AC206" s="466"/>
      <c r="AD206" s="466"/>
      <c r="AE206" s="466"/>
      <c r="AF206" s="466"/>
      <c r="AG206" s="478"/>
      <c r="AH206" s="475"/>
      <c r="AI206" s="475"/>
      <c r="AJ206" s="475"/>
      <c r="AK206" s="475"/>
      <c r="AL206" s="475"/>
      <c r="AM206" s="475"/>
      <c r="AN206" s="475"/>
      <c r="AO206" s="475"/>
      <c r="AP206" s="475"/>
      <c r="AQ206" s="475"/>
      <c r="AR206" s="475"/>
      <c r="AS206" s="475"/>
      <c r="AT206" s="475"/>
      <c r="AU206" s="475"/>
      <c r="AV206" s="475"/>
      <c r="AW206" s="475"/>
      <c r="AX206" s="475"/>
      <c r="AY206" s="475"/>
      <c r="AZ206" s="475"/>
      <c r="BA206" s="475"/>
      <c r="BB206" s="475"/>
      <c r="BC206" s="475"/>
      <c r="BD206" s="475"/>
      <c r="BE206" s="475"/>
      <c r="BF206" s="475"/>
      <c r="BG206" s="475"/>
      <c r="BH206" s="475"/>
      <c r="BI206" s="475"/>
      <c r="BJ206" s="475"/>
      <c r="BK206" s="475"/>
      <c r="BL206" s="475"/>
      <c r="BM206" s="475"/>
      <c r="BN206" s="475"/>
      <c r="BO206" s="475"/>
      <c r="BP206" s="475"/>
      <c r="BQ206" s="475"/>
      <c r="BR206" s="475"/>
      <c r="BS206" s="475"/>
      <c r="BT206" s="475"/>
      <c r="BU206" s="475"/>
      <c r="BV206" s="475"/>
      <c r="BW206" s="475"/>
      <c r="BX206" s="475"/>
      <c r="BY206" s="475"/>
      <c r="BZ206" s="475"/>
      <c r="CA206" s="475"/>
      <c r="CB206" s="475"/>
      <c r="CC206" s="475"/>
    </row>
    <row r="207" customFormat="false" ht="30" hidden="false" customHeight="true" outlineLevel="0" collapsed="false">
      <c r="A207" s="449" t="s">
        <v>1233</v>
      </c>
      <c r="B207" s="460"/>
      <c r="C207" s="460"/>
      <c r="D207" s="546"/>
      <c r="E207" s="461"/>
      <c r="F207" s="461"/>
      <c r="G207" s="486"/>
      <c r="H207" s="490"/>
      <c r="I207" s="484"/>
      <c r="J207" s="484"/>
      <c r="K207" s="484"/>
      <c r="L207" s="464"/>
      <c r="M207" s="465"/>
      <c r="N207" s="466"/>
      <c r="O207" s="466"/>
      <c r="P207" s="466"/>
      <c r="Q207" s="467"/>
      <c r="R207" s="467"/>
      <c r="S207" s="467"/>
      <c r="T207" s="466"/>
      <c r="U207" s="468"/>
      <c r="V207" s="469"/>
      <c r="W207" s="471"/>
      <c r="X207" s="471"/>
      <c r="Y207" s="471"/>
      <c r="Z207" s="471"/>
      <c r="AA207" s="517"/>
      <c r="AB207" s="466"/>
      <c r="AC207" s="466"/>
      <c r="AD207" s="466"/>
      <c r="AE207" s="466"/>
      <c r="AF207" s="466"/>
      <c r="AG207" s="478"/>
      <c r="AH207" s="475"/>
      <c r="AI207" s="475"/>
      <c r="AJ207" s="475"/>
      <c r="AK207" s="475"/>
      <c r="AL207" s="475"/>
      <c r="AM207" s="475"/>
      <c r="AN207" s="475"/>
      <c r="AO207" s="475"/>
      <c r="AP207" s="475"/>
      <c r="AQ207" s="475"/>
      <c r="AR207" s="475"/>
      <c r="AS207" s="475"/>
      <c r="AT207" s="475"/>
      <c r="AU207" s="475"/>
      <c r="AV207" s="475"/>
      <c r="AW207" s="475"/>
      <c r="AX207" s="475"/>
      <c r="AY207" s="475"/>
      <c r="AZ207" s="475"/>
      <c r="BA207" s="475"/>
      <c r="BB207" s="475"/>
      <c r="BC207" s="475"/>
      <c r="BD207" s="475"/>
      <c r="BE207" s="475"/>
      <c r="BF207" s="475"/>
      <c r="BG207" s="475"/>
      <c r="BH207" s="475"/>
      <c r="BI207" s="475"/>
      <c r="BJ207" s="475"/>
      <c r="BK207" s="475"/>
      <c r="BL207" s="475"/>
      <c r="BM207" s="475"/>
      <c r="BN207" s="475"/>
      <c r="BO207" s="475"/>
      <c r="BP207" s="475"/>
      <c r="BQ207" s="475"/>
      <c r="BR207" s="475"/>
      <c r="BS207" s="475"/>
      <c r="BT207" s="475"/>
      <c r="BU207" s="475"/>
      <c r="BV207" s="475"/>
      <c r="BW207" s="475"/>
      <c r="BX207" s="475"/>
      <c r="BY207" s="475"/>
      <c r="BZ207" s="475"/>
      <c r="CA207" s="475"/>
      <c r="CB207" s="475"/>
      <c r="CC207" s="475"/>
    </row>
    <row r="208" customFormat="false" ht="30" hidden="false" customHeight="true" outlineLevel="0" collapsed="false">
      <c r="A208" s="449" t="s">
        <v>1234</v>
      </c>
      <c r="B208" s="460"/>
      <c r="C208" s="460"/>
      <c r="D208" s="538"/>
      <c r="E208" s="461"/>
      <c r="F208" s="461"/>
      <c r="G208" s="486"/>
      <c r="H208" s="490"/>
      <c r="I208" s="484"/>
      <c r="J208" s="484"/>
      <c r="K208" s="484"/>
      <c r="L208" s="464"/>
      <c r="M208" s="492"/>
      <c r="N208" s="485"/>
      <c r="O208" s="466"/>
      <c r="P208" s="466"/>
      <c r="Q208" s="467"/>
      <c r="R208" s="467"/>
      <c r="S208" s="467"/>
      <c r="T208" s="466"/>
      <c r="U208" s="468"/>
      <c r="V208" s="469"/>
      <c r="W208" s="471"/>
      <c r="X208" s="471"/>
      <c r="Y208" s="471"/>
      <c r="Z208" s="471"/>
      <c r="AA208" s="547"/>
      <c r="AB208" s="473"/>
      <c r="AC208" s="473"/>
      <c r="AD208" s="466"/>
      <c r="AE208" s="466"/>
      <c r="AF208" s="466"/>
      <c r="AG208" s="478"/>
      <c r="AH208" s="475"/>
      <c r="AI208" s="475"/>
      <c r="AJ208" s="475"/>
      <c r="AK208" s="475"/>
      <c r="AL208" s="475"/>
      <c r="AM208" s="475"/>
      <c r="AN208" s="475"/>
      <c r="AO208" s="475"/>
      <c r="AP208" s="475"/>
      <c r="AQ208" s="475"/>
      <c r="AR208" s="475"/>
      <c r="AS208" s="475"/>
      <c r="AT208" s="475"/>
      <c r="AU208" s="475"/>
      <c r="AV208" s="475"/>
      <c r="AW208" s="475"/>
      <c r="AX208" s="475"/>
      <c r="AY208" s="475"/>
      <c r="AZ208" s="475"/>
      <c r="BA208" s="475"/>
      <c r="BB208" s="475"/>
      <c r="BC208" s="475"/>
      <c r="BD208" s="475"/>
      <c r="BE208" s="475"/>
      <c r="BF208" s="475"/>
      <c r="BG208" s="475"/>
      <c r="BH208" s="475"/>
      <c r="BI208" s="475"/>
      <c r="BJ208" s="475"/>
      <c r="BK208" s="475"/>
      <c r="BL208" s="475"/>
      <c r="BM208" s="475"/>
      <c r="BN208" s="475"/>
      <c r="BO208" s="475"/>
      <c r="BP208" s="475"/>
      <c r="BQ208" s="475"/>
      <c r="BR208" s="475"/>
      <c r="BS208" s="475"/>
      <c r="BT208" s="475"/>
      <c r="BU208" s="475"/>
      <c r="BV208" s="475"/>
      <c r="BW208" s="475"/>
      <c r="BX208" s="475"/>
      <c r="BY208" s="475"/>
      <c r="BZ208" s="475"/>
      <c r="CA208" s="475"/>
      <c r="CB208" s="475"/>
      <c r="CC208" s="475"/>
    </row>
    <row r="209" customFormat="false" ht="30" hidden="false" customHeight="true" outlineLevel="0" collapsed="false">
      <c r="A209" s="449" t="s">
        <v>1235</v>
      </c>
      <c r="B209" s="460"/>
      <c r="C209" s="460"/>
      <c r="D209" s="538"/>
      <c r="E209" s="461"/>
      <c r="F209" s="461"/>
      <c r="G209" s="486"/>
      <c r="H209" s="490"/>
      <c r="I209" s="484"/>
      <c r="J209" s="484"/>
      <c r="K209" s="484"/>
      <c r="L209" s="464"/>
      <c r="M209" s="465"/>
      <c r="N209" s="485"/>
      <c r="O209" s="466"/>
      <c r="P209" s="466"/>
      <c r="Q209" s="467"/>
      <c r="R209" s="467"/>
      <c r="S209" s="467"/>
      <c r="T209" s="466"/>
      <c r="U209" s="468"/>
      <c r="V209" s="469"/>
      <c r="W209" s="471"/>
      <c r="X209" s="471"/>
      <c r="Y209" s="471"/>
      <c r="Z209" s="471"/>
      <c r="AA209" s="547"/>
      <c r="AB209" s="466"/>
      <c r="AC209" s="466"/>
      <c r="AD209" s="466"/>
      <c r="AE209" s="466"/>
      <c r="AF209" s="466"/>
      <c r="AG209" s="478"/>
      <c r="AH209" s="475"/>
      <c r="AI209" s="475"/>
      <c r="AJ209" s="475"/>
      <c r="AK209" s="475"/>
      <c r="AL209" s="475"/>
      <c r="AM209" s="475"/>
      <c r="AN209" s="475"/>
      <c r="AO209" s="475"/>
      <c r="AP209" s="475"/>
      <c r="AQ209" s="475"/>
      <c r="AR209" s="475"/>
      <c r="AS209" s="475"/>
      <c r="AT209" s="475"/>
      <c r="AU209" s="475"/>
      <c r="AV209" s="475"/>
      <c r="AW209" s="475"/>
      <c r="AX209" s="475"/>
      <c r="AY209" s="475"/>
      <c r="AZ209" s="475"/>
      <c r="BA209" s="475"/>
      <c r="BB209" s="475"/>
      <c r="BC209" s="475"/>
      <c r="BD209" s="475"/>
      <c r="BE209" s="475"/>
      <c r="BF209" s="475"/>
      <c r="BG209" s="475"/>
      <c r="BH209" s="475"/>
      <c r="BI209" s="475"/>
      <c r="BJ209" s="475"/>
      <c r="BK209" s="475"/>
      <c r="BL209" s="475"/>
      <c r="BM209" s="475"/>
      <c r="BN209" s="475"/>
      <c r="BO209" s="475"/>
      <c r="BP209" s="475"/>
      <c r="BQ209" s="475"/>
      <c r="BR209" s="475"/>
      <c r="BS209" s="475"/>
      <c r="BT209" s="475"/>
      <c r="BU209" s="475"/>
      <c r="BV209" s="475"/>
      <c r="BW209" s="475"/>
      <c r="BX209" s="475"/>
      <c r="BY209" s="475"/>
      <c r="BZ209" s="475"/>
      <c r="CA209" s="475"/>
      <c r="CB209" s="475"/>
      <c r="CC209" s="475"/>
    </row>
    <row r="210" customFormat="false" ht="30" hidden="false" customHeight="true" outlineLevel="0" collapsed="false">
      <c r="A210" s="449" t="s">
        <v>1236</v>
      </c>
      <c r="B210" s="460"/>
      <c r="C210" s="460"/>
      <c r="D210" s="538"/>
      <c r="E210" s="461"/>
      <c r="F210" s="461"/>
      <c r="G210" s="486"/>
      <c r="H210" s="490"/>
      <c r="I210" s="484"/>
      <c r="J210" s="484"/>
      <c r="K210" s="484"/>
      <c r="L210" s="464"/>
      <c r="M210" s="465"/>
      <c r="N210" s="485"/>
      <c r="O210" s="466"/>
      <c r="P210" s="466"/>
      <c r="Q210" s="467"/>
      <c r="R210" s="467"/>
      <c r="S210" s="467"/>
      <c r="T210" s="466"/>
      <c r="U210" s="468"/>
      <c r="V210" s="469"/>
      <c r="W210" s="471"/>
      <c r="X210" s="471"/>
      <c r="Y210" s="471"/>
      <c r="Z210" s="471"/>
      <c r="AA210" s="547"/>
      <c r="AB210" s="466"/>
      <c r="AC210" s="466"/>
      <c r="AD210" s="466"/>
      <c r="AE210" s="466"/>
      <c r="AF210" s="466"/>
      <c r="AG210" s="478"/>
      <c r="AH210" s="475"/>
      <c r="AI210" s="475"/>
      <c r="AJ210" s="475"/>
      <c r="AK210" s="475"/>
      <c r="AL210" s="475"/>
      <c r="AM210" s="475"/>
      <c r="AN210" s="475"/>
      <c r="AO210" s="475"/>
      <c r="AP210" s="475"/>
      <c r="AQ210" s="475"/>
      <c r="AR210" s="475"/>
      <c r="AS210" s="475"/>
      <c r="AT210" s="475"/>
      <c r="AU210" s="475"/>
      <c r="AV210" s="475"/>
      <c r="AW210" s="475"/>
      <c r="AX210" s="475"/>
      <c r="AY210" s="475"/>
      <c r="AZ210" s="475"/>
      <c r="BA210" s="475"/>
      <c r="BB210" s="475"/>
      <c r="BC210" s="475"/>
      <c r="BD210" s="475"/>
      <c r="BE210" s="475"/>
      <c r="BF210" s="475"/>
      <c r="BG210" s="475"/>
      <c r="BH210" s="475"/>
      <c r="BI210" s="475"/>
      <c r="BJ210" s="475"/>
      <c r="BK210" s="475"/>
      <c r="BL210" s="475"/>
      <c r="BM210" s="475"/>
      <c r="BN210" s="475"/>
      <c r="BO210" s="475"/>
      <c r="BP210" s="475"/>
      <c r="BQ210" s="475"/>
      <c r="BR210" s="475"/>
      <c r="BS210" s="475"/>
      <c r="BT210" s="475"/>
      <c r="BU210" s="475"/>
      <c r="BV210" s="475"/>
      <c r="BW210" s="475"/>
      <c r="BX210" s="475"/>
      <c r="BY210" s="475"/>
      <c r="BZ210" s="475"/>
      <c r="CA210" s="475"/>
      <c r="CB210" s="475"/>
      <c r="CC210" s="475"/>
    </row>
    <row r="211" customFormat="false" ht="30" hidden="false" customHeight="true" outlineLevel="0" collapsed="false">
      <c r="A211" s="449" t="s">
        <v>1237</v>
      </c>
      <c r="B211" s="460"/>
      <c r="C211" s="460"/>
      <c r="D211" s="538"/>
      <c r="E211" s="461"/>
      <c r="F211" s="461"/>
      <c r="G211" s="486"/>
      <c r="H211" s="490"/>
      <c r="I211" s="484"/>
      <c r="J211" s="484"/>
      <c r="K211" s="484"/>
      <c r="L211" s="464"/>
      <c r="M211" s="484"/>
      <c r="N211" s="484"/>
      <c r="O211" s="466"/>
      <c r="P211" s="484"/>
      <c r="Q211" s="467"/>
      <c r="R211" s="467"/>
      <c r="S211" s="467"/>
      <c r="T211" s="466"/>
      <c r="U211" s="468"/>
      <c r="V211" s="469"/>
      <c r="W211" s="471"/>
      <c r="X211" s="471"/>
      <c r="Y211" s="471"/>
      <c r="Z211" s="471"/>
      <c r="AA211" s="471"/>
      <c r="AB211" s="466"/>
      <c r="AC211" s="466"/>
      <c r="AD211" s="466"/>
      <c r="AE211" s="466"/>
      <c r="AF211" s="466"/>
      <c r="AG211" s="478"/>
      <c r="AH211" s="475"/>
      <c r="AI211" s="475"/>
      <c r="AJ211" s="475"/>
      <c r="AK211" s="475"/>
      <c r="AL211" s="475"/>
      <c r="AM211" s="475"/>
      <c r="AN211" s="475"/>
      <c r="AO211" s="475"/>
      <c r="AP211" s="475"/>
      <c r="AQ211" s="475"/>
      <c r="AR211" s="475"/>
      <c r="AS211" s="475"/>
      <c r="AT211" s="475"/>
      <c r="AU211" s="475"/>
      <c r="AV211" s="475"/>
      <c r="AW211" s="475"/>
      <c r="AX211" s="475"/>
      <c r="AY211" s="475"/>
      <c r="AZ211" s="475"/>
      <c r="BA211" s="475"/>
      <c r="BB211" s="475"/>
      <c r="BC211" s="475"/>
      <c r="BD211" s="475"/>
      <c r="BE211" s="475"/>
      <c r="BF211" s="475"/>
      <c r="BG211" s="475"/>
      <c r="BH211" s="475"/>
      <c r="BI211" s="475"/>
      <c r="BJ211" s="475"/>
      <c r="BK211" s="475"/>
      <c r="BL211" s="475"/>
      <c r="BM211" s="475"/>
      <c r="BN211" s="475"/>
      <c r="BO211" s="475"/>
      <c r="BP211" s="475"/>
      <c r="BQ211" s="475"/>
      <c r="BR211" s="475"/>
      <c r="BS211" s="475"/>
      <c r="BT211" s="475"/>
      <c r="BU211" s="475"/>
      <c r="BV211" s="475"/>
      <c r="BW211" s="475"/>
      <c r="BX211" s="475"/>
      <c r="BY211" s="475"/>
      <c r="BZ211" s="475"/>
      <c r="CA211" s="475"/>
      <c r="CB211" s="475"/>
      <c r="CC211" s="475"/>
    </row>
    <row r="212" customFormat="false" ht="30" hidden="false" customHeight="true" outlineLevel="0" collapsed="false">
      <c r="A212" s="449" t="s">
        <v>1238</v>
      </c>
      <c r="B212" s="460"/>
      <c r="C212" s="460"/>
      <c r="D212" s="538"/>
      <c r="E212" s="461"/>
      <c r="F212" s="461"/>
      <c r="G212" s="486"/>
      <c r="H212" s="490"/>
      <c r="I212" s="484"/>
      <c r="J212" s="484"/>
      <c r="K212" s="484"/>
      <c r="L212" s="464"/>
      <c r="M212" s="484"/>
      <c r="N212" s="484"/>
      <c r="O212" s="466"/>
      <c r="P212" s="484"/>
      <c r="Q212" s="467"/>
      <c r="R212" s="467"/>
      <c r="S212" s="467"/>
      <c r="T212" s="466"/>
      <c r="U212" s="468"/>
      <c r="V212" s="469"/>
      <c r="W212" s="471"/>
      <c r="X212" s="471"/>
      <c r="Y212" s="471"/>
      <c r="Z212" s="471"/>
      <c r="AA212" s="471"/>
      <c r="AB212" s="466"/>
      <c r="AC212" s="466"/>
      <c r="AD212" s="466"/>
      <c r="AE212" s="466"/>
      <c r="AF212" s="466"/>
      <c r="AG212" s="478"/>
      <c r="AH212" s="475"/>
      <c r="AI212" s="475"/>
      <c r="AJ212" s="475"/>
      <c r="AK212" s="475"/>
      <c r="AL212" s="475"/>
      <c r="AM212" s="475"/>
      <c r="AN212" s="475"/>
      <c r="AO212" s="475"/>
      <c r="AP212" s="475"/>
      <c r="AQ212" s="475"/>
      <c r="AR212" s="475"/>
      <c r="AS212" s="475"/>
      <c r="AT212" s="475"/>
      <c r="AU212" s="475"/>
      <c r="AV212" s="475"/>
      <c r="AW212" s="475"/>
      <c r="AX212" s="475"/>
      <c r="AY212" s="475"/>
      <c r="AZ212" s="475"/>
      <c r="BA212" s="475"/>
      <c r="BB212" s="475"/>
      <c r="BC212" s="475"/>
      <c r="BD212" s="475"/>
      <c r="BE212" s="475"/>
      <c r="BF212" s="475"/>
      <c r="BG212" s="475"/>
      <c r="BH212" s="475"/>
      <c r="BI212" s="475"/>
      <c r="BJ212" s="475"/>
      <c r="BK212" s="475"/>
      <c r="BL212" s="475"/>
      <c r="BM212" s="475"/>
      <c r="BN212" s="475"/>
      <c r="BO212" s="475"/>
      <c r="BP212" s="475"/>
      <c r="BQ212" s="475"/>
      <c r="BR212" s="475"/>
      <c r="BS212" s="475"/>
      <c r="BT212" s="475"/>
      <c r="BU212" s="475"/>
      <c r="BV212" s="475"/>
      <c r="BW212" s="475"/>
      <c r="BX212" s="475"/>
      <c r="BY212" s="475"/>
      <c r="BZ212" s="475"/>
      <c r="CA212" s="475"/>
      <c r="CB212" s="475"/>
      <c r="CC212" s="475"/>
    </row>
    <row r="213" customFormat="false" ht="30" hidden="false" customHeight="true" outlineLevel="0" collapsed="false">
      <c r="A213" s="449" t="s">
        <v>1239</v>
      </c>
      <c r="B213" s="460"/>
      <c r="C213" s="460"/>
      <c r="D213" s="538"/>
      <c r="E213" s="461"/>
      <c r="F213" s="461"/>
      <c r="G213" s="486"/>
      <c r="H213" s="490"/>
      <c r="I213" s="484"/>
      <c r="J213" s="484"/>
      <c r="K213" s="484"/>
      <c r="L213" s="464"/>
      <c r="M213" s="484"/>
      <c r="N213" s="484"/>
      <c r="O213" s="466"/>
      <c r="P213" s="484"/>
      <c r="Q213" s="467"/>
      <c r="R213" s="467"/>
      <c r="S213" s="467"/>
      <c r="T213" s="466"/>
      <c r="U213" s="468"/>
      <c r="V213" s="469"/>
      <c r="W213" s="471"/>
      <c r="X213" s="471"/>
      <c r="Y213" s="471"/>
      <c r="Z213" s="471"/>
      <c r="AA213" s="471"/>
      <c r="AB213" s="466"/>
      <c r="AC213" s="466"/>
      <c r="AD213" s="466"/>
      <c r="AE213" s="466"/>
      <c r="AF213" s="466"/>
      <c r="AG213" s="478"/>
      <c r="AH213" s="475"/>
      <c r="AI213" s="475"/>
      <c r="AJ213" s="475"/>
      <c r="AK213" s="475"/>
      <c r="AL213" s="475"/>
      <c r="AM213" s="475"/>
      <c r="AN213" s="475"/>
      <c r="AO213" s="475"/>
      <c r="AP213" s="475"/>
      <c r="AQ213" s="475"/>
      <c r="AR213" s="475"/>
      <c r="AS213" s="475"/>
      <c r="AT213" s="475"/>
      <c r="AU213" s="475"/>
      <c r="AV213" s="475"/>
      <c r="AW213" s="475"/>
      <c r="AX213" s="475"/>
      <c r="AY213" s="475"/>
      <c r="AZ213" s="475"/>
      <c r="BA213" s="475"/>
      <c r="BB213" s="475"/>
      <c r="BC213" s="475"/>
      <c r="BD213" s="475"/>
      <c r="BE213" s="475"/>
      <c r="BF213" s="475"/>
      <c r="BG213" s="475"/>
      <c r="BH213" s="475"/>
      <c r="BI213" s="475"/>
      <c r="BJ213" s="475"/>
      <c r="BK213" s="475"/>
      <c r="BL213" s="475"/>
      <c r="BM213" s="475"/>
      <c r="BN213" s="475"/>
      <c r="BO213" s="475"/>
      <c r="BP213" s="475"/>
      <c r="BQ213" s="475"/>
      <c r="BR213" s="475"/>
      <c r="BS213" s="475"/>
      <c r="BT213" s="475"/>
      <c r="BU213" s="475"/>
      <c r="BV213" s="475"/>
      <c r="BW213" s="475"/>
      <c r="BX213" s="475"/>
      <c r="BY213" s="475"/>
      <c r="BZ213" s="475"/>
      <c r="CA213" s="475"/>
      <c r="CB213" s="475"/>
      <c r="CC213" s="475"/>
    </row>
    <row r="214" customFormat="false" ht="30" hidden="false" customHeight="true" outlineLevel="0" collapsed="false">
      <c r="A214" s="449" t="s">
        <v>1240</v>
      </c>
      <c r="B214" s="460"/>
      <c r="C214" s="460"/>
      <c r="D214" s="538"/>
      <c r="E214" s="461"/>
      <c r="F214" s="461"/>
      <c r="G214" s="486"/>
      <c r="H214" s="490"/>
      <c r="I214" s="484"/>
      <c r="J214" s="484"/>
      <c r="K214" s="484"/>
      <c r="L214" s="464"/>
      <c r="M214" s="533"/>
      <c r="N214" s="484"/>
      <c r="O214" s="466"/>
      <c r="P214" s="484"/>
      <c r="Q214" s="467"/>
      <c r="R214" s="467"/>
      <c r="S214" s="467"/>
      <c r="T214" s="466"/>
      <c r="U214" s="468"/>
      <c r="V214" s="469"/>
      <c r="W214" s="471"/>
      <c r="X214" s="471"/>
      <c r="Y214" s="471"/>
      <c r="Z214" s="471"/>
      <c r="AA214" s="470"/>
      <c r="AB214" s="473"/>
      <c r="AC214" s="473"/>
      <c r="AD214" s="466"/>
      <c r="AE214" s="466"/>
      <c r="AF214" s="484"/>
      <c r="AG214" s="478"/>
      <c r="AH214" s="475"/>
      <c r="AI214" s="475"/>
      <c r="AJ214" s="475"/>
      <c r="AK214" s="475"/>
      <c r="AL214" s="475"/>
      <c r="AM214" s="475"/>
      <c r="AN214" s="475"/>
      <c r="AO214" s="475"/>
      <c r="AP214" s="475"/>
      <c r="AQ214" s="475"/>
      <c r="AR214" s="475"/>
      <c r="AS214" s="475"/>
      <c r="AT214" s="475"/>
      <c r="AU214" s="475"/>
      <c r="AV214" s="475"/>
      <c r="AW214" s="475"/>
      <c r="AX214" s="475"/>
      <c r="AY214" s="475"/>
      <c r="AZ214" s="475"/>
      <c r="BA214" s="475"/>
      <c r="BB214" s="475"/>
      <c r="BC214" s="475"/>
      <c r="BD214" s="475"/>
      <c r="BE214" s="475"/>
      <c r="BF214" s="475"/>
      <c r="BG214" s="475"/>
      <c r="BH214" s="475"/>
      <c r="BI214" s="475"/>
      <c r="BJ214" s="475"/>
      <c r="BK214" s="475"/>
      <c r="BL214" s="475"/>
      <c r="BM214" s="475"/>
      <c r="BN214" s="475"/>
      <c r="BO214" s="475"/>
      <c r="BP214" s="475"/>
      <c r="BQ214" s="475"/>
      <c r="BR214" s="475"/>
      <c r="BS214" s="475"/>
      <c r="BT214" s="475"/>
      <c r="BU214" s="475"/>
      <c r="BV214" s="475"/>
      <c r="BW214" s="475"/>
      <c r="BX214" s="475"/>
      <c r="BY214" s="475"/>
      <c r="BZ214" s="475"/>
      <c r="CA214" s="475"/>
      <c r="CB214" s="475"/>
      <c r="CC214" s="475"/>
    </row>
    <row r="215" customFormat="false" ht="30" hidden="false" customHeight="true" outlineLevel="0" collapsed="false">
      <c r="A215" s="449" t="s">
        <v>1241</v>
      </c>
      <c r="B215" s="460"/>
      <c r="C215" s="460"/>
      <c r="D215" s="538"/>
      <c r="E215" s="461"/>
      <c r="F215" s="461"/>
      <c r="G215" s="486"/>
      <c r="H215" s="490"/>
      <c r="I215" s="484"/>
      <c r="J215" s="484"/>
      <c r="K215" s="484"/>
      <c r="L215" s="464"/>
      <c r="M215" s="484"/>
      <c r="N215" s="484"/>
      <c r="O215" s="466"/>
      <c r="P215" s="484"/>
      <c r="Q215" s="467"/>
      <c r="R215" s="467"/>
      <c r="S215" s="467"/>
      <c r="T215" s="466"/>
      <c r="U215" s="468"/>
      <c r="V215" s="469"/>
      <c r="W215" s="471"/>
      <c r="X215" s="471"/>
      <c r="Y215" s="471"/>
      <c r="Z215" s="471"/>
      <c r="AA215" s="471"/>
      <c r="AB215" s="466"/>
      <c r="AC215" s="466"/>
      <c r="AD215" s="466"/>
      <c r="AE215" s="466"/>
      <c r="AF215" s="466"/>
      <c r="AG215" s="478"/>
      <c r="AH215" s="475"/>
      <c r="AI215" s="475"/>
      <c r="AJ215" s="475"/>
      <c r="AK215" s="475"/>
      <c r="AL215" s="475"/>
      <c r="AM215" s="475"/>
      <c r="AN215" s="475"/>
      <c r="AO215" s="475"/>
      <c r="AP215" s="475"/>
      <c r="AQ215" s="475"/>
      <c r="AR215" s="475"/>
      <c r="AS215" s="475"/>
      <c r="AT215" s="475"/>
      <c r="AU215" s="475"/>
      <c r="AV215" s="475"/>
      <c r="AW215" s="475"/>
      <c r="AX215" s="475"/>
      <c r="AY215" s="475"/>
      <c r="AZ215" s="475"/>
      <c r="BA215" s="475"/>
      <c r="BB215" s="475"/>
      <c r="BC215" s="475"/>
      <c r="BD215" s="475"/>
      <c r="BE215" s="475"/>
      <c r="BF215" s="475"/>
      <c r="BG215" s="475"/>
      <c r="BH215" s="475"/>
      <c r="BI215" s="475"/>
      <c r="BJ215" s="475"/>
      <c r="BK215" s="475"/>
      <c r="BL215" s="475"/>
      <c r="BM215" s="475"/>
      <c r="BN215" s="475"/>
      <c r="BO215" s="475"/>
      <c r="BP215" s="475"/>
      <c r="BQ215" s="475"/>
      <c r="BR215" s="475"/>
      <c r="BS215" s="475"/>
      <c r="BT215" s="475"/>
      <c r="BU215" s="475"/>
      <c r="BV215" s="475"/>
      <c r="BW215" s="475"/>
      <c r="BX215" s="475"/>
      <c r="BY215" s="475"/>
      <c r="BZ215" s="475"/>
      <c r="CA215" s="475"/>
      <c r="CB215" s="475"/>
      <c r="CC215" s="475"/>
    </row>
    <row r="216" customFormat="false" ht="30" hidden="false" customHeight="true" outlineLevel="0" collapsed="false">
      <c r="A216" s="449" t="s">
        <v>1242</v>
      </c>
      <c r="B216" s="460"/>
      <c r="C216" s="460"/>
      <c r="D216" s="259"/>
      <c r="E216" s="461"/>
      <c r="F216" s="461"/>
      <c r="G216" s="486"/>
      <c r="H216" s="490"/>
      <c r="I216" s="484"/>
      <c r="J216" s="484"/>
      <c r="K216" s="484"/>
      <c r="L216" s="464"/>
      <c r="M216" s="484"/>
      <c r="N216" s="484"/>
      <c r="O216" s="466"/>
      <c r="P216" s="484"/>
      <c r="Q216" s="467"/>
      <c r="R216" s="467"/>
      <c r="S216" s="467"/>
      <c r="T216" s="466"/>
      <c r="U216" s="468"/>
      <c r="V216" s="469"/>
      <c r="W216" s="471"/>
      <c r="X216" s="471"/>
      <c r="Y216" s="471"/>
      <c r="Z216" s="471"/>
      <c r="AA216" s="471"/>
      <c r="AB216" s="466"/>
      <c r="AC216" s="466"/>
      <c r="AD216" s="466"/>
      <c r="AE216" s="466"/>
      <c r="AF216" s="466"/>
      <c r="AG216" s="478"/>
      <c r="AH216" s="475"/>
      <c r="AI216" s="475"/>
      <c r="AJ216" s="475"/>
      <c r="AK216" s="475"/>
      <c r="AL216" s="475"/>
      <c r="AM216" s="475"/>
      <c r="AN216" s="475"/>
      <c r="AO216" s="475"/>
      <c r="AP216" s="475"/>
      <c r="AQ216" s="475"/>
      <c r="AR216" s="475"/>
      <c r="AS216" s="475"/>
      <c r="AT216" s="475"/>
      <c r="AU216" s="475"/>
      <c r="AV216" s="475"/>
      <c r="AW216" s="475"/>
      <c r="AX216" s="475"/>
      <c r="AY216" s="475"/>
      <c r="AZ216" s="475"/>
      <c r="BA216" s="475"/>
      <c r="BB216" s="475"/>
      <c r="BC216" s="475"/>
      <c r="BD216" s="475"/>
      <c r="BE216" s="475"/>
      <c r="BF216" s="475"/>
      <c r="BG216" s="475"/>
      <c r="BH216" s="475"/>
      <c r="BI216" s="475"/>
      <c r="BJ216" s="475"/>
      <c r="BK216" s="475"/>
      <c r="BL216" s="475"/>
      <c r="BM216" s="475"/>
      <c r="BN216" s="475"/>
      <c r="BO216" s="475"/>
      <c r="BP216" s="475"/>
      <c r="BQ216" s="475"/>
      <c r="BR216" s="475"/>
      <c r="BS216" s="475"/>
      <c r="BT216" s="475"/>
      <c r="BU216" s="475"/>
      <c r="BV216" s="475"/>
      <c r="BW216" s="475"/>
      <c r="BX216" s="475"/>
      <c r="BY216" s="475"/>
      <c r="BZ216" s="475"/>
      <c r="CA216" s="475"/>
      <c r="CB216" s="475"/>
      <c r="CC216" s="475"/>
    </row>
    <row r="217" customFormat="false" ht="30" hidden="false" customHeight="true" outlineLevel="0" collapsed="false">
      <c r="A217" s="449" t="s">
        <v>1243</v>
      </c>
      <c r="B217" s="460"/>
      <c r="C217" s="460"/>
      <c r="D217" s="259"/>
      <c r="E217" s="461"/>
      <c r="F217" s="461"/>
      <c r="G217" s="486"/>
      <c r="H217" s="490"/>
      <c r="I217" s="484"/>
      <c r="J217" s="484"/>
      <c r="K217" s="484"/>
      <c r="L217" s="464"/>
      <c r="M217" s="484"/>
      <c r="N217" s="484"/>
      <c r="O217" s="466"/>
      <c r="P217" s="484"/>
      <c r="Q217" s="467"/>
      <c r="R217" s="467"/>
      <c r="S217" s="467"/>
      <c r="T217" s="466"/>
      <c r="U217" s="468"/>
      <c r="V217" s="469"/>
      <c r="W217" s="471"/>
      <c r="X217" s="471"/>
      <c r="Y217" s="471"/>
      <c r="Z217" s="471"/>
      <c r="AA217" s="471"/>
      <c r="AB217" s="466"/>
      <c r="AC217" s="466"/>
      <c r="AD217" s="466"/>
      <c r="AE217" s="466"/>
      <c r="AF217" s="466"/>
      <c r="AG217" s="478"/>
      <c r="AH217" s="475"/>
      <c r="AI217" s="475"/>
      <c r="AJ217" s="475"/>
      <c r="AK217" s="475"/>
      <c r="AL217" s="475"/>
      <c r="AM217" s="475"/>
      <c r="AN217" s="475"/>
      <c r="AO217" s="475"/>
      <c r="AP217" s="475"/>
      <c r="AQ217" s="475"/>
      <c r="AR217" s="475"/>
      <c r="AS217" s="475"/>
      <c r="AT217" s="475"/>
      <c r="AU217" s="475"/>
      <c r="AV217" s="475"/>
      <c r="AW217" s="475"/>
      <c r="AX217" s="475"/>
      <c r="AY217" s="475"/>
      <c r="AZ217" s="475"/>
      <c r="BA217" s="475"/>
      <c r="BB217" s="475"/>
      <c r="BC217" s="475"/>
      <c r="BD217" s="475"/>
      <c r="BE217" s="475"/>
      <c r="BF217" s="475"/>
      <c r="BG217" s="475"/>
      <c r="BH217" s="475"/>
      <c r="BI217" s="475"/>
      <c r="BJ217" s="475"/>
      <c r="BK217" s="475"/>
      <c r="BL217" s="475"/>
      <c r="BM217" s="475"/>
      <c r="BN217" s="475"/>
      <c r="BO217" s="475"/>
      <c r="BP217" s="475"/>
      <c r="BQ217" s="475"/>
      <c r="BR217" s="475"/>
      <c r="BS217" s="475"/>
      <c r="BT217" s="475"/>
      <c r="BU217" s="475"/>
      <c r="BV217" s="475"/>
      <c r="BW217" s="475"/>
      <c r="BX217" s="475"/>
      <c r="BY217" s="475"/>
      <c r="BZ217" s="475"/>
      <c r="CA217" s="475"/>
      <c r="CB217" s="475"/>
      <c r="CC217" s="475"/>
    </row>
    <row r="218" customFormat="false" ht="30" hidden="false" customHeight="true" outlineLevel="0" collapsed="false">
      <c r="A218" s="449" t="s">
        <v>1244</v>
      </c>
      <c r="B218" s="460"/>
      <c r="C218" s="460"/>
      <c r="D218" s="259"/>
      <c r="E218" s="461"/>
      <c r="F218" s="461"/>
      <c r="G218" s="486"/>
      <c r="H218" s="490"/>
      <c r="I218" s="484"/>
      <c r="J218" s="484"/>
      <c r="K218" s="484"/>
      <c r="L218" s="464"/>
      <c r="M218" s="484"/>
      <c r="N218" s="484"/>
      <c r="O218" s="466"/>
      <c r="P218" s="484"/>
      <c r="Q218" s="467"/>
      <c r="R218" s="467"/>
      <c r="S218" s="467"/>
      <c r="T218" s="466"/>
      <c r="U218" s="468"/>
      <c r="V218" s="469"/>
      <c r="W218" s="471"/>
      <c r="X218" s="471"/>
      <c r="Y218" s="471"/>
      <c r="Z218" s="471"/>
      <c r="AA218" s="471"/>
      <c r="AB218" s="466"/>
      <c r="AC218" s="466"/>
      <c r="AD218" s="466"/>
      <c r="AE218" s="466"/>
      <c r="AF218" s="466"/>
      <c r="AG218" s="478"/>
      <c r="AH218" s="475"/>
      <c r="AI218" s="475"/>
      <c r="AJ218" s="475"/>
      <c r="AK218" s="475"/>
      <c r="AL218" s="475"/>
      <c r="AM218" s="475"/>
      <c r="AN218" s="475"/>
      <c r="AO218" s="475"/>
      <c r="AP218" s="475"/>
      <c r="AQ218" s="475"/>
      <c r="AR218" s="475"/>
      <c r="AS218" s="475"/>
      <c r="AT218" s="475"/>
      <c r="AU218" s="475"/>
      <c r="AV218" s="475"/>
      <c r="AW218" s="475"/>
      <c r="AX218" s="475"/>
      <c r="AY218" s="475"/>
      <c r="AZ218" s="475"/>
      <c r="BA218" s="475"/>
      <c r="BB218" s="475"/>
      <c r="BC218" s="475"/>
      <c r="BD218" s="475"/>
      <c r="BE218" s="475"/>
      <c r="BF218" s="475"/>
      <c r="BG218" s="475"/>
      <c r="BH218" s="475"/>
      <c r="BI218" s="475"/>
      <c r="BJ218" s="475"/>
      <c r="BK218" s="475"/>
      <c r="BL218" s="475"/>
      <c r="BM218" s="475"/>
      <c r="BN218" s="475"/>
      <c r="BO218" s="475"/>
      <c r="BP218" s="475"/>
      <c r="BQ218" s="475"/>
      <c r="BR218" s="475"/>
      <c r="BS218" s="475"/>
      <c r="BT218" s="475"/>
      <c r="BU218" s="475"/>
      <c r="BV218" s="475"/>
      <c r="BW218" s="475"/>
      <c r="BX218" s="475"/>
      <c r="BY218" s="475"/>
      <c r="BZ218" s="475"/>
      <c r="CA218" s="475"/>
      <c r="CB218" s="475"/>
      <c r="CC218" s="475"/>
    </row>
    <row r="219" customFormat="false" ht="30" hidden="false" customHeight="true" outlineLevel="0" collapsed="false">
      <c r="A219" s="449" t="s">
        <v>1245</v>
      </c>
      <c r="B219" s="460"/>
      <c r="C219" s="460"/>
      <c r="D219" s="259"/>
      <c r="E219" s="461"/>
      <c r="F219" s="461"/>
      <c r="G219" s="486"/>
      <c r="H219" s="490"/>
      <c r="I219" s="484"/>
      <c r="J219" s="484"/>
      <c r="K219" s="484"/>
      <c r="L219" s="464"/>
      <c r="M219" s="484"/>
      <c r="N219" s="484"/>
      <c r="O219" s="466"/>
      <c r="P219" s="484"/>
      <c r="Q219" s="467"/>
      <c r="R219" s="467"/>
      <c r="S219" s="467"/>
      <c r="T219" s="466"/>
      <c r="U219" s="468"/>
      <c r="V219" s="491"/>
      <c r="W219" s="471"/>
      <c r="X219" s="471"/>
      <c r="Y219" s="471"/>
      <c r="Z219" s="471"/>
      <c r="AA219" s="471"/>
      <c r="AB219" s="466"/>
      <c r="AC219" s="466"/>
      <c r="AD219" s="466"/>
      <c r="AE219" s="466"/>
      <c r="AF219" s="466"/>
      <c r="AG219" s="478"/>
      <c r="AH219" s="475"/>
      <c r="AI219" s="475"/>
      <c r="AJ219" s="475"/>
      <c r="AK219" s="475"/>
      <c r="AL219" s="475"/>
      <c r="AM219" s="475"/>
      <c r="AN219" s="475"/>
      <c r="AO219" s="475"/>
      <c r="AP219" s="475"/>
      <c r="AQ219" s="475"/>
      <c r="AR219" s="475"/>
      <c r="AS219" s="475"/>
      <c r="AT219" s="475"/>
      <c r="AU219" s="475"/>
      <c r="AV219" s="475"/>
      <c r="AW219" s="475"/>
      <c r="AX219" s="475"/>
      <c r="AY219" s="475"/>
      <c r="AZ219" s="475"/>
      <c r="BA219" s="475"/>
      <c r="BB219" s="475"/>
      <c r="BC219" s="475"/>
      <c r="BD219" s="475"/>
      <c r="BE219" s="475"/>
      <c r="BF219" s="475"/>
      <c r="BG219" s="475"/>
      <c r="BH219" s="475"/>
      <c r="BI219" s="475"/>
      <c r="BJ219" s="475"/>
      <c r="BK219" s="475"/>
      <c r="BL219" s="475"/>
      <c r="BM219" s="475"/>
      <c r="BN219" s="475"/>
      <c r="BO219" s="475"/>
      <c r="BP219" s="475"/>
      <c r="BQ219" s="475"/>
      <c r="BR219" s="475"/>
      <c r="BS219" s="475"/>
      <c r="BT219" s="475"/>
      <c r="BU219" s="475"/>
      <c r="BV219" s="475"/>
      <c r="BW219" s="475"/>
      <c r="BX219" s="475"/>
      <c r="BY219" s="475"/>
      <c r="BZ219" s="475"/>
      <c r="CA219" s="475"/>
      <c r="CB219" s="475"/>
      <c r="CC219" s="475"/>
    </row>
    <row r="220" customFormat="false" ht="30" hidden="false" customHeight="true" outlineLevel="0" collapsed="false">
      <c r="A220" s="449" t="s">
        <v>1246</v>
      </c>
      <c r="B220" s="460"/>
      <c r="C220" s="460"/>
      <c r="D220" s="259"/>
      <c r="E220" s="461"/>
      <c r="F220" s="461"/>
      <c r="G220" s="486"/>
      <c r="H220" s="490"/>
      <c r="I220" s="484"/>
      <c r="J220" s="484"/>
      <c r="K220" s="484"/>
      <c r="L220" s="464"/>
      <c r="M220" s="484"/>
      <c r="N220" s="484"/>
      <c r="O220" s="466"/>
      <c r="P220" s="484"/>
      <c r="Q220" s="467"/>
      <c r="R220" s="467"/>
      <c r="S220" s="467"/>
      <c r="T220" s="466"/>
      <c r="U220" s="468"/>
      <c r="V220" s="491"/>
      <c r="W220" s="471"/>
      <c r="X220" s="471"/>
      <c r="Y220" s="471"/>
      <c r="Z220" s="471"/>
      <c r="AA220" s="471"/>
      <c r="AB220" s="466"/>
      <c r="AC220" s="466"/>
      <c r="AD220" s="466"/>
      <c r="AE220" s="466"/>
      <c r="AF220" s="466"/>
      <c r="AG220" s="478"/>
      <c r="AH220" s="475"/>
      <c r="AI220" s="475"/>
      <c r="AJ220" s="475"/>
      <c r="AK220" s="475"/>
      <c r="AL220" s="475"/>
      <c r="AM220" s="475"/>
      <c r="AN220" s="475"/>
      <c r="AO220" s="475"/>
      <c r="AP220" s="475"/>
      <c r="AQ220" s="475"/>
      <c r="AR220" s="475"/>
      <c r="AS220" s="475"/>
      <c r="AT220" s="475"/>
      <c r="AU220" s="475"/>
      <c r="AV220" s="475"/>
      <c r="AW220" s="475"/>
      <c r="AX220" s="475"/>
      <c r="AY220" s="475"/>
      <c r="AZ220" s="475"/>
      <c r="BA220" s="475"/>
      <c r="BB220" s="475"/>
      <c r="BC220" s="475"/>
      <c r="BD220" s="475"/>
      <c r="BE220" s="475"/>
      <c r="BF220" s="475"/>
      <c r="BG220" s="475"/>
      <c r="BH220" s="475"/>
      <c r="BI220" s="475"/>
      <c r="BJ220" s="475"/>
      <c r="BK220" s="475"/>
      <c r="BL220" s="475"/>
      <c r="BM220" s="475"/>
      <c r="BN220" s="475"/>
      <c r="BO220" s="475"/>
      <c r="BP220" s="475"/>
      <c r="BQ220" s="475"/>
      <c r="BR220" s="475"/>
      <c r="BS220" s="475"/>
      <c r="BT220" s="475"/>
      <c r="BU220" s="475"/>
      <c r="BV220" s="475"/>
      <c r="BW220" s="475"/>
      <c r="BX220" s="475"/>
      <c r="BY220" s="475"/>
      <c r="BZ220" s="475"/>
      <c r="CA220" s="475"/>
      <c r="CB220" s="475"/>
      <c r="CC220" s="475"/>
    </row>
    <row r="221" customFormat="false" ht="30" hidden="false" customHeight="true" outlineLevel="0" collapsed="false">
      <c r="A221" s="449" t="s">
        <v>1247</v>
      </c>
      <c r="B221" s="460"/>
      <c r="C221" s="460"/>
      <c r="D221" s="259"/>
      <c r="E221" s="461"/>
      <c r="F221" s="461"/>
      <c r="G221" s="486"/>
      <c r="H221" s="490"/>
      <c r="I221" s="484"/>
      <c r="J221" s="484"/>
      <c r="K221" s="484"/>
      <c r="L221" s="464"/>
      <c r="M221" s="484"/>
      <c r="N221" s="484"/>
      <c r="O221" s="466"/>
      <c r="P221" s="484"/>
      <c r="Q221" s="467"/>
      <c r="R221" s="467"/>
      <c r="S221" s="467"/>
      <c r="T221" s="466"/>
      <c r="U221" s="468"/>
      <c r="V221" s="469"/>
      <c r="W221" s="471"/>
      <c r="X221" s="471"/>
      <c r="Y221" s="471"/>
      <c r="Z221" s="471"/>
      <c r="AA221" s="471"/>
      <c r="AB221" s="466"/>
      <c r="AC221" s="466"/>
      <c r="AD221" s="466"/>
      <c r="AE221" s="466"/>
      <c r="AF221" s="466"/>
      <c r="AG221" s="478"/>
      <c r="AH221" s="475"/>
      <c r="AI221" s="475"/>
      <c r="AJ221" s="475"/>
      <c r="AK221" s="475"/>
      <c r="AL221" s="475"/>
      <c r="AM221" s="475"/>
      <c r="AN221" s="475"/>
      <c r="AO221" s="475"/>
      <c r="AP221" s="475"/>
      <c r="AQ221" s="475"/>
      <c r="AR221" s="475"/>
      <c r="AS221" s="475"/>
      <c r="AT221" s="475"/>
      <c r="AU221" s="475"/>
      <c r="AV221" s="475"/>
      <c r="AW221" s="475"/>
      <c r="AX221" s="475"/>
      <c r="AY221" s="475"/>
      <c r="AZ221" s="475"/>
      <c r="BA221" s="475"/>
      <c r="BB221" s="475"/>
      <c r="BC221" s="475"/>
      <c r="BD221" s="475"/>
      <c r="BE221" s="475"/>
      <c r="BF221" s="475"/>
      <c r="BG221" s="475"/>
      <c r="BH221" s="475"/>
      <c r="BI221" s="475"/>
      <c r="BJ221" s="475"/>
      <c r="BK221" s="475"/>
      <c r="BL221" s="475"/>
      <c r="BM221" s="475"/>
      <c r="BN221" s="475"/>
      <c r="BO221" s="475"/>
      <c r="BP221" s="475"/>
      <c r="BQ221" s="475"/>
      <c r="BR221" s="475"/>
      <c r="BS221" s="475"/>
      <c r="BT221" s="475"/>
      <c r="BU221" s="475"/>
      <c r="BV221" s="475"/>
      <c r="BW221" s="475"/>
      <c r="BX221" s="475"/>
      <c r="BY221" s="475"/>
      <c r="BZ221" s="475"/>
      <c r="CA221" s="475"/>
      <c r="CB221" s="475"/>
      <c r="CC221" s="475"/>
    </row>
    <row r="222" customFormat="false" ht="30" hidden="false" customHeight="true" outlineLevel="0" collapsed="false">
      <c r="A222" s="449" t="s">
        <v>1248</v>
      </c>
      <c r="B222" s="460"/>
      <c r="C222" s="460"/>
      <c r="D222" s="259"/>
      <c r="E222" s="461"/>
      <c r="F222" s="461"/>
      <c r="G222" s="486"/>
      <c r="H222" s="490"/>
      <c r="I222" s="484"/>
      <c r="J222" s="484"/>
      <c r="K222" s="484"/>
      <c r="L222" s="464"/>
      <c r="M222" s="484"/>
      <c r="N222" s="484"/>
      <c r="O222" s="466"/>
      <c r="P222" s="484"/>
      <c r="Q222" s="467"/>
      <c r="R222" s="467"/>
      <c r="S222" s="467"/>
      <c r="T222" s="466"/>
      <c r="U222" s="468"/>
      <c r="V222" s="469"/>
      <c r="W222" s="471"/>
      <c r="X222" s="471"/>
      <c r="Y222" s="471"/>
      <c r="Z222" s="471"/>
      <c r="AA222" s="471"/>
      <c r="AB222" s="466"/>
      <c r="AC222" s="466"/>
      <c r="AD222" s="466"/>
      <c r="AE222" s="466"/>
      <c r="AF222" s="466"/>
      <c r="AG222" s="478"/>
      <c r="AH222" s="475"/>
      <c r="AI222" s="475"/>
      <c r="AJ222" s="475"/>
      <c r="AK222" s="475"/>
      <c r="AL222" s="475"/>
      <c r="AM222" s="475"/>
      <c r="AN222" s="475"/>
      <c r="AO222" s="475"/>
      <c r="AP222" s="475"/>
      <c r="AQ222" s="475"/>
      <c r="AR222" s="475"/>
      <c r="AS222" s="475"/>
      <c r="AT222" s="475"/>
      <c r="AU222" s="475"/>
      <c r="AV222" s="475"/>
      <c r="AW222" s="475"/>
      <c r="AX222" s="475"/>
      <c r="AY222" s="475"/>
      <c r="AZ222" s="475"/>
      <c r="BA222" s="475"/>
      <c r="BB222" s="475"/>
      <c r="BC222" s="475"/>
      <c r="BD222" s="475"/>
      <c r="BE222" s="475"/>
      <c r="BF222" s="475"/>
      <c r="BG222" s="475"/>
      <c r="BH222" s="475"/>
      <c r="BI222" s="475"/>
      <c r="BJ222" s="475"/>
      <c r="BK222" s="475"/>
      <c r="BL222" s="475"/>
      <c r="BM222" s="475"/>
      <c r="BN222" s="475"/>
      <c r="BO222" s="475"/>
      <c r="BP222" s="475"/>
      <c r="BQ222" s="475"/>
      <c r="BR222" s="475"/>
      <c r="BS222" s="475"/>
      <c r="BT222" s="475"/>
      <c r="BU222" s="475"/>
      <c r="BV222" s="475"/>
      <c r="BW222" s="475"/>
      <c r="BX222" s="475"/>
      <c r="BY222" s="475"/>
      <c r="BZ222" s="475"/>
      <c r="CA222" s="475"/>
      <c r="CB222" s="475"/>
      <c r="CC222" s="475"/>
    </row>
    <row r="223" customFormat="false" ht="30" hidden="false" customHeight="true" outlineLevel="0" collapsed="false">
      <c r="A223" s="449" t="s">
        <v>1249</v>
      </c>
      <c r="B223" s="460"/>
      <c r="C223" s="460"/>
      <c r="D223" s="259"/>
      <c r="E223" s="461"/>
      <c r="F223" s="461"/>
      <c r="G223" s="486"/>
      <c r="H223" s="490"/>
      <c r="I223" s="484"/>
      <c r="J223" s="484"/>
      <c r="K223" s="484"/>
      <c r="L223" s="464"/>
      <c r="M223" s="484"/>
      <c r="N223" s="484"/>
      <c r="O223" s="466"/>
      <c r="P223" s="484"/>
      <c r="Q223" s="467"/>
      <c r="R223" s="467"/>
      <c r="S223" s="467"/>
      <c r="T223" s="466"/>
      <c r="U223" s="468"/>
      <c r="V223" s="469"/>
      <c r="W223" s="471"/>
      <c r="X223" s="471"/>
      <c r="Y223" s="471"/>
      <c r="Z223" s="471"/>
      <c r="AA223" s="471"/>
      <c r="AB223" s="466"/>
      <c r="AC223" s="466"/>
      <c r="AD223" s="466"/>
      <c r="AE223" s="466"/>
      <c r="AF223" s="466"/>
      <c r="AG223" s="478"/>
      <c r="AH223" s="475"/>
      <c r="AI223" s="475"/>
      <c r="AJ223" s="475"/>
      <c r="AK223" s="475"/>
      <c r="AL223" s="475"/>
      <c r="AM223" s="475"/>
      <c r="AN223" s="475"/>
      <c r="AO223" s="475"/>
      <c r="AP223" s="475"/>
      <c r="AQ223" s="475"/>
      <c r="AR223" s="475"/>
      <c r="AS223" s="475"/>
      <c r="AT223" s="475"/>
      <c r="AU223" s="475"/>
      <c r="AV223" s="475"/>
      <c r="AW223" s="475"/>
      <c r="AX223" s="475"/>
      <c r="AY223" s="475"/>
      <c r="AZ223" s="475"/>
      <c r="BA223" s="475"/>
      <c r="BB223" s="475"/>
      <c r="BC223" s="475"/>
      <c r="BD223" s="475"/>
      <c r="BE223" s="475"/>
      <c r="BF223" s="475"/>
      <c r="BG223" s="475"/>
      <c r="BH223" s="475"/>
      <c r="BI223" s="475"/>
      <c r="BJ223" s="475"/>
      <c r="BK223" s="475"/>
      <c r="BL223" s="475"/>
      <c r="BM223" s="475"/>
      <c r="BN223" s="475"/>
      <c r="BO223" s="475"/>
      <c r="BP223" s="475"/>
      <c r="BQ223" s="475"/>
      <c r="BR223" s="475"/>
      <c r="BS223" s="475"/>
      <c r="BT223" s="475"/>
      <c r="BU223" s="475"/>
      <c r="BV223" s="475"/>
      <c r="BW223" s="475"/>
      <c r="BX223" s="475"/>
      <c r="BY223" s="475"/>
      <c r="BZ223" s="475"/>
      <c r="CA223" s="475"/>
      <c r="CB223" s="475"/>
      <c r="CC223" s="475"/>
    </row>
    <row r="224" customFormat="false" ht="30" hidden="false" customHeight="true" outlineLevel="0" collapsed="false">
      <c r="A224" s="449" t="s">
        <v>1250</v>
      </c>
      <c r="B224" s="460"/>
      <c r="C224" s="460"/>
      <c r="D224" s="259"/>
      <c r="E224" s="461"/>
      <c r="F224" s="461"/>
      <c r="G224" s="486"/>
      <c r="H224" s="490"/>
      <c r="I224" s="484"/>
      <c r="J224" s="484"/>
      <c r="K224" s="484"/>
      <c r="L224" s="464"/>
      <c r="M224" s="484"/>
      <c r="N224" s="484"/>
      <c r="O224" s="466"/>
      <c r="P224" s="484"/>
      <c r="Q224" s="467"/>
      <c r="R224" s="467"/>
      <c r="S224" s="467"/>
      <c r="T224" s="466"/>
      <c r="U224" s="468"/>
      <c r="V224" s="469"/>
      <c r="W224" s="471"/>
      <c r="X224" s="471"/>
      <c r="Y224" s="471"/>
      <c r="Z224" s="471"/>
      <c r="AA224" s="471"/>
      <c r="AB224" s="466"/>
      <c r="AC224" s="466"/>
      <c r="AD224" s="466"/>
      <c r="AE224" s="466"/>
      <c r="AF224" s="466"/>
      <c r="AG224" s="478"/>
      <c r="AH224" s="475"/>
      <c r="AI224" s="475"/>
      <c r="AJ224" s="475"/>
      <c r="AK224" s="475"/>
      <c r="AL224" s="475"/>
      <c r="AM224" s="475"/>
      <c r="AN224" s="475"/>
      <c r="AO224" s="475"/>
      <c r="AP224" s="475"/>
      <c r="AQ224" s="475"/>
      <c r="AR224" s="475"/>
      <c r="AS224" s="475"/>
      <c r="AT224" s="475"/>
      <c r="AU224" s="475"/>
      <c r="AV224" s="475"/>
      <c r="AW224" s="475"/>
      <c r="AX224" s="475"/>
      <c r="AY224" s="475"/>
      <c r="AZ224" s="475"/>
      <c r="BA224" s="475"/>
      <c r="BB224" s="475"/>
      <c r="BC224" s="475"/>
      <c r="BD224" s="475"/>
      <c r="BE224" s="475"/>
      <c r="BF224" s="475"/>
      <c r="BG224" s="475"/>
      <c r="BH224" s="475"/>
      <c r="BI224" s="475"/>
      <c r="BJ224" s="475"/>
      <c r="BK224" s="475"/>
      <c r="BL224" s="475"/>
      <c r="BM224" s="475"/>
      <c r="BN224" s="475"/>
      <c r="BO224" s="475"/>
      <c r="BP224" s="475"/>
      <c r="BQ224" s="475"/>
      <c r="BR224" s="475"/>
      <c r="BS224" s="475"/>
      <c r="BT224" s="475"/>
      <c r="BU224" s="475"/>
      <c r="BV224" s="475"/>
      <c r="BW224" s="475"/>
      <c r="BX224" s="475"/>
      <c r="BY224" s="475"/>
      <c r="BZ224" s="475"/>
      <c r="CA224" s="475"/>
      <c r="CB224" s="475"/>
      <c r="CC224" s="475"/>
    </row>
    <row r="225" customFormat="false" ht="30" hidden="false" customHeight="true" outlineLevel="0" collapsed="false">
      <c r="A225" s="449" t="s">
        <v>1251</v>
      </c>
      <c r="B225" s="460"/>
      <c r="C225" s="460"/>
      <c r="D225" s="488"/>
      <c r="E225" s="461"/>
      <c r="F225" s="461"/>
      <c r="G225" s="486"/>
      <c r="H225" s="490"/>
      <c r="I225" s="484"/>
      <c r="J225" s="484"/>
      <c r="K225" s="484"/>
      <c r="L225" s="464"/>
      <c r="M225" s="484"/>
      <c r="N225" s="488"/>
      <c r="O225" s="466"/>
      <c r="P225" s="466"/>
      <c r="Q225" s="467"/>
      <c r="R225" s="467"/>
      <c r="S225" s="467"/>
      <c r="T225" s="466"/>
      <c r="U225" s="468"/>
      <c r="V225" s="469"/>
      <c r="W225" s="471"/>
      <c r="X225" s="471"/>
      <c r="Y225" s="471"/>
      <c r="Z225" s="471"/>
      <c r="AA225" s="471"/>
      <c r="AB225" s="466"/>
      <c r="AC225" s="466"/>
      <c r="AD225" s="488"/>
      <c r="AE225" s="466"/>
      <c r="AF225" s="466"/>
      <c r="AG225" s="478"/>
      <c r="AH225" s="475"/>
      <c r="AI225" s="475"/>
      <c r="AJ225" s="475"/>
      <c r="AK225" s="475"/>
      <c r="AL225" s="475"/>
      <c r="AM225" s="475"/>
      <c r="AN225" s="475"/>
      <c r="AO225" s="475"/>
      <c r="AP225" s="475"/>
      <c r="AQ225" s="475"/>
      <c r="AR225" s="475"/>
      <c r="AS225" s="475"/>
      <c r="AT225" s="475"/>
      <c r="AU225" s="475"/>
      <c r="AV225" s="475"/>
      <c r="AW225" s="475"/>
      <c r="AX225" s="475"/>
      <c r="AY225" s="475"/>
      <c r="AZ225" s="475"/>
      <c r="BA225" s="475"/>
      <c r="BB225" s="475"/>
      <c r="BC225" s="475"/>
      <c r="BD225" s="475"/>
      <c r="BE225" s="475"/>
      <c r="BF225" s="475"/>
      <c r="BG225" s="475"/>
      <c r="BH225" s="475"/>
      <c r="BI225" s="475"/>
      <c r="BJ225" s="475"/>
      <c r="BK225" s="475"/>
      <c r="BL225" s="475"/>
      <c r="BM225" s="475"/>
      <c r="BN225" s="475"/>
      <c r="BO225" s="475"/>
      <c r="BP225" s="475"/>
      <c r="BQ225" s="475"/>
      <c r="BR225" s="475"/>
      <c r="BS225" s="475"/>
      <c r="BT225" s="475"/>
      <c r="BU225" s="475"/>
      <c r="BV225" s="475"/>
      <c r="BW225" s="475"/>
      <c r="BX225" s="475"/>
      <c r="BY225" s="475"/>
      <c r="BZ225" s="475"/>
      <c r="CA225" s="475"/>
      <c r="CB225" s="475"/>
      <c r="CC225" s="475"/>
    </row>
    <row r="226" customFormat="false" ht="30" hidden="false" customHeight="true" outlineLevel="0" collapsed="false">
      <c r="A226" s="449" t="s">
        <v>1252</v>
      </c>
      <c r="B226" s="460"/>
      <c r="C226" s="460"/>
      <c r="D226" s="259"/>
      <c r="E226" s="461"/>
      <c r="F226" s="461"/>
      <c r="G226" s="486"/>
      <c r="H226" s="490"/>
      <c r="I226" s="484"/>
      <c r="J226" s="484"/>
      <c r="K226" s="484"/>
      <c r="L226" s="464"/>
      <c r="M226" s="484"/>
      <c r="N226" s="484"/>
      <c r="O226" s="466"/>
      <c r="P226" s="484"/>
      <c r="Q226" s="467"/>
      <c r="R226" s="467"/>
      <c r="S226" s="467"/>
      <c r="T226" s="466"/>
      <c r="U226" s="468"/>
      <c r="V226" s="469"/>
      <c r="W226" s="471"/>
      <c r="X226" s="471"/>
      <c r="Y226" s="471"/>
      <c r="Z226" s="471"/>
      <c r="AA226" s="471"/>
      <c r="AB226" s="466"/>
      <c r="AC226" s="466"/>
      <c r="AD226" s="466"/>
      <c r="AE226" s="466"/>
      <c r="AF226" s="466"/>
      <c r="AG226" s="478"/>
      <c r="AH226" s="475"/>
      <c r="AI226" s="475"/>
      <c r="AJ226" s="475"/>
      <c r="AK226" s="475"/>
      <c r="AL226" s="475"/>
      <c r="AM226" s="475"/>
      <c r="AN226" s="475"/>
      <c r="AO226" s="475"/>
      <c r="AP226" s="475"/>
      <c r="AQ226" s="475"/>
      <c r="AR226" s="475"/>
      <c r="AS226" s="475"/>
      <c r="AT226" s="475"/>
      <c r="AU226" s="475"/>
      <c r="AV226" s="475"/>
      <c r="AW226" s="475"/>
      <c r="AX226" s="475"/>
      <c r="AY226" s="475"/>
      <c r="AZ226" s="475"/>
      <c r="BA226" s="475"/>
      <c r="BB226" s="475"/>
      <c r="BC226" s="475"/>
      <c r="BD226" s="475"/>
      <c r="BE226" s="475"/>
      <c r="BF226" s="475"/>
      <c r="BG226" s="475"/>
      <c r="BH226" s="475"/>
      <c r="BI226" s="475"/>
      <c r="BJ226" s="475"/>
      <c r="BK226" s="475"/>
      <c r="BL226" s="475"/>
      <c r="BM226" s="475"/>
      <c r="BN226" s="475"/>
      <c r="BO226" s="475"/>
      <c r="BP226" s="475"/>
      <c r="BQ226" s="475"/>
      <c r="BR226" s="475"/>
      <c r="BS226" s="475"/>
      <c r="BT226" s="475"/>
      <c r="BU226" s="475"/>
      <c r="BV226" s="475"/>
      <c r="BW226" s="475"/>
      <c r="BX226" s="475"/>
      <c r="BY226" s="475"/>
      <c r="BZ226" s="475"/>
      <c r="CA226" s="475"/>
      <c r="CB226" s="475"/>
      <c r="CC226" s="475"/>
    </row>
    <row r="227" customFormat="false" ht="30" hidden="false" customHeight="true" outlineLevel="0" collapsed="false">
      <c r="A227" s="449" t="s">
        <v>1253</v>
      </c>
      <c r="B227" s="460"/>
      <c r="C227" s="460"/>
      <c r="D227" s="259"/>
      <c r="E227" s="461"/>
      <c r="F227" s="461"/>
      <c r="G227" s="486"/>
      <c r="H227" s="490"/>
      <c r="I227" s="484"/>
      <c r="J227" s="484"/>
      <c r="K227" s="484"/>
      <c r="L227" s="464"/>
      <c r="M227" s="484"/>
      <c r="N227" s="484"/>
      <c r="O227" s="466"/>
      <c r="P227" s="484"/>
      <c r="Q227" s="467"/>
      <c r="R227" s="467"/>
      <c r="S227" s="467"/>
      <c r="T227" s="466"/>
      <c r="U227" s="468"/>
      <c r="V227" s="469"/>
      <c r="W227" s="471"/>
      <c r="X227" s="471"/>
      <c r="Y227" s="471"/>
      <c r="Z227" s="471"/>
      <c r="AA227" s="471"/>
      <c r="AB227" s="466"/>
      <c r="AC227" s="466"/>
      <c r="AD227" s="466"/>
      <c r="AE227" s="466"/>
      <c r="AF227" s="466"/>
      <c r="AG227" s="478"/>
      <c r="AH227" s="475"/>
      <c r="AI227" s="475"/>
      <c r="AJ227" s="475"/>
      <c r="AK227" s="475"/>
      <c r="AL227" s="475"/>
      <c r="AM227" s="475"/>
      <c r="AN227" s="475"/>
      <c r="AO227" s="475"/>
      <c r="AP227" s="475"/>
      <c r="AQ227" s="475"/>
      <c r="AR227" s="475"/>
      <c r="AS227" s="475"/>
      <c r="AT227" s="475"/>
      <c r="AU227" s="475"/>
      <c r="AV227" s="475"/>
      <c r="AW227" s="475"/>
      <c r="AX227" s="475"/>
      <c r="AY227" s="475"/>
      <c r="AZ227" s="475"/>
      <c r="BA227" s="475"/>
      <c r="BB227" s="475"/>
      <c r="BC227" s="475"/>
      <c r="BD227" s="475"/>
      <c r="BE227" s="475"/>
      <c r="BF227" s="475"/>
      <c r="BG227" s="475"/>
      <c r="BH227" s="475"/>
      <c r="BI227" s="475"/>
      <c r="BJ227" s="475"/>
      <c r="BK227" s="475"/>
      <c r="BL227" s="475"/>
      <c r="BM227" s="475"/>
      <c r="BN227" s="475"/>
      <c r="BO227" s="475"/>
      <c r="BP227" s="475"/>
      <c r="BQ227" s="475"/>
      <c r="BR227" s="475"/>
      <c r="BS227" s="475"/>
      <c r="BT227" s="475"/>
      <c r="BU227" s="475"/>
      <c r="BV227" s="475"/>
      <c r="BW227" s="475"/>
      <c r="BX227" s="475"/>
      <c r="BY227" s="475"/>
      <c r="BZ227" s="475"/>
      <c r="CA227" s="475"/>
      <c r="CB227" s="475"/>
      <c r="CC227" s="475"/>
    </row>
    <row r="228" customFormat="false" ht="30" hidden="false" customHeight="true" outlineLevel="0" collapsed="false">
      <c r="A228" s="449" t="s">
        <v>1254</v>
      </c>
      <c r="B228" s="460"/>
      <c r="C228" s="460"/>
      <c r="D228" s="259"/>
      <c r="E228" s="461"/>
      <c r="F228" s="461"/>
      <c r="G228" s="486"/>
      <c r="H228" s="490"/>
      <c r="I228" s="484"/>
      <c r="J228" s="484"/>
      <c r="K228" s="484"/>
      <c r="L228" s="464"/>
      <c r="M228" s="484"/>
      <c r="N228" s="484"/>
      <c r="O228" s="466"/>
      <c r="P228" s="484"/>
      <c r="Q228" s="467"/>
      <c r="R228" s="467"/>
      <c r="S228" s="467"/>
      <c r="T228" s="466"/>
      <c r="U228" s="468"/>
      <c r="V228" s="469"/>
      <c r="W228" s="471"/>
      <c r="X228" s="471"/>
      <c r="Y228" s="471"/>
      <c r="Z228" s="471"/>
      <c r="AA228" s="471"/>
      <c r="AB228" s="466"/>
      <c r="AC228" s="466"/>
      <c r="AD228" s="466"/>
      <c r="AE228" s="466"/>
      <c r="AF228" s="466"/>
      <c r="AG228" s="478"/>
      <c r="AH228" s="475"/>
      <c r="AI228" s="475"/>
      <c r="AJ228" s="475"/>
      <c r="AK228" s="475"/>
      <c r="AL228" s="475"/>
      <c r="AM228" s="475"/>
      <c r="AN228" s="475"/>
      <c r="AO228" s="475"/>
      <c r="AP228" s="475"/>
      <c r="AQ228" s="475"/>
      <c r="AR228" s="475"/>
      <c r="AS228" s="475"/>
      <c r="AT228" s="475"/>
      <c r="AU228" s="475"/>
      <c r="AV228" s="475"/>
      <c r="AW228" s="475"/>
      <c r="AX228" s="475"/>
      <c r="AY228" s="475"/>
      <c r="AZ228" s="475"/>
      <c r="BA228" s="475"/>
      <c r="BB228" s="475"/>
      <c r="BC228" s="475"/>
      <c r="BD228" s="475"/>
      <c r="BE228" s="475"/>
      <c r="BF228" s="475"/>
      <c r="BG228" s="475"/>
      <c r="BH228" s="475"/>
      <c r="BI228" s="475"/>
      <c r="BJ228" s="475"/>
      <c r="BK228" s="475"/>
      <c r="BL228" s="475"/>
      <c r="BM228" s="475"/>
      <c r="BN228" s="475"/>
      <c r="BO228" s="475"/>
      <c r="BP228" s="475"/>
      <c r="BQ228" s="475"/>
      <c r="BR228" s="475"/>
      <c r="BS228" s="475"/>
      <c r="BT228" s="475"/>
      <c r="BU228" s="475"/>
      <c r="BV228" s="475"/>
      <c r="BW228" s="475"/>
      <c r="BX228" s="475"/>
      <c r="BY228" s="475"/>
      <c r="BZ228" s="475"/>
      <c r="CA228" s="475"/>
      <c r="CB228" s="475"/>
      <c r="CC228" s="475"/>
    </row>
    <row r="229" customFormat="false" ht="30" hidden="false" customHeight="true" outlineLevel="0" collapsed="false">
      <c r="A229" s="449" t="s">
        <v>1255</v>
      </c>
      <c r="B229" s="460"/>
      <c r="C229" s="460"/>
      <c r="D229" s="259"/>
      <c r="E229" s="461"/>
      <c r="F229" s="461"/>
      <c r="G229" s="486"/>
      <c r="H229" s="490"/>
      <c r="I229" s="484"/>
      <c r="J229" s="484"/>
      <c r="K229" s="484"/>
      <c r="L229" s="464"/>
      <c r="M229" s="484"/>
      <c r="N229" s="484"/>
      <c r="O229" s="466"/>
      <c r="P229" s="484"/>
      <c r="Q229" s="467"/>
      <c r="R229" s="467"/>
      <c r="S229" s="467"/>
      <c r="T229" s="466"/>
      <c r="U229" s="468"/>
      <c r="V229" s="469"/>
      <c r="W229" s="471"/>
      <c r="X229" s="471"/>
      <c r="Y229" s="471"/>
      <c r="Z229" s="471"/>
      <c r="AA229" s="471"/>
      <c r="AB229" s="466"/>
      <c r="AC229" s="466"/>
      <c r="AD229" s="466"/>
      <c r="AE229" s="466"/>
      <c r="AF229" s="466"/>
      <c r="AG229" s="478"/>
      <c r="AH229" s="475"/>
      <c r="AI229" s="475"/>
      <c r="AJ229" s="475"/>
      <c r="AK229" s="475"/>
      <c r="AL229" s="475"/>
      <c r="AM229" s="475"/>
      <c r="AN229" s="475"/>
      <c r="AO229" s="475"/>
      <c r="AP229" s="475"/>
      <c r="AQ229" s="475"/>
      <c r="AR229" s="475"/>
      <c r="AS229" s="475"/>
      <c r="AT229" s="475"/>
      <c r="AU229" s="475"/>
      <c r="AV229" s="475"/>
      <c r="AW229" s="475"/>
      <c r="AX229" s="475"/>
      <c r="AY229" s="475"/>
      <c r="AZ229" s="475"/>
      <c r="BA229" s="475"/>
      <c r="BB229" s="475"/>
      <c r="BC229" s="475"/>
      <c r="BD229" s="475"/>
      <c r="BE229" s="475"/>
      <c r="BF229" s="475"/>
      <c r="BG229" s="475"/>
      <c r="BH229" s="475"/>
      <c r="BI229" s="475"/>
      <c r="BJ229" s="475"/>
      <c r="BK229" s="475"/>
      <c r="BL229" s="475"/>
      <c r="BM229" s="475"/>
      <c r="BN229" s="475"/>
      <c r="BO229" s="475"/>
      <c r="BP229" s="475"/>
      <c r="BQ229" s="475"/>
      <c r="BR229" s="475"/>
      <c r="BS229" s="475"/>
      <c r="BT229" s="475"/>
      <c r="BU229" s="475"/>
      <c r="BV229" s="475"/>
      <c r="BW229" s="475"/>
      <c r="BX229" s="475"/>
      <c r="BY229" s="475"/>
      <c r="BZ229" s="475"/>
      <c r="CA229" s="475"/>
      <c r="CB229" s="475"/>
      <c r="CC229" s="475"/>
    </row>
    <row r="230" customFormat="false" ht="30" hidden="false" customHeight="true" outlineLevel="0" collapsed="false">
      <c r="A230" s="449" t="s">
        <v>1256</v>
      </c>
      <c r="B230" s="460"/>
      <c r="C230" s="460"/>
      <c r="D230" s="259"/>
      <c r="E230" s="461"/>
      <c r="F230" s="461"/>
      <c r="G230" s="486"/>
      <c r="H230" s="490"/>
      <c r="I230" s="484"/>
      <c r="J230" s="484"/>
      <c r="K230" s="484"/>
      <c r="L230" s="464"/>
      <c r="M230" s="484"/>
      <c r="N230" s="484"/>
      <c r="O230" s="466"/>
      <c r="P230" s="484"/>
      <c r="Q230" s="467"/>
      <c r="R230" s="467"/>
      <c r="S230" s="467"/>
      <c r="T230" s="466"/>
      <c r="U230" s="468"/>
      <c r="V230" s="469"/>
      <c r="W230" s="471"/>
      <c r="X230" s="471"/>
      <c r="Y230" s="471"/>
      <c r="Z230" s="471"/>
      <c r="AA230" s="471"/>
      <c r="AB230" s="466"/>
      <c r="AC230" s="466"/>
      <c r="AD230" s="466"/>
      <c r="AE230" s="466"/>
      <c r="AF230" s="466"/>
      <c r="AG230" s="478"/>
      <c r="AH230" s="475"/>
      <c r="AI230" s="475"/>
      <c r="AJ230" s="475"/>
      <c r="AK230" s="475"/>
      <c r="AL230" s="475"/>
      <c r="AM230" s="475"/>
      <c r="AN230" s="475"/>
      <c r="AO230" s="475"/>
      <c r="AP230" s="475"/>
      <c r="AQ230" s="475"/>
      <c r="AR230" s="475"/>
      <c r="AS230" s="475"/>
      <c r="AT230" s="475"/>
      <c r="AU230" s="475"/>
      <c r="AV230" s="475"/>
      <c r="AW230" s="475"/>
      <c r="AX230" s="475"/>
      <c r="AY230" s="475"/>
      <c r="AZ230" s="475"/>
      <c r="BA230" s="475"/>
      <c r="BB230" s="475"/>
      <c r="BC230" s="475"/>
      <c r="BD230" s="475"/>
      <c r="BE230" s="475"/>
      <c r="BF230" s="475"/>
      <c r="BG230" s="475"/>
      <c r="BH230" s="475"/>
      <c r="BI230" s="475"/>
      <c r="BJ230" s="475"/>
      <c r="BK230" s="475"/>
      <c r="BL230" s="475"/>
      <c r="BM230" s="475"/>
      <c r="BN230" s="475"/>
      <c r="BO230" s="475"/>
      <c r="BP230" s="475"/>
      <c r="BQ230" s="475"/>
      <c r="BR230" s="475"/>
      <c r="BS230" s="475"/>
      <c r="BT230" s="475"/>
      <c r="BU230" s="475"/>
      <c r="BV230" s="475"/>
      <c r="BW230" s="475"/>
      <c r="BX230" s="475"/>
      <c r="BY230" s="475"/>
      <c r="BZ230" s="475"/>
      <c r="CA230" s="475"/>
      <c r="CB230" s="475"/>
      <c r="CC230" s="475"/>
    </row>
    <row r="231" customFormat="false" ht="30" hidden="false" customHeight="true" outlineLevel="0" collapsed="false">
      <c r="A231" s="449" t="s">
        <v>1257</v>
      </c>
      <c r="B231" s="460"/>
      <c r="C231" s="460"/>
      <c r="D231" s="259"/>
      <c r="E231" s="461"/>
      <c r="F231" s="461"/>
      <c r="G231" s="486"/>
      <c r="H231" s="490"/>
      <c r="I231" s="484"/>
      <c r="J231" s="484"/>
      <c r="K231" s="484"/>
      <c r="L231" s="464"/>
      <c r="M231" s="484"/>
      <c r="N231" s="484"/>
      <c r="O231" s="466"/>
      <c r="P231" s="484"/>
      <c r="Q231" s="467"/>
      <c r="R231" s="467"/>
      <c r="S231" s="467"/>
      <c r="T231" s="466"/>
      <c r="U231" s="468"/>
      <c r="V231" s="469"/>
      <c r="W231" s="471"/>
      <c r="X231" s="471"/>
      <c r="Y231" s="471"/>
      <c r="Z231" s="471"/>
      <c r="AA231" s="471"/>
      <c r="AB231" s="466"/>
      <c r="AC231" s="466"/>
      <c r="AD231" s="466"/>
      <c r="AE231" s="466"/>
      <c r="AF231" s="466"/>
      <c r="AG231" s="478"/>
      <c r="AH231" s="475"/>
      <c r="AI231" s="475"/>
      <c r="AJ231" s="475"/>
      <c r="AK231" s="475"/>
      <c r="AL231" s="475"/>
      <c r="AM231" s="475"/>
      <c r="AN231" s="475"/>
      <c r="AO231" s="475"/>
      <c r="AP231" s="475"/>
      <c r="AQ231" s="475"/>
      <c r="AR231" s="475"/>
      <c r="AS231" s="475"/>
      <c r="AT231" s="475"/>
      <c r="AU231" s="475"/>
      <c r="AV231" s="475"/>
      <c r="AW231" s="475"/>
      <c r="AX231" s="475"/>
      <c r="AY231" s="475"/>
      <c r="AZ231" s="475"/>
      <c r="BA231" s="475"/>
      <c r="BB231" s="475"/>
      <c r="BC231" s="475"/>
      <c r="BD231" s="475"/>
      <c r="BE231" s="475"/>
      <c r="BF231" s="475"/>
      <c r="BG231" s="475"/>
      <c r="BH231" s="475"/>
      <c r="BI231" s="475"/>
      <c r="BJ231" s="475"/>
      <c r="BK231" s="475"/>
      <c r="BL231" s="475"/>
      <c r="BM231" s="475"/>
      <c r="BN231" s="475"/>
      <c r="BO231" s="475"/>
      <c r="BP231" s="475"/>
      <c r="BQ231" s="475"/>
      <c r="BR231" s="475"/>
      <c r="BS231" s="475"/>
      <c r="BT231" s="475"/>
      <c r="BU231" s="475"/>
      <c r="BV231" s="475"/>
      <c r="BW231" s="475"/>
      <c r="BX231" s="475"/>
      <c r="BY231" s="475"/>
      <c r="BZ231" s="475"/>
      <c r="CA231" s="475"/>
      <c r="CB231" s="475"/>
      <c r="CC231" s="475"/>
    </row>
    <row r="232" customFormat="false" ht="30" hidden="false" customHeight="true" outlineLevel="0" collapsed="false">
      <c r="A232" s="449" t="s">
        <v>1258</v>
      </c>
      <c r="B232" s="460"/>
      <c r="C232" s="460"/>
      <c r="D232" s="259"/>
      <c r="E232" s="461"/>
      <c r="F232" s="461"/>
      <c r="G232" s="486"/>
      <c r="H232" s="490"/>
      <c r="I232" s="484"/>
      <c r="J232" s="484"/>
      <c r="K232" s="484"/>
      <c r="L232" s="464"/>
      <c r="M232" s="484"/>
      <c r="N232" s="484"/>
      <c r="O232" s="466"/>
      <c r="P232" s="484"/>
      <c r="Q232" s="467"/>
      <c r="R232" s="467"/>
      <c r="S232" s="467"/>
      <c r="T232" s="466"/>
      <c r="U232" s="468"/>
      <c r="V232" s="469"/>
      <c r="W232" s="471"/>
      <c r="X232" s="471"/>
      <c r="Y232" s="471"/>
      <c r="Z232" s="471"/>
      <c r="AA232" s="471"/>
      <c r="AB232" s="466"/>
      <c r="AC232" s="466"/>
      <c r="AD232" s="466"/>
      <c r="AE232" s="466"/>
      <c r="AF232" s="466"/>
      <c r="AG232" s="478"/>
      <c r="AH232" s="475"/>
      <c r="AI232" s="475"/>
      <c r="AJ232" s="475"/>
      <c r="AK232" s="475"/>
      <c r="AL232" s="475"/>
      <c r="AM232" s="475"/>
      <c r="AN232" s="475"/>
      <c r="AO232" s="475"/>
      <c r="AP232" s="475"/>
      <c r="AQ232" s="475"/>
      <c r="AR232" s="475"/>
      <c r="AS232" s="475"/>
      <c r="AT232" s="475"/>
      <c r="AU232" s="475"/>
      <c r="AV232" s="475"/>
      <c r="AW232" s="475"/>
      <c r="AX232" s="475"/>
      <c r="AY232" s="475"/>
      <c r="AZ232" s="475"/>
      <c r="BA232" s="475"/>
      <c r="BB232" s="475"/>
      <c r="BC232" s="475"/>
      <c r="BD232" s="475"/>
      <c r="BE232" s="475"/>
      <c r="BF232" s="475"/>
      <c r="BG232" s="475"/>
      <c r="BH232" s="475"/>
      <c r="BI232" s="475"/>
      <c r="BJ232" s="475"/>
      <c r="BK232" s="475"/>
      <c r="BL232" s="475"/>
      <c r="BM232" s="475"/>
      <c r="BN232" s="475"/>
      <c r="BO232" s="475"/>
      <c r="BP232" s="475"/>
      <c r="BQ232" s="475"/>
      <c r="BR232" s="475"/>
      <c r="BS232" s="475"/>
      <c r="BT232" s="475"/>
      <c r="BU232" s="475"/>
      <c r="BV232" s="475"/>
      <c r="BW232" s="475"/>
      <c r="BX232" s="475"/>
      <c r="BY232" s="475"/>
      <c r="BZ232" s="475"/>
      <c r="CA232" s="475"/>
      <c r="CB232" s="475"/>
      <c r="CC232" s="475"/>
    </row>
    <row r="233" customFormat="false" ht="30" hidden="false" customHeight="true" outlineLevel="0" collapsed="false">
      <c r="A233" s="449" t="s">
        <v>1259</v>
      </c>
      <c r="B233" s="460"/>
      <c r="C233" s="460"/>
      <c r="D233" s="259"/>
      <c r="E233" s="461"/>
      <c r="F233" s="461"/>
      <c r="G233" s="486"/>
      <c r="H233" s="490"/>
      <c r="I233" s="484"/>
      <c r="J233" s="484"/>
      <c r="K233" s="484"/>
      <c r="L233" s="464"/>
      <c r="M233" s="484"/>
      <c r="N233" s="484"/>
      <c r="O233" s="466"/>
      <c r="P233" s="484"/>
      <c r="Q233" s="467"/>
      <c r="R233" s="467"/>
      <c r="S233" s="467"/>
      <c r="T233" s="466"/>
      <c r="U233" s="468"/>
      <c r="V233" s="469"/>
      <c r="W233" s="471"/>
      <c r="X233" s="471"/>
      <c r="Y233" s="471"/>
      <c r="Z233" s="471"/>
      <c r="AA233" s="471"/>
      <c r="AB233" s="466"/>
      <c r="AC233" s="466"/>
      <c r="AD233" s="466"/>
      <c r="AE233" s="466"/>
      <c r="AF233" s="466"/>
      <c r="AG233" s="478"/>
      <c r="AH233" s="475"/>
      <c r="AI233" s="475"/>
      <c r="AJ233" s="475"/>
      <c r="AK233" s="475"/>
      <c r="AL233" s="475"/>
      <c r="AM233" s="475"/>
      <c r="AN233" s="475"/>
      <c r="AO233" s="475"/>
      <c r="AP233" s="475"/>
      <c r="AQ233" s="475"/>
      <c r="AR233" s="475"/>
      <c r="AS233" s="475"/>
      <c r="AT233" s="475"/>
      <c r="AU233" s="475"/>
      <c r="AV233" s="475"/>
      <c r="AW233" s="475"/>
      <c r="AX233" s="475"/>
      <c r="AY233" s="475"/>
      <c r="AZ233" s="475"/>
      <c r="BA233" s="475"/>
      <c r="BB233" s="475"/>
      <c r="BC233" s="475"/>
      <c r="BD233" s="475"/>
      <c r="BE233" s="475"/>
      <c r="BF233" s="475"/>
      <c r="BG233" s="475"/>
      <c r="BH233" s="475"/>
      <c r="BI233" s="475"/>
      <c r="BJ233" s="475"/>
      <c r="BK233" s="475"/>
      <c r="BL233" s="475"/>
      <c r="BM233" s="475"/>
      <c r="BN233" s="475"/>
      <c r="BO233" s="475"/>
      <c r="BP233" s="475"/>
      <c r="BQ233" s="475"/>
      <c r="BR233" s="475"/>
      <c r="BS233" s="475"/>
      <c r="BT233" s="475"/>
      <c r="BU233" s="475"/>
      <c r="BV233" s="475"/>
      <c r="BW233" s="475"/>
      <c r="BX233" s="475"/>
      <c r="BY233" s="475"/>
      <c r="BZ233" s="475"/>
      <c r="CA233" s="475"/>
      <c r="CB233" s="475"/>
      <c r="CC233" s="475"/>
    </row>
    <row r="234" customFormat="false" ht="30" hidden="false" customHeight="true" outlineLevel="0" collapsed="false">
      <c r="A234" s="449" t="s">
        <v>1260</v>
      </c>
      <c r="B234" s="460"/>
      <c r="C234" s="460"/>
      <c r="D234" s="259"/>
      <c r="E234" s="461"/>
      <c r="F234" s="461"/>
      <c r="G234" s="486"/>
      <c r="H234" s="490"/>
      <c r="I234" s="484"/>
      <c r="J234" s="484"/>
      <c r="K234" s="484"/>
      <c r="L234" s="464"/>
      <c r="M234" s="484"/>
      <c r="N234" s="484"/>
      <c r="O234" s="466"/>
      <c r="P234" s="484"/>
      <c r="Q234" s="467"/>
      <c r="R234" s="467"/>
      <c r="S234" s="467"/>
      <c r="T234" s="466"/>
      <c r="U234" s="468"/>
      <c r="V234" s="469"/>
      <c r="W234" s="471"/>
      <c r="X234" s="471"/>
      <c r="Y234" s="471"/>
      <c r="Z234" s="471"/>
      <c r="AA234" s="471"/>
      <c r="AB234" s="466"/>
      <c r="AC234" s="466"/>
      <c r="AD234" s="466"/>
      <c r="AE234" s="466"/>
      <c r="AF234" s="466"/>
      <c r="AG234" s="478"/>
      <c r="AH234" s="475"/>
      <c r="AI234" s="475"/>
      <c r="AJ234" s="475"/>
      <c r="AK234" s="475"/>
      <c r="AL234" s="475"/>
      <c r="AM234" s="475"/>
      <c r="AN234" s="475"/>
      <c r="AO234" s="475"/>
      <c r="AP234" s="475"/>
      <c r="AQ234" s="475"/>
      <c r="AR234" s="475"/>
      <c r="AS234" s="475"/>
      <c r="AT234" s="475"/>
      <c r="AU234" s="475"/>
      <c r="AV234" s="475"/>
      <c r="AW234" s="475"/>
      <c r="AX234" s="475"/>
      <c r="AY234" s="475"/>
      <c r="AZ234" s="475"/>
      <c r="BA234" s="475"/>
      <c r="BB234" s="475"/>
      <c r="BC234" s="475"/>
      <c r="BD234" s="475"/>
      <c r="BE234" s="475"/>
      <c r="BF234" s="475"/>
      <c r="BG234" s="475"/>
      <c r="BH234" s="475"/>
      <c r="BI234" s="475"/>
      <c r="BJ234" s="475"/>
      <c r="BK234" s="475"/>
      <c r="BL234" s="475"/>
      <c r="BM234" s="475"/>
      <c r="BN234" s="475"/>
      <c r="BO234" s="475"/>
      <c r="BP234" s="475"/>
      <c r="BQ234" s="475"/>
      <c r="BR234" s="475"/>
      <c r="BS234" s="475"/>
      <c r="BT234" s="475"/>
      <c r="BU234" s="475"/>
      <c r="BV234" s="475"/>
      <c r="BW234" s="475"/>
      <c r="BX234" s="475"/>
      <c r="BY234" s="475"/>
      <c r="BZ234" s="475"/>
      <c r="CA234" s="475"/>
      <c r="CB234" s="475"/>
      <c r="CC234" s="475"/>
    </row>
    <row r="235" customFormat="false" ht="30" hidden="false" customHeight="true" outlineLevel="0" collapsed="false">
      <c r="A235" s="449" t="s">
        <v>1261</v>
      </c>
      <c r="B235" s="460"/>
      <c r="C235" s="460"/>
      <c r="D235" s="259"/>
      <c r="E235" s="461"/>
      <c r="F235" s="461"/>
      <c r="G235" s="486"/>
      <c r="H235" s="490"/>
      <c r="I235" s="484"/>
      <c r="J235" s="484"/>
      <c r="K235" s="484"/>
      <c r="L235" s="464"/>
      <c r="M235" s="484"/>
      <c r="N235" s="484"/>
      <c r="O235" s="466"/>
      <c r="P235" s="484"/>
      <c r="Q235" s="467"/>
      <c r="R235" s="467"/>
      <c r="S235" s="467"/>
      <c r="T235" s="466"/>
      <c r="U235" s="468"/>
      <c r="V235" s="469"/>
      <c r="W235" s="471"/>
      <c r="X235" s="471"/>
      <c r="Y235" s="471"/>
      <c r="Z235" s="471"/>
      <c r="AA235" s="471"/>
      <c r="AB235" s="466"/>
      <c r="AC235" s="466"/>
      <c r="AD235" s="466"/>
      <c r="AE235" s="466"/>
      <c r="AF235" s="466"/>
      <c r="AG235" s="478"/>
      <c r="AH235" s="475"/>
      <c r="AI235" s="475"/>
      <c r="AJ235" s="475"/>
      <c r="AK235" s="475"/>
      <c r="AL235" s="475"/>
      <c r="AM235" s="475"/>
      <c r="AN235" s="475"/>
      <c r="AO235" s="475"/>
      <c r="AP235" s="475"/>
      <c r="AQ235" s="475"/>
      <c r="AR235" s="475"/>
      <c r="AS235" s="475"/>
      <c r="AT235" s="475"/>
      <c r="AU235" s="475"/>
      <c r="AV235" s="475"/>
      <c r="AW235" s="475"/>
      <c r="AX235" s="475"/>
      <c r="AY235" s="475"/>
      <c r="AZ235" s="475"/>
      <c r="BA235" s="475"/>
      <c r="BB235" s="475"/>
      <c r="BC235" s="475"/>
      <c r="BD235" s="475"/>
      <c r="BE235" s="475"/>
      <c r="BF235" s="475"/>
      <c r="BG235" s="475"/>
      <c r="BH235" s="475"/>
      <c r="BI235" s="475"/>
      <c r="BJ235" s="475"/>
      <c r="BK235" s="475"/>
      <c r="BL235" s="475"/>
      <c r="BM235" s="475"/>
      <c r="BN235" s="475"/>
      <c r="BO235" s="475"/>
      <c r="BP235" s="475"/>
      <c r="BQ235" s="475"/>
      <c r="BR235" s="475"/>
      <c r="BS235" s="475"/>
      <c r="BT235" s="475"/>
      <c r="BU235" s="475"/>
      <c r="BV235" s="475"/>
      <c r="BW235" s="475"/>
      <c r="BX235" s="475"/>
      <c r="BY235" s="475"/>
      <c r="BZ235" s="475"/>
      <c r="CA235" s="475"/>
      <c r="CB235" s="475"/>
      <c r="CC235" s="475"/>
    </row>
    <row r="236" customFormat="false" ht="30" hidden="false" customHeight="true" outlineLevel="0" collapsed="false">
      <c r="A236" s="449" t="s">
        <v>1262</v>
      </c>
      <c r="B236" s="460"/>
      <c r="C236" s="460"/>
      <c r="D236" s="259"/>
      <c r="E236" s="461"/>
      <c r="F236" s="461"/>
      <c r="G236" s="486"/>
      <c r="H236" s="490"/>
      <c r="I236" s="484"/>
      <c r="J236" s="484"/>
      <c r="K236" s="484"/>
      <c r="L236" s="464"/>
      <c r="M236" s="484"/>
      <c r="N236" s="484"/>
      <c r="O236" s="466"/>
      <c r="P236" s="484"/>
      <c r="Q236" s="467"/>
      <c r="R236" s="467"/>
      <c r="S236" s="467"/>
      <c r="T236" s="466"/>
      <c r="U236" s="468"/>
      <c r="V236" s="469"/>
      <c r="W236" s="471"/>
      <c r="X236" s="471"/>
      <c r="Y236" s="471"/>
      <c r="Z236" s="471"/>
      <c r="AA236" s="471"/>
      <c r="AB236" s="466"/>
      <c r="AC236" s="466"/>
      <c r="AD236" s="466"/>
      <c r="AE236" s="466"/>
      <c r="AF236" s="466"/>
      <c r="AG236" s="478"/>
      <c r="AH236" s="475"/>
      <c r="AI236" s="475"/>
      <c r="AJ236" s="475"/>
      <c r="AK236" s="475"/>
      <c r="AL236" s="475"/>
      <c r="AM236" s="475"/>
      <c r="AN236" s="475"/>
      <c r="AO236" s="475"/>
      <c r="AP236" s="475"/>
      <c r="AQ236" s="475"/>
      <c r="AR236" s="475"/>
      <c r="AS236" s="475"/>
      <c r="AT236" s="475"/>
      <c r="AU236" s="475"/>
      <c r="AV236" s="475"/>
      <c r="AW236" s="475"/>
      <c r="AX236" s="475"/>
      <c r="AY236" s="475"/>
      <c r="AZ236" s="475"/>
      <c r="BA236" s="475"/>
      <c r="BB236" s="475"/>
      <c r="BC236" s="475"/>
      <c r="BD236" s="475"/>
      <c r="BE236" s="475"/>
      <c r="BF236" s="475"/>
      <c r="BG236" s="475"/>
      <c r="BH236" s="475"/>
      <c r="BI236" s="475"/>
      <c r="BJ236" s="475"/>
      <c r="BK236" s="475"/>
      <c r="BL236" s="475"/>
      <c r="BM236" s="475"/>
      <c r="BN236" s="475"/>
      <c r="BO236" s="475"/>
      <c r="BP236" s="475"/>
      <c r="BQ236" s="475"/>
      <c r="BR236" s="475"/>
      <c r="BS236" s="475"/>
      <c r="BT236" s="475"/>
      <c r="BU236" s="475"/>
      <c r="BV236" s="475"/>
      <c r="BW236" s="475"/>
      <c r="BX236" s="475"/>
      <c r="BY236" s="475"/>
      <c r="BZ236" s="475"/>
      <c r="CA236" s="475"/>
      <c r="CB236" s="475"/>
      <c r="CC236" s="475"/>
    </row>
    <row r="237" customFormat="false" ht="30" hidden="false" customHeight="true" outlineLevel="0" collapsed="false">
      <c r="A237" s="449" t="s">
        <v>1263</v>
      </c>
      <c r="B237" s="460"/>
      <c r="C237" s="460"/>
      <c r="D237" s="259"/>
      <c r="E237" s="461"/>
      <c r="F237" s="461"/>
      <c r="G237" s="486"/>
      <c r="H237" s="490"/>
      <c r="I237" s="484"/>
      <c r="J237" s="484"/>
      <c r="K237" s="484"/>
      <c r="L237" s="464"/>
      <c r="M237" s="484"/>
      <c r="N237" s="484"/>
      <c r="O237" s="466"/>
      <c r="P237" s="484"/>
      <c r="Q237" s="467"/>
      <c r="R237" s="467"/>
      <c r="S237" s="467"/>
      <c r="T237" s="466"/>
      <c r="U237" s="468"/>
      <c r="V237" s="469"/>
      <c r="W237" s="471"/>
      <c r="X237" s="471"/>
      <c r="Y237" s="471"/>
      <c r="Z237" s="471"/>
      <c r="AA237" s="471"/>
      <c r="AB237" s="466"/>
      <c r="AC237" s="466"/>
      <c r="AD237" s="466"/>
      <c r="AE237" s="466"/>
      <c r="AF237" s="466"/>
      <c r="AG237" s="478"/>
      <c r="AH237" s="475"/>
      <c r="AI237" s="475"/>
      <c r="AJ237" s="475"/>
      <c r="AK237" s="475"/>
      <c r="AL237" s="475"/>
      <c r="AM237" s="475"/>
      <c r="AN237" s="475"/>
      <c r="AO237" s="475"/>
      <c r="AP237" s="475"/>
      <c r="AQ237" s="475"/>
      <c r="AR237" s="475"/>
      <c r="AS237" s="475"/>
      <c r="AT237" s="475"/>
      <c r="AU237" s="475"/>
      <c r="AV237" s="475"/>
      <c r="AW237" s="475"/>
      <c r="AX237" s="475"/>
      <c r="AY237" s="475"/>
      <c r="AZ237" s="475"/>
      <c r="BA237" s="475"/>
      <c r="BB237" s="475"/>
      <c r="BC237" s="475"/>
      <c r="BD237" s="475"/>
      <c r="BE237" s="475"/>
      <c r="BF237" s="475"/>
      <c r="BG237" s="475"/>
      <c r="BH237" s="475"/>
      <c r="BI237" s="475"/>
      <c r="BJ237" s="475"/>
      <c r="BK237" s="475"/>
      <c r="BL237" s="475"/>
      <c r="BM237" s="475"/>
      <c r="BN237" s="475"/>
      <c r="BO237" s="475"/>
      <c r="BP237" s="475"/>
      <c r="BQ237" s="475"/>
      <c r="BR237" s="475"/>
      <c r="BS237" s="475"/>
      <c r="BT237" s="475"/>
      <c r="BU237" s="475"/>
      <c r="BV237" s="475"/>
      <c r="BW237" s="475"/>
      <c r="BX237" s="475"/>
      <c r="BY237" s="475"/>
      <c r="BZ237" s="475"/>
      <c r="CA237" s="475"/>
      <c r="CB237" s="475"/>
      <c r="CC237" s="475"/>
    </row>
    <row r="238" customFormat="false" ht="30" hidden="false" customHeight="true" outlineLevel="0" collapsed="false">
      <c r="A238" s="449" t="s">
        <v>1264</v>
      </c>
      <c r="B238" s="460"/>
      <c r="C238" s="460"/>
      <c r="D238" s="259"/>
      <c r="E238" s="461"/>
      <c r="F238" s="461"/>
      <c r="G238" s="486"/>
      <c r="H238" s="490"/>
      <c r="I238" s="484"/>
      <c r="J238" s="484"/>
      <c r="K238" s="484"/>
      <c r="L238" s="464"/>
      <c r="M238" s="484"/>
      <c r="N238" s="484"/>
      <c r="O238" s="466"/>
      <c r="P238" s="484"/>
      <c r="Q238" s="467"/>
      <c r="R238" s="467"/>
      <c r="S238" s="467"/>
      <c r="T238" s="466"/>
      <c r="U238" s="468"/>
      <c r="V238" s="491"/>
      <c r="W238" s="471"/>
      <c r="X238" s="471"/>
      <c r="Y238" s="471"/>
      <c r="Z238" s="471"/>
      <c r="AA238" s="471"/>
      <c r="AB238" s="466"/>
      <c r="AC238" s="466"/>
      <c r="AD238" s="466"/>
      <c r="AE238" s="466"/>
      <c r="AF238" s="466"/>
      <c r="AG238" s="478"/>
      <c r="AH238" s="475"/>
      <c r="AI238" s="475"/>
      <c r="AJ238" s="475"/>
      <c r="AK238" s="475"/>
      <c r="AL238" s="475"/>
      <c r="AM238" s="475"/>
      <c r="AN238" s="475"/>
      <c r="AO238" s="475"/>
      <c r="AP238" s="475"/>
      <c r="AQ238" s="475"/>
      <c r="AR238" s="475"/>
      <c r="AS238" s="475"/>
      <c r="AT238" s="475"/>
      <c r="AU238" s="475"/>
      <c r="AV238" s="475"/>
      <c r="AW238" s="475"/>
      <c r="AX238" s="475"/>
      <c r="AY238" s="475"/>
      <c r="AZ238" s="475"/>
      <c r="BA238" s="475"/>
      <c r="BB238" s="475"/>
      <c r="BC238" s="475"/>
      <c r="BD238" s="475"/>
      <c r="BE238" s="475"/>
      <c r="BF238" s="475"/>
      <c r="BG238" s="475"/>
      <c r="BH238" s="475"/>
      <c r="BI238" s="475"/>
      <c r="BJ238" s="475"/>
      <c r="BK238" s="475"/>
      <c r="BL238" s="475"/>
      <c r="BM238" s="475"/>
      <c r="BN238" s="475"/>
      <c r="BO238" s="475"/>
      <c r="BP238" s="475"/>
      <c r="BQ238" s="475"/>
      <c r="BR238" s="475"/>
      <c r="BS238" s="475"/>
      <c r="BT238" s="475"/>
      <c r="BU238" s="475"/>
      <c r="BV238" s="475"/>
      <c r="BW238" s="475"/>
      <c r="BX238" s="475"/>
      <c r="BY238" s="475"/>
      <c r="BZ238" s="475"/>
      <c r="CA238" s="475"/>
      <c r="CB238" s="475"/>
      <c r="CC238" s="475"/>
    </row>
    <row r="239" customFormat="false" ht="30" hidden="false" customHeight="true" outlineLevel="0" collapsed="false">
      <c r="A239" s="449" t="s">
        <v>1265</v>
      </c>
      <c r="B239" s="460"/>
      <c r="C239" s="460"/>
      <c r="D239" s="259"/>
      <c r="E239" s="461"/>
      <c r="F239" s="461"/>
      <c r="G239" s="486"/>
      <c r="H239" s="490"/>
      <c r="I239" s="484"/>
      <c r="J239" s="484"/>
      <c r="K239" s="484"/>
      <c r="L239" s="464"/>
      <c r="M239" s="484"/>
      <c r="N239" s="484"/>
      <c r="O239" s="466"/>
      <c r="P239" s="484"/>
      <c r="Q239" s="467"/>
      <c r="R239" s="467"/>
      <c r="S239" s="467"/>
      <c r="T239" s="466"/>
      <c r="U239" s="468"/>
      <c r="V239" s="491"/>
      <c r="W239" s="471"/>
      <c r="X239" s="471"/>
      <c r="Y239" s="471"/>
      <c r="Z239" s="471"/>
      <c r="AA239" s="471"/>
      <c r="AB239" s="466"/>
      <c r="AC239" s="466"/>
      <c r="AD239" s="466"/>
      <c r="AE239" s="466"/>
      <c r="AF239" s="466"/>
      <c r="AG239" s="478"/>
      <c r="AH239" s="475"/>
      <c r="AI239" s="475"/>
      <c r="AJ239" s="475"/>
      <c r="AK239" s="475"/>
      <c r="AL239" s="475"/>
      <c r="AM239" s="475"/>
      <c r="AN239" s="475"/>
      <c r="AO239" s="475"/>
      <c r="AP239" s="475"/>
      <c r="AQ239" s="475"/>
      <c r="AR239" s="475"/>
      <c r="AS239" s="475"/>
      <c r="AT239" s="475"/>
      <c r="AU239" s="475"/>
      <c r="AV239" s="475"/>
      <c r="AW239" s="475"/>
      <c r="AX239" s="475"/>
      <c r="AY239" s="475"/>
      <c r="AZ239" s="475"/>
      <c r="BA239" s="475"/>
      <c r="BB239" s="475"/>
      <c r="BC239" s="475"/>
      <c r="BD239" s="475"/>
      <c r="BE239" s="475"/>
      <c r="BF239" s="475"/>
      <c r="BG239" s="475"/>
      <c r="BH239" s="475"/>
      <c r="BI239" s="475"/>
      <c r="BJ239" s="475"/>
      <c r="BK239" s="475"/>
      <c r="BL239" s="475"/>
      <c r="BM239" s="475"/>
      <c r="BN239" s="475"/>
      <c r="BO239" s="475"/>
      <c r="BP239" s="475"/>
      <c r="BQ239" s="475"/>
      <c r="BR239" s="475"/>
      <c r="BS239" s="475"/>
      <c r="BT239" s="475"/>
      <c r="BU239" s="475"/>
      <c r="BV239" s="475"/>
      <c r="BW239" s="475"/>
      <c r="BX239" s="475"/>
      <c r="BY239" s="475"/>
      <c r="BZ239" s="475"/>
      <c r="CA239" s="475"/>
      <c r="CB239" s="475"/>
      <c r="CC239" s="475"/>
    </row>
    <row r="240" customFormat="false" ht="30" hidden="false" customHeight="true" outlineLevel="0" collapsed="false">
      <c r="A240" s="449" t="s">
        <v>1266</v>
      </c>
      <c r="B240" s="460"/>
      <c r="C240" s="460"/>
      <c r="D240" s="259"/>
      <c r="E240" s="461"/>
      <c r="F240" s="461"/>
      <c r="G240" s="486"/>
      <c r="H240" s="490"/>
      <c r="I240" s="484"/>
      <c r="J240" s="484"/>
      <c r="K240" s="484"/>
      <c r="L240" s="464"/>
      <c r="M240" s="533"/>
      <c r="N240" s="484"/>
      <c r="O240" s="466"/>
      <c r="P240" s="484"/>
      <c r="Q240" s="467"/>
      <c r="R240" s="467"/>
      <c r="S240" s="467"/>
      <c r="T240" s="466"/>
      <c r="U240" s="468"/>
      <c r="V240" s="469"/>
      <c r="W240" s="471"/>
      <c r="X240" s="471"/>
      <c r="Y240" s="471"/>
      <c r="Z240" s="471"/>
      <c r="AA240" s="471"/>
      <c r="AB240" s="466"/>
      <c r="AC240" s="466"/>
      <c r="AD240" s="466"/>
      <c r="AE240" s="466"/>
      <c r="AF240" s="466"/>
      <c r="AG240" s="478"/>
      <c r="AH240" s="475"/>
      <c r="AI240" s="475"/>
      <c r="AJ240" s="475"/>
      <c r="AK240" s="475"/>
      <c r="AL240" s="475"/>
      <c r="AM240" s="475"/>
      <c r="AN240" s="475"/>
      <c r="AO240" s="475"/>
      <c r="AP240" s="475"/>
      <c r="AQ240" s="475"/>
      <c r="AR240" s="475"/>
      <c r="AS240" s="475"/>
      <c r="AT240" s="475"/>
      <c r="AU240" s="475"/>
      <c r="AV240" s="475"/>
      <c r="AW240" s="475"/>
      <c r="AX240" s="475"/>
      <c r="AY240" s="475"/>
      <c r="AZ240" s="475"/>
      <c r="BA240" s="475"/>
      <c r="BB240" s="475"/>
      <c r="BC240" s="475"/>
      <c r="BD240" s="475"/>
      <c r="BE240" s="475"/>
      <c r="BF240" s="475"/>
      <c r="BG240" s="475"/>
      <c r="BH240" s="475"/>
      <c r="BI240" s="475"/>
      <c r="BJ240" s="475"/>
      <c r="BK240" s="475"/>
      <c r="BL240" s="475"/>
      <c r="BM240" s="475"/>
      <c r="BN240" s="475"/>
      <c r="BO240" s="475"/>
      <c r="BP240" s="475"/>
      <c r="BQ240" s="475"/>
      <c r="BR240" s="475"/>
      <c r="BS240" s="475"/>
      <c r="BT240" s="475"/>
      <c r="BU240" s="475"/>
      <c r="BV240" s="475"/>
      <c r="BW240" s="475"/>
      <c r="BX240" s="475"/>
      <c r="BY240" s="475"/>
      <c r="BZ240" s="475"/>
      <c r="CA240" s="475"/>
      <c r="CB240" s="475"/>
      <c r="CC240" s="475"/>
    </row>
    <row r="241" customFormat="false" ht="30" hidden="false" customHeight="true" outlineLevel="0" collapsed="false">
      <c r="A241" s="449" t="s">
        <v>1267</v>
      </c>
      <c r="B241" s="460"/>
      <c r="C241" s="460"/>
      <c r="D241" s="485"/>
      <c r="E241" s="461"/>
      <c r="F241" s="461"/>
      <c r="G241" s="486"/>
      <c r="H241" s="490"/>
      <c r="I241" s="484"/>
      <c r="J241" s="484"/>
      <c r="K241" s="548"/>
      <c r="L241" s="464"/>
      <c r="M241" s="465"/>
      <c r="N241" s="485"/>
      <c r="O241" s="466"/>
      <c r="P241" s="466"/>
      <c r="Q241" s="467"/>
      <c r="R241" s="467"/>
      <c r="S241" s="467"/>
      <c r="T241" s="466"/>
      <c r="U241" s="468"/>
      <c r="V241" s="469"/>
      <c r="W241" s="471"/>
      <c r="X241" s="518"/>
      <c r="Y241" s="471"/>
      <c r="Z241" s="518"/>
      <c r="AA241" s="547"/>
      <c r="AB241" s="466"/>
      <c r="AC241" s="466"/>
      <c r="AD241" s="466"/>
      <c r="AE241" s="466"/>
      <c r="AF241" s="466"/>
      <c r="AG241" s="478"/>
      <c r="AH241" s="475"/>
      <c r="AI241" s="475"/>
      <c r="AJ241" s="475"/>
      <c r="AK241" s="475"/>
      <c r="AL241" s="475"/>
      <c r="AM241" s="475"/>
      <c r="AN241" s="475"/>
      <c r="AO241" s="475"/>
      <c r="AP241" s="475"/>
      <c r="AQ241" s="475"/>
      <c r="AR241" s="475"/>
      <c r="AS241" s="475"/>
      <c r="AT241" s="475"/>
      <c r="AU241" s="475"/>
      <c r="AV241" s="475"/>
      <c r="AW241" s="475"/>
      <c r="AX241" s="475"/>
      <c r="AY241" s="475"/>
      <c r="AZ241" s="475"/>
      <c r="BA241" s="475"/>
      <c r="BB241" s="475"/>
      <c r="BC241" s="475"/>
      <c r="BD241" s="475"/>
      <c r="BE241" s="475"/>
      <c r="BF241" s="475"/>
      <c r="BG241" s="475"/>
      <c r="BH241" s="475"/>
      <c r="BI241" s="475"/>
      <c r="BJ241" s="475"/>
      <c r="BK241" s="475"/>
      <c r="BL241" s="475"/>
      <c r="BM241" s="475"/>
      <c r="BN241" s="475"/>
      <c r="BO241" s="475"/>
      <c r="BP241" s="475"/>
      <c r="BQ241" s="475"/>
      <c r="BR241" s="475"/>
      <c r="BS241" s="475"/>
      <c r="BT241" s="475"/>
      <c r="BU241" s="475"/>
      <c r="BV241" s="475"/>
      <c r="BW241" s="475"/>
      <c r="BX241" s="475"/>
      <c r="BY241" s="475"/>
      <c r="BZ241" s="475"/>
      <c r="CA241" s="475"/>
      <c r="CB241" s="475"/>
      <c r="CC241" s="475"/>
    </row>
    <row r="242" customFormat="false" ht="30" hidden="false" customHeight="true" outlineLevel="0" collapsed="false">
      <c r="A242" s="449" t="s">
        <v>1268</v>
      </c>
      <c r="B242" s="460"/>
      <c r="C242" s="460"/>
      <c r="D242" s="538"/>
      <c r="E242" s="461"/>
      <c r="F242" s="461"/>
      <c r="G242" s="486"/>
      <c r="H242" s="490"/>
      <c r="I242" s="484"/>
      <c r="J242" s="484"/>
      <c r="K242" s="484"/>
      <c r="L242" s="464"/>
      <c r="M242" s="465"/>
      <c r="N242" s="485"/>
      <c r="O242" s="466"/>
      <c r="P242" s="466"/>
      <c r="Q242" s="467"/>
      <c r="R242" s="467"/>
      <c r="S242" s="467"/>
      <c r="T242" s="466"/>
      <c r="U242" s="468"/>
      <c r="V242" s="469"/>
      <c r="W242" s="471"/>
      <c r="X242" s="518"/>
      <c r="Y242" s="471"/>
      <c r="Z242" s="518"/>
      <c r="AA242" s="547"/>
      <c r="AB242" s="466"/>
      <c r="AC242" s="466"/>
      <c r="AD242" s="466"/>
      <c r="AE242" s="466"/>
      <c r="AF242" s="466"/>
      <c r="AG242" s="478"/>
      <c r="AH242" s="474"/>
      <c r="AI242" s="475"/>
      <c r="AJ242" s="475"/>
      <c r="AK242" s="475"/>
      <c r="AL242" s="475"/>
      <c r="AM242" s="475"/>
      <c r="AN242" s="475"/>
      <c r="AO242" s="475"/>
      <c r="AP242" s="475"/>
      <c r="AQ242" s="475"/>
      <c r="AR242" s="475"/>
      <c r="AS242" s="475"/>
      <c r="AT242" s="475"/>
      <c r="AU242" s="475"/>
      <c r="AV242" s="475"/>
      <c r="AW242" s="475"/>
      <c r="AX242" s="475"/>
      <c r="AY242" s="475"/>
      <c r="AZ242" s="475"/>
      <c r="BA242" s="475"/>
      <c r="BB242" s="475"/>
      <c r="BC242" s="475"/>
      <c r="BD242" s="475"/>
      <c r="BE242" s="475"/>
      <c r="BF242" s="475"/>
      <c r="BG242" s="475"/>
      <c r="BH242" s="475"/>
      <c r="BI242" s="475"/>
      <c r="BJ242" s="475"/>
      <c r="BK242" s="475"/>
      <c r="BL242" s="475"/>
      <c r="BM242" s="475"/>
      <c r="BN242" s="475"/>
      <c r="BO242" s="475"/>
      <c r="BP242" s="475"/>
      <c r="BQ242" s="475"/>
      <c r="BR242" s="475"/>
      <c r="BS242" s="475"/>
      <c r="BT242" s="475"/>
      <c r="BU242" s="475"/>
      <c r="BV242" s="475"/>
      <c r="BW242" s="475"/>
      <c r="BX242" s="475"/>
      <c r="BY242" s="475"/>
      <c r="BZ242" s="475"/>
      <c r="CA242" s="475"/>
      <c r="CB242" s="475"/>
      <c r="CC242" s="475"/>
    </row>
    <row r="243" customFormat="false" ht="30" hidden="false" customHeight="true" outlineLevel="0" collapsed="false">
      <c r="A243" s="449" t="s">
        <v>1269</v>
      </c>
      <c r="B243" s="460"/>
      <c r="C243" s="460"/>
      <c r="D243" s="538"/>
      <c r="E243" s="461"/>
      <c r="F243" s="461"/>
      <c r="G243" s="486"/>
      <c r="H243" s="490"/>
      <c r="I243" s="484"/>
      <c r="J243" s="484"/>
      <c r="K243" s="484"/>
      <c r="L243" s="464"/>
      <c r="M243" s="484"/>
      <c r="N243" s="488"/>
      <c r="O243" s="466"/>
      <c r="P243" s="466"/>
      <c r="Q243" s="467"/>
      <c r="R243" s="467"/>
      <c r="S243" s="467"/>
      <c r="T243" s="466"/>
      <c r="U243" s="468"/>
      <c r="V243" s="469"/>
      <c r="W243" s="479"/>
      <c r="X243" s="471"/>
      <c r="Y243" s="471"/>
      <c r="Z243" s="518"/>
      <c r="AA243" s="547"/>
      <c r="AB243" s="466"/>
      <c r="AC243" s="466"/>
      <c r="AD243" s="466"/>
      <c r="AE243" s="466"/>
      <c r="AF243" s="466"/>
      <c r="AG243" s="478"/>
      <c r="AH243" s="475"/>
      <c r="AI243" s="475"/>
      <c r="AJ243" s="475"/>
      <c r="AK243" s="475"/>
      <c r="AL243" s="475"/>
      <c r="AM243" s="475"/>
      <c r="AN243" s="475"/>
      <c r="AO243" s="475"/>
      <c r="AP243" s="475"/>
      <c r="AQ243" s="475"/>
      <c r="AR243" s="475"/>
      <c r="AS243" s="475"/>
      <c r="AT243" s="475"/>
      <c r="AU243" s="475"/>
      <c r="AV243" s="475"/>
      <c r="AW243" s="475"/>
      <c r="AX243" s="475"/>
      <c r="AY243" s="475"/>
      <c r="AZ243" s="475"/>
      <c r="BA243" s="475"/>
      <c r="BB243" s="475"/>
      <c r="BC243" s="475"/>
      <c r="BD243" s="475"/>
      <c r="BE243" s="475"/>
      <c r="BF243" s="475"/>
      <c r="BG243" s="475"/>
      <c r="BH243" s="475"/>
      <c r="BI243" s="475"/>
      <c r="BJ243" s="475"/>
      <c r="BK243" s="475"/>
      <c r="BL243" s="475"/>
      <c r="BM243" s="475"/>
      <c r="BN243" s="475"/>
      <c r="BO243" s="475"/>
      <c r="BP243" s="475"/>
      <c r="BQ243" s="475"/>
      <c r="BR243" s="475"/>
      <c r="BS243" s="475"/>
      <c r="BT243" s="475"/>
      <c r="BU243" s="475"/>
      <c r="BV243" s="475"/>
      <c r="BW243" s="475"/>
      <c r="BX243" s="475"/>
      <c r="BY243" s="475"/>
      <c r="BZ243" s="475"/>
      <c r="CA243" s="475"/>
      <c r="CB243" s="475"/>
      <c r="CC243" s="475"/>
    </row>
    <row r="244" customFormat="false" ht="30" hidden="false" customHeight="true" outlineLevel="0" collapsed="false">
      <c r="A244" s="449" t="s">
        <v>1270</v>
      </c>
      <c r="B244" s="460"/>
      <c r="C244" s="460"/>
      <c r="D244" s="538"/>
      <c r="E244" s="461"/>
      <c r="F244" s="461"/>
      <c r="G244" s="486"/>
      <c r="H244" s="490"/>
      <c r="I244" s="484"/>
      <c r="J244" s="484"/>
      <c r="K244" s="484"/>
      <c r="L244" s="464"/>
      <c r="M244" s="484"/>
      <c r="N244" s="488"/>
      <c r="O244" s="466"/>
      <c r="P244" s="466"/>
      <c r="Q244" s="467"/>
      <c r="R244" s="467"/>
      <c r="S244" s="467"/>
      <c r="T244" s="466"/>
      <c r="U244" s="468"/>
      <c r="V244" s="469"/>
      <c r="W244" s="479"/>
      <c r="X244" s="471"/>
      <c r="Y244" s="471"/>
      <c r="Z244" s="518"/>
      <c r="AA244" s="547"/>
      <c r="AB244" s="466"/>
      <c r="AC244" s="466"/>
      <c r="AD244" s="466"/>
      <c r="AE244" s="466"/>
      <c r="AF244" s="466"/>
      <c r="AG244" s="478"/>
      <c r="AH244" s="475"/>
      <c r="AI244" s="475"/>
      <c r="AJ244" s="475"/>
      <c r="AK244" s="475"/>
      <c r="AL244" s="475"/>
      <c r="AM244" s="475"/>
      <c r="AN244" s="475"/>
      <c r="AO244" s="475"/>
      <c r="AP244" s="475"/>
      <c r="AQ244" s="475"/>
      <c r="AR244" s="475"/>
      <c r="AS244" s="475"/>
      <c r="AT244" s="475"/>
      <c r="AU244" s="475"/>
      <c r="AV244" s="475"/>
      <c r="AW244" s="475"/>
      <c r="AX244" s="475"/>
      <c r="AY244" s="475"/>
      <c r="AZ244" s="475"/>
      <c r="BA244" s="475"/>
      <c r="BB244" s="475"/>
      <c r="BC244" s="475"/>
      <c r="BD244" s="475"/>
      <c r="BE244" s="475"/>
      <c r="BF244" s="475"/>
      <c r="BG244" s="475"/>
      <c r="BH244" s="475"/>
      <c r="BI244" s="475"/>
      <c r="BJ244" s="475"/>
      <c r="BK244" s="475"/>
      <c r="BL244" s="475"/>
      <c r="BM244" s="475"/>
      <c r="BN244" s="475"/>
      <c r="BO244" s="475"/>
      <c r="BP244" s="475"/>
      <c r="BQ244" s="475"/>
      <c r="BR244" s="475"/>
      <c r="BS244" s="475"/>
      <c r="BT244" s="475"/>
      <c r="BU244" s="475"/>
      <c r="BV244" s="475"/>
      <c r="BW244" s="475"/>
      <c r="BX244" s="475"/>
      <c r="BY244" s="475"/>
      <c r="BZ244" s="475"/>
      <c r="CA244" s="475"/>
      <c r="CB244" s="475"/>
      <c r="CC244" s="475"/>
    </row>
    <row r="245" customFormat="false" ht="30" hidden="false" customHeight="true" outlineLevel="0" collapsed="false">
      <c r="A245" s="449" t="s">
        <v>1271</v>
      </c>
      <c r="B245" s="460"/>
      <c r="C245" s="460"/>
      <c r="D245" s="538"/>
      <c r="E245" s="461"/>
      <c r="F245" s="461"/>
      <c r="G245" s="486"/>
      <c r="H245" s="490"/>
      <c r="I245" s="484"/>
      <c r="J245" s="484"/>
      <c r="K245" s="484"/>
      <c r="L245" s="464"/>
      <c r="M245" s="484"/>
      <c r="N245" s="488"/>
      <c r="O245" s="466"/>
      <c r="P245" s="466"/>
      <c r="Q245" s="467"/>
      <c r="R245" s="467"/>
      <c r="S245" s="467"/>
      <c r="T245" s="466"/>
      <c r="U245" s="468"/>
      <c r="V245" s="469"/>
      <c r="W245" s="479"/>
      <c r="X245" s="471"/>
      <c r="Y245" s="471"/>
      <c r="Z245" s="518"/>
      <c r="AA245" s="547"/>
      <c r="AB245" s="549"/>
      <c r="AC245" s="549"/>
      <c r="AD245" s="466"/>
      <c r="AE245" s="466"/>
      <c r="AF245" s="466"/>
      <c r="AG245" s="478"/>
      <c r="AH245" s="475"/>
      <c r="AI245" s="475"/>
      <c r="AJ245" s="475"/>
      <c r="AK245" s="475"/>
      <c r="AL245" s="475"/>
      <c r="AM245" s="475"/>
      <c r="AN245" s="475"/>
      <c r="AO245" s="475"/>
      <c r="AP245" s="475"/>
      <c r="AQ245" s="475"/>
      <c r="AR245" s="475"/>
      <c r="AS245" s="475"/>
      <c r="AT245" s="475"/>
      <c r="AU245" s="475"/>
      <c r="AV245" s="475"/>
      <c r="AW245" s="475"/>
      <c r="AX245" s="475"/>
      <c r="AY245" s="475"/>
      <c r="AZ245" s="475"/>
      <c r="BA245" s="475"/>
      <c r="BB245" s="475"/>
      <c r="BC245" s="475"/>
      <c r="BD245" s="475"/>
      <c r="BE245" s="475"/>
      <c r="BF245" s="475"/>
      <c r="BG245" s="475"/>
      <c r="BH245" s="475"/>
      <c r="BI245" s="475"/>
      <c r="BJ245" s="475"/>
      <c r="BK245" s="475"/>
      <c r="BL245" s="475"/>
      <c r="BM245" s="475"/>
      <c r="BN245" s="475"/>
      <c r="BO245" s="475"/>
      <c r="BP245" s="475"/>
      <c r="BQ245" s="475"/>
      <c r="BR245" s="475"/>
      <c r="BS245" s="475"/>
      <c r="BT245" s="475"/>
      <c r="BU245" s="475"/>
      <c r="BV245" s="475"/>
      <c r="BW245" s="475"/>
      <c r="BX245" s="475"/>
      <c r="BY245" s="475"/>
      <c r="BZ245" s="475"/>
      <c r="CA245" s="475"/>
      <c r="CB245" s="475"/>
      <c r="CC245" s="475"/>
    </row>
    <row r="246" customFormat="false" ht="30" hidden="false" customHeight="true" outlineLevel="0" collapsed="false">
      <c r="A246" s="449" t="s">
        <v>1272</v>
      </c>
      <c r="B246" s="550"/>
      <c r="C246" s="550"/>
      <c r="D246" s="538"/>
      <c r="E246" s="551"/>
      <c r="F246" s="551"/>
      <c r="G246" s="552"/>
      <c r="H246" s="553"/>
      <c r="I246" s="554"/>
      <c r="J246" s="554"/>
      <c r="K246" s="554"/>
      <c r="L246" s="555"/>
      <c r="M246" s="554"/>
      <c r="N246" s="488"/>
      <c r="O246" s="466"/>
      <c r="P246" s="466"/>
      <c r="Q246" s="556"/>
      <c r="R246" s="556"/>
      <c r="S246" s="557"/>
      <c r="T246" s="558"/>
      <c r="U246" s="559"/>
      <c r="V246" s="560"/>
      <c r="W246" s="561"/>
      <c r="X246" s="562"/>
      <c r="Y246" s="471"/>
      <c r="Z246" s="518"/>
      <c r="AA246" s="563"/>
      <c r="AB246" s="558"/>
      <c r="AC246" s="558"/>
      <c r="AD246" s="558"/>
      <c r="AE246" s="558"/>
      <c r="AF246" s="558"/>
      <c r="AG246" s="564"/>
    </row>
    <row r="247" customFormat="false" ht="30" hidden="false" customHeight="true" outlineLevel="0" collapsed="false">
      <c r="A247" s="449" t="s">
        <v>1273</v>
      </c>
      <c r="B247" s="550"/>
      <c r="C247" s="550"/>
      <c r="D247" s="565"/>
      <c r="E247" s="551"/>
      <c r="F247" s="551"/>
      <c r="G247" s="552"/>
      <c r="H247" s="553"/>
      <c r="I247" s="554"/>
      <c r="J247" s="554"/>
      <c r="K247" s="554"/>
      <c r="L247" s="555"/>
      <c r="M247" s="554"/>
      <c r="N247" s="565"/>
      <c r="O247" s="449"/>
      <c r="P247" s="449"/>
      <c r="Q247" s="556"/>
      <c r="R247" s="556"/>
      <c r="S247" s="557"/>
      <c r="T247" s="558"/>
      <c r="U247" s="559"/>
      <c r="V247" s="560"/>
      <c r="W247" s="471"/>
      <c r="X247" s="518"/>
      <c r="Y247" s="471"/>
      <c r="Z247" s="518"/>
      <c r="AA247" s="547"/>
      <c r="AB247" s="558"/>
      <c r="AC247" s="558"/>
      <c r="AD247" s="558"/>
      <c r="AE247" s="558"/>
      <c r="AF247" s="558"/>
      <c r="AG247" s="564"/>
    </row>
    <row r="248" customFormat="false" ht="30" hidden="false" customHeight="true" outlineLevel="0" collapsed="false">
      <c r="A248" s="449" t="s">
        <v>1274</v>
      </c>
      <c r="B248" s="550"/>
      <c r="C248" s="550"/>
      <c r="D248" s="566"/>
      <c r="E248" s="551"/>
      <c r="F248" s="551"/>
      <c r="G248" s="552"/>
      <c r="H248" s="553"/>
      <c r="I248" s="554"/>
      <c r="J248" s="554"/>
      <c r="K248" s="554"/>
      <c r="L248" s="555"/>
      <c r="M248" s="506"/>
      <c r="N248" s="449"/>
      <c r="O248" s="449"/>
      <c r="P248" s="449"/>
      <c r="Q248" s="556"/>
      <c r="R248" s="556"/>
      <c r="S248" s="557"/>
      <c r="T248" s="558"/>
      <c r="U248" s="559"/>
      <c r="V248" s="560"/>
      <c r="W248" s="567"/>
      <c r="X248" s="562"/>
      <c r="Y248" s="567"/>
      <c r="Z248" s="562"/>
      <c r="AA248" s="562"/>
      <c r="AB248" s="558"/>
      <c r="AC248" s="558"/>
      <c r="AD248" s="558"/>
      <c r="AE248" s="558"/>
      <c r="AF248" s="558"/>
      <c r="AG248" s="564"/>
    </row>
    <row r="249" customFormat="false" ht="30" hidden="false" customHeight="true" outlineLevel="0" collapsed="false">
      <c r="A249" s="449" t="s">
        <v>1275</v>
      </c>
      <c r="B249" s="550"/>
      <c r="C249" s="550"/>
      <c r="D249" s="566"/>
      <c r="E249" s="551"/>
      <c r="F249" s="551"/>
      <c r="G249" s="486"/>
      <c r="H249" s="553"/>
      <c r="I249" s="554"/>
      <c r="J249" s="554"/>
      <c r="K249" s="554"/>
      <c r="L249" s="555"/>
      <c r="M249" s="506"/>
      <c r="N249" s="566"/>
      <c r="O249" s="449"/>
      <c r="P249" s="466"/>
      <c r="Q249" s="556"/>
      <c r="R249" s="556"/>
      <c r="S249" s="557"/>
      <c r="T249" s="558"/>
      <c r="U249" s="559"/>
      <c r="V249" s="560"/>
      <c r="W249" s="561"/>
      <c r="X249" s="562"/>
      <c r="Y249" s="471"/>
      <c r="Z249" s="518"/>
      <c r="AA249" s="547"/>
      <c r="AB249" s="558"/>
      <c r="AC249" s="558"/>
      <c r="AD249" s="558"/>
      <c r="AE249" s="558"/>
      <c r="AF249" s="558"/>
      <c r="AG249" s="564"/>
    </row>
    <row r="250" customFormat="false" ht="30" hidden="false" customHeight="true" outlineLevel="0" collapsed="false">
      <c r="A250" s="449" t="s">
        <v>1276</v>
      </c>
      <c r="B250" s="550"/>
      <c r="C250" s="550"/>
      <c r="D250" s="566"/>
      <c r="E250" s="551"/>
      <c r="F250" s="551"/>
      <c r="G250" s="552"/>
      <c r="H250" s="553"/>
      <c r="I250" s="554"/>
      <c r="J250" s="554"/>
      <c r="K250" s="554"/>
      <c r="L250" s="555"/>
      <c r="M250" s="506"/>
      <c r="N250" s="449"/>
      <c r="O250" s="449"/>
      <c r="P250" s="449"/>
      <c r="Q250" s="556"/>
      <c r="R250" s="556"/>
      <c r="S250" s="557"/>
      <c r="T250" s="558"/>
      <c r="U250" s="559"/>
      <c r="V250" s="560"/>
      <c r="W250" s="567"/>
      <c r="X250" s="562"/>
      <c r="Y250" s="567"/>
      <c r="Z250" s="562"/>
      <c r="AA250" s="562"/>
      <c r="AB250" s="558"/>
      <c r="AC250" s="558"/>
      <c r="AD250" s="558"/>
      <c r="AE250" s="558"/>
      <c r="AF250" s="558"/>
      <c r="AG250" s="564"/>
    </row>
    <row r="251" customFormat="false" ht="30" hidden="false" customHeight="true" outlineLevel="0" collapsed="false">
      <c r="A251" s="449" t="s">
        <v>1277</v>
      </c>
      <c r="B251" s="550"/>
      <c r="C251" s="550"/>
      <c r="D251" s="449"/>
      <c r="E251" s="551" t="n">
        <f aca="false">C251-B251</f>
        <v>0</v>
      </c>
      <c r="F251" s="551"/>
      <c r="G251" s="552"/>
      <c r="H251" s="553"/>
      <c r="I251" s="554"/>
      <c r="J251" s="554"/>
      <c r="K251" s="554"/>
      <c r="L251" s="555"/>
      <c r="M251" s="554"/>
      <c r="N251" s="449"/>
      <c r="O251" s="449"/>
      <c r="P251" s="449"/>
      <c r="Q251" s="556"/>
      <c r="R251" s="556"/>
      <c r="S251" s="557"/>
      <c r="T251" s="558"/>
      <c r="U251" s="559"/>
      <c r="V251" s="560"/>
      <c r="W251" s="567"/>
      <c r="X251" s="562"/>
      <c r="Y251" s="567"/>
      <c r="Z251" s="562"/>
      <c r="AA251" s="562"/>
      <c r="AB251" s="558"/>
      <c r="AC251" s="558"/>
      <c r="AD251" s="558"/>
      <c r="AE251" s="558"/>
      <c r="AF251" s="558"/>
      <c r="AG251" s="564"/>
    </row>
    <row r="252" customFormat="false" ht="30" hidden="false" customHeight="true" outlineLevel="0" collapsed="false">
      <c r="A252" s="449" t="s">
        <v>1278</v>
      </c>
      <c r="B252" s="550"/>
      <c r="C252" s="550"/>
      <c r="D252" s="449"/>
      <c r="E252" s="551" t="n">
        <f aca="false">C252-B252</f>
        <v>0</v>
      </c>
      <c r="F252" s="551"/>
      <c r="G252" s="552"/>
      <c r="H252" s="553"/>
      <c r="I252" s="554"/>
      <c r="J252" s="554"/>
      <c r="K252" s="554"/>
      <c r="L252" s="555"/>
      <c r="M252" s="554"/>
      <c r="N252" s="449"/>
      <c r="O252" s="449"/>
      <c r="P252" s="449"/>
      <c r="Q252" s="556"/>
      <c r="R252" s="556"/>
      <c r="S252" s="557"/>
      <c r="T252" s="558"/>
      <c r="U252" s="559"/>
      <c r="V252" s="560"/>
      <c r="W252" s="567"/>
      <c r="X252" s="562"/>
      <c r="Y252" s="567"/>
      <c r="Z252" s="562"/>
      <c r="AA252" s="562"/>
      <c r="AB252" s="558"/>
      <c r="AC252" s="558"/>
      <c r="AD252" s="558"/>
      <c r="AE252" s="558"/>
      <c r="AF252" s="558"/>
      <c r="AG252" s="564"/>
    </row>
    <row r="253" customFormat="false" ht="30" hidden="false" customHeight="true" outlineLevel="0" collapsed="false">
      <c r="A253" s="449" t="s">
        <v>1279</v>
      </c>
      <c r="B253" s="550"/>
      <c r="C253" s="550"/>
      <c r="D253" s="449"/>
      <c r="E253" s="551" t="n">
        <f aca="false">C253-B253</f>
        <v>0</v>
      </c>
      <c r="F253" s="551"/>
      <c r="G253" s="552"/>
      <c r="H253" s="553"/>
      <c r="I253" s="554"/>
      <c r="J253" s="554"/>
      <c r="K253" s="554"/>
      <c r="L253" s="555"/>
      <c r="M253" s="554"/>
      <c r="N253" s="449"/>
      <c r="O253" s="449"/>
      <c r="P253" s="449"/>
      <c r="Q253" s="556"/>
      <c r="R253" s="556"/>
      <c r="S253" s="557"/>
      <c r="T253" s="558"/>
      <c r="U253" s="559"/>
      <c r="V253" s="560"/>
      <c r="W253" s="567"/>
      <c r="X253" s="562"/>
      <c r="Y253" s="567"/>
      <c r="Z253" s="562"/>
      <c r="AA253" s="562"/>
      <c r="AB253" s="558"/>
      <c r="AC253" s="558"/>
      <c r="AD253" s="558"/>
      <c r="AE253" s="558"/>
      <c r="AF253" s="558"/>
      <c r="AG253" s="564"/>
    </row>
    <row r="254" customFormat="false" ht="30" hidden="false" customHeight="true" outlineLevel="0" collapsed="false">
      <c r="A254" s="449" t="s">
        <v>1280</v>
      </c>
      <c r="B254" s="550"/>
      <c r="C254" s="550"/>
      <c r="D254" s="449"/>
      <c r="E254" s="551" t="n">
        <f aca="false">C254-B254</f>
        <v>0</v>
      </c>
      <c r="F254" s="551"/>
      <c r="G254" s="552"/>
      <c r="H254" s="553"/>
      <c r="I254" s="554"/>
      <c r="J254" s="554"/>
      <c r="K254" s="554"/>
      <c r="L254" s="555"/>
      <c r="M254" s="554"/>
      <c r="N254" s="449"/>
      <c r="O254" s="449"/>
      <c r="P254" s="449"/>
      <c r="Q254" s="556"/>
      <c r="R254" s="556"/>
      <c r="S254" s="557"/>
      <c r="T254" s="558"/>
      <c r="U254" s="559"/>
      <c r="V254" s="560"/>
      <c r="W254" s="567"/>
      <c r="X254" s="562"/>
      <c r="Y254" s="567"/>
      <c r="Z254" s="562"/>
      <c r="AA254" s="562"/>
      <c r="AB254" s="558"/>
      <c r="AC254" s="558"/>
      <c r="AD254" s="558"/>
      <c r="AE254" s="558"/>
      <c r="AF254" s="558"/>
      <c r="AG254" s="564"/>
    </row>
    <row r="255" customFormat="false" ht="30" hidden="false" customHeight="true" outlineLevel="0" collapsed="false">
      <c r="A255" s="449" t="s">
        <v>1281</v>
      </c>
      <c r="B255" s="550"/>
      <c r="C255" s="550"/>
      <c r="D255" s="449"/>
      <c r="E255" s="551" t="n">
        <f aca="false">C255-B255</f>
        <v>0</v>
      </c>
      <c r="F255" s="551"/>
      <c r="G255" s="552"/>
      <c r="H255" s="553"/>
      <c r="I255" s="554"/>
      <c r="J255" s="554"/>
      <c r="K255" s="554"/>
      <c r="L255" s="555"/>
      <c r="M255" s="554"/>
      <c r="N255" s="449"/>
      <c r="O255" s="449"/>
      <c r="P255" s="449"/>
      <c r="Q255" s="556"/>
      <c r="R255" s="556"/>
      <c r="S255" s="557"/>
      <c r="T255" s="558"/>
      <c r="U255" s="559"/>
      <c r="V255" s="560"/>
      <c r="W255" s="567"/>
      <c r="X255" s="562"/>
      <c r="Y255" s="567"/>
      <c r="Z255" s="562"/>
      <c r="AA255" s="562"/>
      <c r="AB255" s="558"/>
      <c r="AC255" s="558"/>
      <c r="AD255" s="558"/>
      <c r="AE255" s="558"/>
      <c r="AF255" s="558"/>
      <c r="AG255" s="564"/>
    </row>
    <row r="256" customFormat="false" ht="30" hidden="false" customHeight="true" outlineLevel="0" collapsed="false">
      <c r="A256" s="449" t="s">
        <v>1282</v>
      </c>
      <c r="B256" s="550"/>
      <c r="C256" s="550"/>
      <c r="D256" s="449"/>
      <c r="E256" s="551" t="n">
        <f aca="false">C256-B256</f>
        <v>0</v>
      </c>
      <c r="F256" s="551"/>
      <c r="G256" s="552"/>
      <c r="H256" s="553"/>
      <c r="I256" s="554"/>
      <c r="J256" s="554"/>
      <c r="K256" s="554"/>
      <c r="L256" s="555"/>
      <c r="M256" s="554"/>
      <c r="N256" s="449"/>
      <c r="O256" s="449"/>
      <c r="P256" s="449"/>
      <c r="Q256" s="556"/>
      <c r="R256" s="556"/>
      <c r="S256" s="557"/>
      <c r="T256" s="558"/>
      <c r="U256" s="559"/>
      <c r="V256" s="560"/>
      <c r="W256" s="567"/>
      <c r="X256" s="562"/>
      <c r="Y256" s="567"/>
      <c r="Z256" s="562"/>
      <c r="AA256" s="562"/>
      <c r="AB256" s="558"/>
      <c r="AC256" s="558"/>
      <c r="AD256" s="558"/>
      <c r="AE256" s="558"/>
      <c r="AF256" s="558"/>
      <c r="AG256" s="564"/>
    </row>
    <row r="257" customFormat="false" ht="30" hidden="false" customHeight="true" outlineLevel="0" collapsed="false">
      <c r="A257" s="449" t="s">
        <v>1283</v>
      </c>
      <c r="B257" s="550"/>
      <c r="C257" s="550"/>
      <c r="D257" s="449"/>
      <c r="E257" s="551" t="n">
        <f aca="false">C257-B257</f>
        <v>0</v>
      </c>
      <c r="F257" s="551"/>
      <c r="G257" s="552"/>
      <c r="H257" s="553"/>
      <c r="I257" s="554"/>
      <c r="J257" s="554"/>
      <c r="K257" s="554"/>
      <c r="L257" s="555"/>
      <c r="M257" s="554"/>
      <c r="N257" s="449"/>
      <c r="O257" s="449"/>
      <c r="P257" s="449"/>
      <c r="Q257" s="556"/>
      <c r="R257" s="556"/>
      <c r="S257" s="557"/>
      <c r="T257" s="558"/>
      <c r="U257" s="559"/>
      <c r="V257" s="560"/>
      <c r="W257" s="567"/>
      <c r="X257" s="562"/>
      <c r="Y257" s="567"/>
      <c r="Z257" s="562"/>
      <c r="AA257" s="562"/>
      <c r="AB257" s="558"/>
      <c r="AC257" s="558"/>
      <c r="AD257" s="558"/>
      <c r="AE257" s="558"/>
      <c r="AF257" s="558"/>
      <c r="AG257" s="564"/>
    </row>
    <row r="258" customFormat="false" ht="30" hidden="false" customHeight="true" outlineLevel="0" collapsed="false">
      <c r="A258" s="449" t="s">
        <v>1284</v>
      </c>
      <c r="B258" s="550"/>
      <c r="C258" s="550"/>
      <c r="D258" s="449"/>
      <c r="E258" s="551" t="n">
        <f aca="false">C258-B258</f>
        <v>0</v>
      </c>
      <c r="F258" s="551"/>
      <c r="G258" s="552"/>
      <c r="H258" s="553"/>
      <c r="I258" s="554"/>
      <c r="J258" s="554"/>
      <c r="K258" s="554"/>
      <c r="L258" s="555"/>
      <c r="M258" s="554"/>
      <c r="N258" s="449"/>
      <c r="O258" s="449"/>
      <c r="P258" s="449"/>
      <c r="Q258" s="556"/>
      <c r="R258" s="556"/>
      <c r="S258" s="557"/>
      <c r="T258" s="558"/>
      <c r="U258" s="559"/>
      <c r="V258" s="560"/>
      <c r="W258" s="567"/>
      <c r="X258" s="562"/>
      <c r="Y258" s="567"/>
      <c r="Z258" s="562"/>
      <c r="AA258" s="562"/>
      <c r="AB258" s="558"/>
      <c r="AC258" s="558"/>
      <c r="AD258" s="558"/>
      <c r="AE258" s="558"/>
      <c r="AF258" s="558"/>
      <c r="AG258" s="564"/>
    </row>
    <row r="259" customFormat="false" ht="30" hidden="false" customHeight="true" outlineLevel="0" collapsed="false">
      <c r="A259" s="449" t="s">
        <v>1285</v>
      </c>
      <c r="B259" s="550"/>
      <c r="C259" s="550"/>
      <c r="D259" s="449"/>
      <c r="E259" s="551" t="n">
        <f aca="false">C259-B259</f>
        <v>0</v>
      </c>
      <c r="F259" s="551"/>
      <c r="G259" s="552"/>
      <c r="H259" s="553"/>
      <c r="I259" s="554"/>
      <c r="J259" s="554"/>
      <c r="K259" s="554"/>
      <c r="L259" s="555"/>
      <c r="M259" s="554"/>
      <c r="N259" s="449"/>
      <c r="O259" s="449"/>
      <c r="P259" s="449"/>
      <c r="Q259" s="556"/>
      <c r="R259" s="556"/>
      <c r="S259" s="557"/>
      <c r="T259" s="558"/>
      <c r="U259" s="559"/>
      <c r="V259" s="560"/>
      <c r="W259" s="567"/>
      <c r="X259" s="562"/>
      <c r="Y259" s="567"/>
      <c r="Z259" s="562"/>
      <c r="AA259" s="562"/>
      <c r="AB259" s="558"/>
      <c r="AC259" s="558"/>
      <c r="AD259" s="558"/>
      <c r="AE259" s="558"/>
      <c r="AF259" s="558"/>
      <c r="AG259" s="564"/>
    </row>
    <row r="260" customFormat="false" ht="30" hidden="false" customHeight="true" outlineLevel="0" collapsed="false">
      <c r="A260" s="449" t="s">
        <v>1286</v>
      </c>
      <c r="B260" s="550"/>
      <c r="C260" s="550"/>
      <c r="D260" s="449"/>
      <c r="E260" s="551" t="n">
        <f aca="false">C260-B260</f>
        <v>0</v>
      </c>
      <c r="F260" s="551"/>
      <c r="G260" s="552"/>
      <c r="H260" s="553"/>
      <c r="I260" s="554"/>
      <c r="J260" s="554"/>
      <c r="K260" s="554"/>
      <c r="L260" s="555"/>
      <c r="M260" s="554"/>
      <c r="N260" s="449"/>
      <c r="O260" s="449"/>
      <c r="P260" s="449"/>
      <c r="Q260" s="556"/>
      <c r="R260" s="556"/>
      <c r="S260" s="557"/>
      <c r="T260" s="558"/>
      <c r="U260" s="559"/>
      <c r="V260" s="560"/>
      <c r="W260" s="567"/>
      <c r="X260" s="562"/>
      <c r="Y260" s="567"/>
      <c r="Z260" s="562"/>
      <c r="AA260" s="562"/>
      <c r="AB260" s="558"/>
      <c r="AC260" s="558"/>
      <c r="AD260" s="558"/>
      <c r="AE260" s="558"/>
      <c r="AF260" s="558"/>
      <c r="AG260" s="564"/>
    </row>
    <row r="261" customFormat="false" ht="30" hidden="false" customHeight="true" outlineLevel="0" collapsed="false">
      <c r="A261" s="449" t="s">
        <v>1287</v>
      </c>
      <c r="B261" s="550"/>
      <c r="C261" s="550"/>
      <c r="D261" s="449"/>
      <c r="E261" s="551" t="n">
        <f aca="false">C261-B261</f>
        <v>0</v>
      </c>
      <c r="F261" s="551"/>
      <c r="G261" s="552"/>
      <c r="H261" s="553"/>
      <c r="I261" s="554"/>
      <c r="J261" s="554"/>
      <c r="K261" s="554"/>
      <c r="L261" s="555"/>
      <c r="M261" s="554"/>
      <c r="N261" s="449"/>
      <c r="O261" s="449"/>
      <c r="P261" s="449"/>
      <c r="Q261" s="556"/>
      <c r="R261" s="556"/>
      <c r="S261" s="557"/>
      <c r="T261" s="558"/>
      <c r="U261" s="559"/>
      <c r="V261" s="560"/>
      <c r="W261" s="567"/>
      <c r="X261" s="562"/>
      <c r="Y261" s="567"/>
      <c r="Z261" s="562"/>
      <c r="AA261" s="562"/>
      <c r="AB261" s="558"/>
      <c r="AC261" s="558"/>
      <c r="AD261" s="558"/>
      <c r="AE261" s="558"/>
      <c r="AF261" s="558"/>
      <c r="AG261" s="564"/>
    </row>
    <row r="262" customFormat="false" ht="30" hidden="false" customHeight="true" outlineLevel="0" collapsed="false">
      <c r="A262" s="449" t="s">
        <v>1288</v>
      </c>
      <c r="B262" s="550"/>
      <c r="C262" s="550"/>
      <c r="D262" s="449"/>
      <c r="E262" s="551" t="n">
        <f aca="false">C262-B262</f>
        <v>0</v>
      </c>
      <c r="F262" s="551"/>
      <c r="G262" s="552"/>
      <c r="H262" s="553"/>
      <c r="I262" s="554"/>
      <c r="J262" s="554"/>
      <c r="K262" s="554"/>
      <c r="L262" s="555"/>
      <c r="M262" s="554"/>
      <c r="N262" s="449"/>
      <c r="O262" s="449"/>
      <c r="P262" s="449"/>
      <c r="Q262" s="556"/>
      <c r="R262" s="556"/>
      <c r="S262" s="557"/>
      <c r="T262" s="558"/>
      <c r="U262" s="559"/>
      <c r="V262" s="560"/>
      <c r="W262" s="567"/>
      <c r="X262" s="562"/>
      <c r="Y262" s="567"/>
      <c r="Z262" s="562"/>
      <c r="AA262" s="562"/>
      <c r="AB262" s="558"/>
      <c r="AC262" s="558"/>
      <c r="AD262" s="558"/>
      <c r="AE262" s="558"/>
      <c r="AF262" s="558"/>
      <c r="AG262" s="564"/>
    </row>
    <row r="263" customFormat="false" ht="30" hidden="false" customHeight="true" outlineLevel="0" collapsed="false">
      <c r="A263" s="449" t="s">
        <v>1289</v>
      </c>
      <c r="B263" s="550"/>
      <c r="C263" s="550"/>
      <c r="D263" s="449"/>
      <c r="E263" s="551" t="n">
        <f aca="false">C263-B263</f>
        <v>0</v>
      </c>
      <c r="F263" s="551"/>
      <c r="G263" s="552"/>
      <c r="H263" s="553"/>
      <c r="I263" s="554"/>
      <c r="J263" s="554"/>
      <c r="K263" s="554"/>
      <c r="L263" s="555"/>
      <c r="M263" s="554"/>
      <c r="N263" s="449"/>
      <c r="O263" s="449"/>
      <c r="P263" s="449"/>
      <c r="Q263" s="556"/>
      <c r="R263" s="556"/>
      <c r="S263" s="557"/>
      <c r="T263" s="558"/>
      <c r="U263" s="559"/>
      <c r="V263" s="560"/>
      <c r="W263" s="567"/>
      <c r="X263" s="562"/>
      <c r="Y263" s="567"/>
      <c r="Z263" s="562"/>
      <c r="AA263" s="562"/>
      <c r="AB263" s="558"/>
      <c r="AC263" s="558"/>
      <c r="AD263" s="558"/>
      <c r="AE263" s="558"/>
      <c r="AF263" s="558"/>
      <c r="AG263" s="564"/>
    </row>
    <row r="264" customFormat="false" ht="30" hidden="false" customHeight="true" outlineLevel="0" collapsed="false">
      <c r="A264" s="449" t="s">
        <v>1290</v>
      </c>
      <c r="B264" s="550"/>
      <c r="C264" s="550"/>
      <c r="D264" s="449"/>
      <c r="E264" s="551" t="n">
        <f aca="false">C264-B264</f>
        <v>0</v>
      </c>
      <c r="F264" s="551"/>
      <c r="G264" s="552"/>
      <c r="H264" s="553"/>
      <c r="I264" s="554"/>
      <c r="J264" s="554"/>
      <c r="K264" s="554"/>
      <c r="L264" s="555"/>
      <c r="M264" s="554"/>
      <c r="N264" s="449"/>
      <c r="O264" s="449"/>
      <c r="P264" s="449"/>
      <c r="Q264" s="556"/>
      <c r="R264" s="556"/>
      <c r="S264" s="557"/>
      <c r="T264" s="558"/>
      <c r="U264" s="559"/>
      <c r="V264" s="560"/>
      <c r="W264" s="567"/>
      <c r="X264" s="562"/>
      <c r="Y264" s="567"/>
      <c r="Z264" s="562"/>
      <c r="AA264" s="562"/>
      <c r="AB264" s="558"/>
      <c r="AC264" s="558"/>
      <c r="AD264" s="558"/>
      <c r="AE264" s="558"/>
      <c r="AF264" s="558"/>
      <c r="AG264" s="564"/>
    </row>
    <row r="265" customFormat="false" ht="30" hidden="false" customHeight="true" outlineLevel="0" collapsed="false">
      <c r="A265" s="449" t="s">
        <v>1291</v>
      </c>
      <c r="B265" s="550"/>
      <c r="C265" s="550"/>
      <c r="D265" s="449"/>
      <c r="E265" s="551" t="n">
        <f aca="false">C265-B265</f>
        <v>0</v>
      </c>
      <c r="F265" s="551"/>
      <c r="G265" s="552"/>
      <c r="H265" s="553"/>
      <c r="I265" s="554"/>
      <c r="J265" s="554"/>
      <c r="K265" s="554"/>
      <c r="L265" s="555"/>
      <c r="M265" s="554"/>
      <c r="N265" s="449"/>
      <c r="O265" s="449"/>
      <c r="P265" s="449"/>
      <c r="Q265" s="556"/>
      <c r="R265" s="556"/>
      <c r="S265" s="557"/>
      <c r="T265" s="558"/>
      <c r="U265" s="559"/>
      <c r="V265" s="560"/>
      <c r="W265" s="567"/>
      <c r="X265" s="562"/>
      <c r="Y265" s="567"/>
      <c r="Z265" s="562"/>
      <c r="AA265" s="562"/>
      <c r="AB265" s="558"/>
      <c r="AC265" s="558"/>
      <c r="AD265" s="558"/>
      <c r="AE265" s="558"/>
      <c r="AF265" s="558"/>
      <c r="AG265" s="564"/>
    </row>
    <row r="266" customFormat="false" ht="30" hidden="false" customHeight="true" outlineLevel="0" collapsed="false">
      <c r="A266" s="449" t="s">
        <v>1292</v>
      </c>
      <c r="B266" s="550"/>
      <c r="C266" s="550"/>
      <c r="D266" s="449"/>
      <c r="E266" s="551" t="n">
        <f aca="false">C266-B266</f>
        <v>0</v>
      </c>
      <c r="F266" s="551"/>
      <c r="G266" s="552"/>
      <c r="H266" s="553"/>
      <c r="I266" s="554"/>
      <c r="J266" s="554"/>
      <c r="K266" s="554"/>
      <c r="L266" s="555"/>
      <c r="M266" s="554"/>
      <c r="N266" s="449"/>
      <c r="O266" s="449"/>
      <c r="P266" s="449"/>
      <c r="Q266" s="556"/>
      <c r="R266" s="556"/>
      <c r="S266" s="557"/>
      <c r="T266" s="558"/>
      <c r="U266" s="559"/>
      <c r="V266" s="560"/>
      <c r="W266" s="567"/>
      <c r="X266" s="562"/>
      <c r="Y266" s="567"/>
      <c r="Z266" s="562"/>
      <c r="AA266" s="562"/>
      <c r="AB266" s="558"/>
      <c r="AC266" s="558"/>
      <c r="AD266" s="558"/>
      <c r="AE266" s="558"/>
      <c r="AF266" s="558"/>
      <c r="AG266" s="564"/>
    </row>
    <row r="267" customFormat="false" ht="30" hidden="false" customHeight="true" outlineLevel="0" collapsed="false">
      <c r="A267" s="449" t="s">
        <v>1293</v>
      </c>
      <c r="B267" s="550"/>
      <c r="C267" s="550"/>
      <c r="D267" s="449"/>
      <c r="E267" s="551" t="n">
        <f aca="false">C267-B267</f>
        <v>0</v>
      </c>
      <c r="F267" s="551"/>
      <c r="G267" s="552"/>
      <c r="H267" s="553"/>
      <c r="I267" s="554"/>
      <c r="J267" s="554"/>
      <c r="K267" s="554"/>
      <c r="L267" s="555"/>
      <c r="M267" s="554"/>
      <c r="N267" s="449"/>
      <c r="O267" s="449"/>
      <c r="P267" s="449"/>
      <c r="Q267" s="556"/>
      <c r="R267" s="556"/>
      <c r="S267" s="557"/>
      <c r="T267" s="558"/>
      <c r="U267" s="559"/>
      <c r="V267" s="560"/>
      <c r="W267" s="567"/>
      <c r="X267" s="562"/>
      <c r="Y267" s="567"/>
      <c r="Z267" s="562"/>
      <c r="AA267" s="562"/>
      <c r="AB267" s="558"/>
      <c r="AC267" s="558"/>
      <c r="AD267" s="558"/>
      <c r="AE267" s="558"/>
      <c r="AF267" s="558"/>
      <c r="AG267" s="564"/>
    </row>
    <row r="268" customFormat="false" ht="30" hidden="false" customHeight="true" outlineLevel="0" collapsed="false">
      <c r="A268" s="449" t="s">
        <v>1294</v>
      </c>
      <c r="B268" s="550"/>
      <c r="C268" s="550"/>
      <c r="D268" s="449"/>
      <c r="E268" s="551" t="n">
        <f aca="false">C268-B268</f>
        <v>0</v>
      </c>
      <c r="F268" s="551"/>
      <c r="G268" s="552"/>
      <c r="H268" s="553"/>
      <c r="I268" s="554"/>
      <c r="J268" s="554"/>
      <c r="K268" s="554"/>
      <c r="L268" s="555"/>
      <c r="M268" s="554"/>
      <c r="N268" s="449"/>
      <c r="O268" s="449"/>
      <c r="P268" s="449"/>
      <c r="Q268" s="556"/>
      <c r="R268" s="556"/>
      <c r="S268" s="557"/>
      <c r="T268" s="558"/>
      <c r="U268" s="559"/>
      <c r="V268" s="560"/>
      <c r="W268" s="567"/>
      <c r="X268" s="562"/>
      <c r="Y268" s="567"/>
      <c r="Z268" s="562"/>
      <c r="AA268" s="562"/>
      <c r="AB268" s="558"/>
      <c r="AC268" s="558"/>
      <c r="AD268" s="558"/>
      <c r="AE268" s="558"/>
      <c r="AF268" s="558"/>
      <c r="AG268" s="564"/>
    </row>
    <row r="269" customFormat="false" ht="30" hidden="false" customHeight="true" outlineLevel="0" collapsed="false">
      <c r="A269" s="449" t="s">
        <v>1295</v>
      </c>
      <c r="B269" s="550"/>
      <c r="C269" s="550"/>
      <c r="D269" s="449"/>
      <c r="E269" s="551" t="n">
        <f aca="false">C269-B269</f>
        <v>0</v>
      </c>
      <c r="F269" s="551"/>
      <c r="G269" s="552"/>
      <c r="H269" s="553"/>
      <c r="I269" s="554"/>
      <c r="J269" s="554"/>
      <c r="K269" s="554"/>
      <c r="L269" s="555"/>
      <c r="M269" s="554"/>
      <c r="N269" s="449"/>
      <c r="O269" s="449"/>
      <c r="P269" s="449"/>
      <c r="Q269" s="556"/>
      <c r="R269" s="556"/>
      <c r="S269" s="557"/>
      <c r="T269" s="558"/>
      <c r="U269" s="559"/>
      <c r="V269" s="560"/>
      <c r="W269" s="567"/>
      <c r="X269" s="562"/>
      <c r="Y269" s="567"/>
      <c r="Z269" s="562"/>
      <c r="AA269" s="562"/>
      <c r="AB269" s="558"/>
      <c r="AC269" s="558"/>
      <c r="AD269" s="558"/>
      <c r="AE269" s="558"/>
      <c r="AF269" s="558"/>
      <c r="AG269" s="564"/>
    </row>
    <row r="270" customFormat="false" ht="30" hidden="false" customHeight="true" outlineLevel="0" collapsed="false">
      <c r="A270" s="449" t="s">
        <v>1296</v>
      </c>
      <c r="B270" s="550"/>
      <c r="C270" s="550"/>
      <c r="D270" s="449"/>
      <c r="E270" s="551" t="n">
        <f aca="false">C270-B270</f>
        <v>0</v>
      </c>
      <c r="F270" s="551"/>
      <c r="G270" s="552"/>
      <c r="H270" s="553"/>
      <c r="I270" s="554"/>
      <c r="J270" s="554"/>
      <c r="K270" s="554"/>
      <c r="L270" s="555"/>
      <c r="M270" s="554"/>
      <c r="N270" s="449"/>
      <c r="O270" s="449"/>
      <c r="P270" s="449"/>
      <c r="Q270" s="556"/>
      <c r="R270" s="556"/>
      <c r="S270" s="557"/>
      <c r="T270" s="558"/>
      <c r="U270" s="559"/>
      <c r="V270" s="560"/>
      <c r="W270" s="567"/>
      <c r="X270" s="562"/>
      <c r="Y270" s="567"/>
      <c r="Z270" s="562"/>
      <c r="AA270" s="562"/>
      <c r="AB270" s="558"/>
      <c r="AC270" s="558"/>
      <c r="AD270" s="558"/>
      <c r="AE270" s="558"/>
      <c r="AF270" s="558"/>
      <c r="AG270" s="564"/>
    </row>
    <row r="271" customFormat="false" ht="30" hidden="false" customHeight="true" outlineLevel="0" collapsed="false">
      <c r="A271" s="449" t="s">
        <v>1297</v>
      </c>
      <c r="B271" s="550"/>
      <c r="C271" s="550"/>
      <c r="D271" s="449"/>
      <c r="E271" s="551" t="n">
        <f aca="false">C271-B271</f>
        <v>0</v>
      </c>
      <c r="F271" s="551"/>
      <c r="G271" s="552"/>
      <c r="H271" s="553"/>
      <c r="I271" s="554"/>
      <c r="J271" s="554"/>
      <c r="K271" s="554"/>
      <c r="L271" s="555"/>
      <c r="M271" s="554"/>
      <c r="N271" s="449"/>
      <c r="O271" s="449"/>
      <c r="P271" s="449"/>
      <c r="Q271" s="556"/>
      <c r="R271" s="556"/>
      <c r="S271" s="557"/>
      <c r="T271" s="558"/>
      <c r="U271" s="559"/>
      <c r="V271" s="560"/>
      <c r="W271" s="567"/>
      <c r="X271" s="562"/>
      <c r="Y271" s="567"/>
      <c r="Z271" s="562"/>
      <c r="AA271" s="562"/>
      <c r="AB271" s="558"/>
      <c r="AC271" s="558"/>
      <c r="AD271" s="558"/>
      <c r="AE271" s="558"/>
      <c r="AF271" s="558"/>
      <c r="AG271" s="564"/>
    </row>
    <row r="272" customFormat="false" ht="30" hidden="false" customHeight="true" outlineLevel="0" collapsed="false">
      <c r="A272" s="449" t="s">
        <v>1298</v>
      </c>
      <c r="B272" s="550"/>
      <c r="C272" s="550"/>
      <c r="D272" s="449"/>
      <c r="E272" s="551" t="n">
        <f aca="false">C272-B272</f>
        <v>0</v>
      </c>
      <c r="F272" s="551"/>
      <c r="G272" s="552"/>
      <c r="H272" s="553"/>
      <c r="I272" s="554"/>
      <c r="J272" s="554"/>
      <c r="K272" s="554"/>
      <c r="L272" s="555"/>
      <c r="M272" s="554"/>
      <c r="N272" s="449"/>
      <c r="O272" s="449"/>
      <c r="P272" s="449"/>
      <c r="Q272" s="556"/>
      <c r="R272" s="556"/>
      <c r="S272" s="557"/>
      <c r="T272" s="558"/>
      <c r="U272" s="559"/>
      <c r="V272" s="560"/>
      <c r="W272" s="567"/>
      <c r="X272" s="562"/>
      <c r="Y272" s="567"/>
      <c r="Z272" s="562"/>
      <c r="AA272" s="562"/>
      <c r="AB272" s="558"/>
      <c r="AC272" s="558"/>
      <c r="AD272" s="558"/>
      <c r="AE272" s="558"/>
      <c r="AF272" s="558"/>
      <c r="AG272" s="564"/>
    </row>
    <row r="273" customFormat="false" ht="30" hidden="false" customHeight="true" outlineLevel="0" collapsed="false">
      <c r="A273" s="449" t="s">
        <v>1299</v>
      </c>
      <c r="B273" s="550"/>
      <c r="C273" s="550"/>
      <c r="D273" s="449"/>
      <c r="E273" s="551" t="n">
        <f aca="false">C273-B273</f>
        <v>0</v>
      </c>
      <c r="F273" s="551"/>
      <c r="G273" s="552"/>
      <c r="H273" s="553"/>
      <c r="I273" s="554"/>
      <c r="J273" s="554"/>
      <c r="K273" s="554"/>
      <c r="L273" s="555"/>
      <c r="M273" s="554"/>
      <c r="N273" s="449"/>
      <c r="O273" s="449"/>
      <c r="P273" s="449"/>
      <c r="Q273" s="556"/>
      <c r="R273" s="556"/>
      <c r="S273" s="557"/>
      <c r="T273" s="558"/>
      <c r="U273" s="559"/>
      <c r="V273" s="560"/>
      <c r="W273" s="567"/>
      <c r="X273" s="562"/>
      <c r="Y273" s="567"/>
      <c r="Z273" s="562"/>
      <c r="AA273" s="562"/>
      <c r="AB273" s="558"/>
      <c r="AC273" s="558"/>
      <c r="AD273" s="558"/>
      <c r="AE273" s="558"/>
      <c r="AF273" s="558"/>
      <c r="AG273" s="564"/>
    </row>
    <row r="274" customFormat="false" ht="30" hidden="false" customHeight="true" outlineLevel="0" collapsed="false">
      <c r="A274" s="449" t="s">
        <v>1300</v>
      </c>
      <c r="B274" s="550"/>
      <c r="C274" s="550"/>
      <c r="D274" s="449"/>
      <c r="E274" s="551" t="n">
        <f aca="false">C274-B274</f>
        <v>0</v>
      </c>
      <c r="F274" s="551"/>
      <c r="G274" s="552"/>
      <c r="H274" s="553"/>
      <c r="I274" s="554"/>
      <c r="J274" s="554"/>
      <c r="K274" s="554"/>
      <c r="L274" s="555"/>
      <c r="M274" s="554"/>
      <c r="N274" s="449"/>
      <c r="O274" s="449"/>
      <c r="P274" s="449"/>
      <c r="Q274" s="556"/>
      <c r="R274" s="556"/>
      <c r="S274" s="557"/>
      <c r="T274" s="558"/>
      <c r="U274" s="559"/>
      <c r="V274" s="560"/>
      <c r="W274" s="567"/>
      <c r="X274" s="562"/>
      <c r="Y274" s="567"/>
      <c r="Z274" s="562"/>
      <c r="AA274" s="562"/>
      <c r="AB274" s="558"/>
      <c r="AC274" s="558"/>
      <c r="AD274" s="558"/>
      <c r="AE274" s="558"/>
      <c r="AF274" s="558"/>
      <c r="AG274" s="564"/>
    </row>
    <row r="275" customFormat="false" ht="30" hidden="false" customHeight="true" outlineLevel="0" collapsed="false">
      <c r="A275" s="449" t="s">
        <v>1301</v>
      </c>
      <c r="B275" s="550"/>
      <c r="C275" s="550"/>
      <c r="D275" s="449"/>
      <c r="E275" s="551" t="n">
        <f aca="false">C275-B275</f>
        <v>0</v>
      </c>
      <c r="F275" s="551"/>
      <c r="G275" s="552"/>
      <c r="H275" s="553"/>
      <c r="I275" s="554"/>
      <c r="J275" s="554"/>
      <c r="K275" s="554"/>
      <c r="L275" s="555"/>
      <c r="M275" s="554"/>
      <c r="N275" s="449"/>
      <c r="O275" s="449"/>
      <c r="P275" s="449"/>
      <c r="Q275" s="556"/>
      <c r="R275" s="556"/>
      <c r="S275" s="557"/>
      <c r="T275" s="558"/>
      <c r="U275" s="559"/>
      <c r="V275" s="560"/>
      <c r="W275" s="567"/>
      <c r="X275" s="562"/>
      <c r="Y275" s="567"/>
      <c r="Z275" s="562"/>
      <c r="AA275" s="562"/>
      <c r="AB275" s="558"/>
      <c r="AC275" s="558"/>
      <c r="AD275" s="558"/>
      <c r="AE275" s="558"/>
      <c r="AF275" s="558"/>
      <c r="AG275" s="564"/>
    </row>
    <row r="276" customFormat="false" ht="30" hidden="false" customHeight="true" outlineLevel="0" collapsed="false">
      <c r="A276" s="449" t="s">
        <v>1302</v>
      </c>
      <c r="B276" s="550"/>
      <c r="C276" s="550"/>
      <c r="D276" s="449"/>
      <c r="E276" s="551" t="n">
        <f aca="false">C276-B276</f>
        <v>0</v>
      </c>
      <c r="F276" s="551"/>
      <c r="G276" s="552"/>
      <c r="H276" s="553"/>
      <c r="I276" s="554"/>
      <c r="J276" s="554"/>
      <c r="K276" s="554"/>
      <c r="L276" s="555"/>
      <c r="M276" s="554"/>
      <c r="N276" s="449"/>
      <c r="O276" s="449"/>
      <c r="P276" s="449"/>
      <c r="Q276" s="556"/>
      <c r="R276" s="556"/>
      <c r="S276" s="557"/>
      <c r="T276" s="558"/>
      <c r="U276" s="559"/>
      <c r="V276" s="560"/>
      <c r="W276" s="567"/>
      <c r="X276" s="562"/>
      <c r="Y276" s="567"/>
      <c r="Z276" s="562"/>
      <c r="AA276" s="562"/>
      <c r="AB276" s="558"/>
      <c r="AC276" s="558"/>
      <c r="AD276" s="558"/>
      <c r="AE276" s="558"/>
      <c r="AF276" s="558"/>
      <c r="AG276" s="564"/>
    </row>
    <row r="277" customFormat="false" ht="30" hidden="false" customHeight="true" outlineLevel="0" collapsed="false">
      <c r="A277" s="449" t="s">
        <v>1303</v>
      </c>
      <c r="B277" s="550"/>
      <c r="C277" s="550"/>
      <c r="D277" s="449"/>
      <c r="E277" s="551" t="n">
        <f aca="false">C277-B277</f>
        <v>0</v>
      </c>
      <c r="F277" s="551"/>
      <c r="G277" s="552"/>
      <c r="H277" s="553"/>
      <c r="I277" s="554"/>
      <c r="J277" s="554"/>
      <c r="K277" s="554"/>
      <c r="L277" s="555"/>
      <c r="M277" s="554"/>
      <c r="N277" s="449"/>
      <c r="O277" s="449"/>
      <c r="P277" s="449"/>
      <c r="Q277" s="556"/>
      <c r="R277" s="556"/>
      <c r="S277" s="557"/>
      <c r="T277" s="558"/>
      <c r="U277" s="559"/>
      <c r="V277" s="560"/>
      <c r="W277" s="567"/>
      <c r="X277" s="562"/>
      <c r="Y277" s="567"/>
      <c r="Z277" s="562"/>
      <c r="AA277" s="562"/>
      <c r="AB277" s="558"/>
      <c r="AC277" s="558"/>
      <c r="AD277" s="558"/>
      <c r="AE277" s="558"/>
      <c r="AF277" s="558"/>
      <c r="AG277" s="564"/>
    </row>
    <row r="278" customFormat="false" ht="30" hidden="false" customHeight="true" outlineLevel="0" collapsed="false">
      <c r="A278" s="449" t="s">
        <v>1304</v>
      </c>
      <c r="B278" s="550"/>
      <c r="C278" s="550"/>
      <c r="D278" s="449"/>
      <c r="E278" s="551" t="n">
        <f aca="false">C278-B278</f>
        <v>0</v>
      </c>
      <c r="F278" s="551"/>
      <c r="G278" s="552"/>
      <c r="H278" s="553"/>
      <c r="I278" s="554"/>
      <c r="J278" s="554"/>
      <c r="K278" s="554"/>
      <c r="L278" s="555"/>
      <c r="M278" s="554"/>
      <c r="N278" s="449"/>
      <c r="O278" s="449"/>
      <c r="P278" s="449"/>
      <c r="Q278" s="556"/>
      <c r="R278" s="556"/>
      <c r="S278" s="557"/>
      <c r="T278" s="558"/>
      <c r="U278" s="559"/>
      <c r="V278" s="560"/>
      <c r="W278" s="567"/>
      <c r="X278" s="562"/>
      <c r="Y278" s="567"/>
      <c r="Z278" s="562"/>
      <c r="AA278" s="562"/>
      <c r="AB278" s="558"/>
      <c r="AC278" s="558"/>
      <c r="AD278" s="558"/>
      <c r="AE278" s="558"/>
      <c r="AF278" s="558"/>
      <c r="AG278" s="564"/>
    </row>
    <row r="279" customFormat="false" ht="30" hidden="false" customHeight="true" outlineLevel="0" collapsed="false">
      <c r="A279" s="449" t="s">
        <v>1305</v>
      </c>
      <c r="B279" s="550"/>
      <c r="C279" s="550"/>
      <c r="D279" s="449"/>
      <c r="E279" s="551" t="n">
        <f aca="false">C279-B279</f>
        <v>0</v>
      </c>
      <c r="F279" s="551"/>
      <c r="G279" s="552"/>
      <c r="H279" s="553"/>
      <c r="I279" s="554"/>
      <c r="J279" s="554"/>
      <c r="K279" s="554"/>
      <c r="L279" s="555"/>
      <c r="M279" s="554"/>
      <c r="N279" s="449"/>
      <c r="O279" s="449"/>
      <c r="P279" s="449"/>
      <c r="Q279" s="556"/>
      <c r="R279" s="556"/>
      <c r="S279" s="557"/>
      <c r="T279" s="558"/>
      <c r="U279" s="559"/>
      <c r="V279" s="560"/>
      <c r="W279" s="567"/>
      <c r="X279" s="562"/>
      <c r="Y279" s="567"/>
      <c r="Z279" s="562"/>
      <c r="AA279" s="562"/>
      <c r="AB279" s="558"/>
      <c r="AC279" s="558"/>
      <c r="AD279" s="558"/>
      <c r="AE279" s="558"/>
      <c r="AF279" s="558"/>
      <c r="AG279" s="564"/>
    </row>
    <row r="280" customFormat="false" ht="30" hidden="false" customHeight="true" outlineLevel="0" collapsed="false">
      <c r="A280" s="449" t="s">
        <v>1306</v>
      </c>
      <c r="B280" s="550"/>
      <c r="C280" s="550"/>
      <c r="D280" s="449"/>
      <c r="E280" s="551" t="n">
        <f aca="false">C280-B280</f>
        <v>0</v>
      </c>
      <c r="F280" s="551"/>
      <c r="G280" s="552"/>
      <c r="H280" s="553"/>
      <c r="I280" s="554"/>
      <c r="J280" s="554"/>
      <c r="K280" s="554"/>
      <c r="L280" s="555"/>
      <c r="M280" s="554"/>
      <c r="N280" s="449"/>
      <c r="O280" s="449"/>
      <c r="P280" s="449"/>
      <c r="Q280" s="556"/>
      <c r="R280" s="556"/>
      <c r="S280" s="557"/>
      <c r="T280" s="558"/>
      <c r="U280" s="559"/>
      <c r="V280" s="560"/>
      <c r="W280" s="567"/>
      <c r="X280" s="562"/>
      <c r="Y280" s="567"/>
      <c r="Z280" s="562"/>
      <c r="AA280" s="562"/>
      <c r="AB280" s="558"/>
      <c r="AC280" s="558"/>
      <c r="AD280" s="558"/>
      <c r="AE280" s="558"/>
      <c r="AF280" s="558"/>
      <c r="AG280" s="564"/>
    </row>
    <row r="281" customFormat="false" ht="30" hidden="false" customHeight="true" outlineLevel="0" collapsed="false">
      <c r="A281" s="449" t="s">
        <v>1307</v>
      </c>
      <c r="B281" s="550"/>
      <c r="C281" s="550"/>
      <c r="D281" s="449"/>
      <c r="E281" s="551" t="n">
        <f aca="false">C281-B281</f>
        <v>0</v>
      </c>
      <c r="F281" s="551"/>
      <c r="G281" s="552"/>
      <c r="H281" s="553"/>
      <c r="I281" s="554"/>
      <c r="J281" s="554"/>
      <c r="K281" s="554"/>
      <c r="L281" s="555"/>
      <c r="M281" s="554"/>
      <c r="N281" s="449"/>
      <c r="O281" s="449"/>
      <c r="P281" s="449"/>
      <c r="Q281" s="556"/>
      <c r="R281" s="556"/>
      <c r="S281" s="557"/>
      <c r="T281" s="558"/>
      <c r="U281" s="559"/>
      <c r="V281" s="560"/>
      <c r="W281" s="567"/>
      <c r="X281" s="562"/>
      <c r="Y281" s="567"/>
      <c r="Z281" s="562"/>
      <c r="AA281" s="562"/>
      <c r="AB281" s="558"/>
      <c r="AC281" s="558"/>
      <c r="AD281" s="558"/>
      <c r="AE281" s="558"/>
      <c r="AF281" s="558"/>
      <c r="AG281" s="564"/>
    </row>
    <row r="282" customFormat="false" ht="30" hidden="false" customHeight="true" outlineLevel="0" collapsed="false">
      <c r="A282" s="449" t="s">
        <v>1308</v>
      </c>
      <c r="B282" s="550"/>
      <c r="C282" s="550"/>
      <c r="D282" s="449"/>
      <c r="E282" s="551" t="n">
        <f aca="false">C282-B282</f>
        <v>0</v>
      </c>
      <c r="F282" s="551"/>
      <c r="G282" s="552"/>
      <c r="H282" s="553"/>
      <c r="I282" s="554"/>
      <c r="J282" s="554"/>
      <c r="K282" s="554"/>
      <c r="L282" s="555"/>
      <c r="M282" s="554"/>
      <c r="N282" s="449"/>
      <c r="O282" s="449"/>
      <c r="P282" s="449"/>
      <c r="Q282" s="556"/>
      <c r="R282" s="556"/>
      <c r="S282" s="557"/>
      <c r="T282" s="558"/>
      <c r="U282" s="559"/>
      <c r="V282" s="560"/>
      <c r="W282" s="567"/>
      <c r="X282" s="562"/>
      <c r="Y282" s="567"/>
      <c r="Z282" s="562"/>
      <c r="AA282" s="562"/>
      <c r="AB282" s="558"/>
      <c r="AC282" s="558"/>
      <c r="AD282" s="558"/>
      <c r="AE282" s="558"/>
      <c r="AF282" s="558"/>
      <c r="AG282" s="564"/>
    </row>
    <row r="283" customFormat="false" ht="30" hidden="false" customHeight="true" outlineLevel="0" collapsed="false">
      <c r="A283" s="449" t="s">
        <v>1309</v>
      </c>
      <c r="B283" s="550"/>
      <c r="C283" s="550"/>
      <c r="D283" s="449"/>
      <c r="E283" s="551" t="n">
        <f aca="false">C283-B283</f>
        <v>0</v>
      </c>
      <c r="F283" s="551"/>
      <c r="G283" s="552"/>
      <c r="H283" s="553"/>
      <c r="I283" s="554"/>
      <c r="J283" s="554"/>
      <c r="K283" s="554"/>
      <c r="L283" s="555"/>
      <c r="M283" s="554"/>
      <c r="N283" s="449"/>
      <c r="O283" s="449"/>
      <c r="P283" s="449"/>
      <c r="Q283" s="556"/>
      <c r="R283" s="556"/>
      <c r="S283" s="557"/>
      <c r="T283" s="558"/>
      <c r="U283" s="559"/>
      <c r="V283" s="560"/>
      <c r="W283" s="567"/>
      <c r="X283" s="562"/>
      <c r="Y283" s="567"/>
      <c r="Z283" s="562"/>
      <c r="AA283" s="562"/>
      <c r="AB283" s="558"/>
      <c r="AC283" s="558"/>
      <c r="AD283" s="558"/>
      <c r="AE283" s="558"/>
      <c r="AF283" s="558"/>
      <c r="AG283" s="564"/>
    </row>
    <row r="284" customFormat="false" ht="30" hidden="false" customHeight="true" outlineLevel="0" collapsed="false">
      <c r="A284" s="449" t="s">
        <v>1310</v>
      </c>
      <c r="B284" s="550"/>
      <c r="C284" s="550"/>
      <c r="D284" s="449"/>
      <c r="E284" s="551" t="n">
        <f aca="false">C284-B284</f>
        <v>0</v>
      </c>
      <c r="F284" s="551"/>
      <c r="G284" s="552"/>
      <c r="H284" s="553"/>
      <c r="I284" s="554"/>
      <c r="J284" s="554"/>
      <c r="K284" s="554"/>
      <c r="L284" s="555"/>
      <c r="M284" s="554"/>
      <c r="N284" s="449"/>
      <c r="O284" s="449"/>
      <c r="P284" s="449"/>
      <c r="Q284" s="556"/>
      <c r="R284" s="556"/>
      <c r="S284" s="557"/>
      <c r="T284" s="558"/>
      <c r="U284" s="559"/>
      <c r="V284" s="560"/>
      <c r="W284" s="567"/>
      <c r="X284" s="562"/>
      <c r="Y284" s="567"/>
      <c r="Z284" s="562"/>
      <c r="AA284" s="562"/>
      <c r="AB284" s="558"/>
      <c r="AC284" s="558"/>
      <c r="AD284" s="558"/>
      <c r="AE284" s="558"/>
      <c r="AF284" s="558"/>
      <c r="AG284" s="564"/>
    </row>
    <row r="285" customFormat="false" ht="30" hidden="false" customHeight="true" outlineLevel="0" collapsed="false">
      <c r="A285" s="449" t="s">
        <v>1311</v>
      </c>
      <c r="B285" s="550"/>
      <c r="C285" s="550"/>
      <c r="D285" s="449"/>
      <c r="E285" s="551" t="n">
        <f aca="false">C285-B285</f>
        <v>0</v>
      </c>
      <c r="F285" s="551"/>
      <c r="G285" s="552"/>
      <c r="H285" s="553"/>
      <c r="I285" s="554"/>
      <c r="J285" s="554"/>
      <c r="K285" s="554"/>
      <c r="L285" s="555"/>
      <c r="M285" s="554"/>
      <c r="N285" s="449"/>
      <c r="O285" s="449"/>
      <c r="P285" s="449"/>
      <c r="Q285" s="556"/>
      <c r="R285" s="556"/>
      <c r="S285" s="557"/>
      <c r="T285" s="558"/>
      <c r="U285" s="559"/>
      <c r="V285" s="560"/>
      <c r="W285" s="567"/>
      <c r="X285" s="562"/>
      <c r="Y285" s="567"/>
      <c r="Z285" s="562"/>
      <c r="AA285" s="562"/>
      <c r="AB285" s="558"/>
      <c r="AC285" s="558"/>
      <c r="AD285" s="558"/>
      <c r="AE285" s="558"/>
      <c r="AF285" s="558"/>
      <c r="AG285" s="564"/>
    </row>
    <row r="286" customFormat="false" ht="30" hidden="false" customHeight="true" outlineLevel="0" collapsed="false">
      <c r="A286" s="449" t="s">
        <v>1312</v>
      </c>
      <c r="B286" s="550"/>
      <c r="C286" s="550"/>
      <c r="D286" s="449"/>
      <c r="E286" s="551" t="n">
        <f aca="false">C286-B286</f>
        <v>0</v>
      </c>
      <c r="F286" s="551"/>
      <c r="G286" s="552"/>
      <c r="H286" s="553"/>
      <c r="I286" s="554"/>
      <c r="J286" s="554"/>
      <c r="K286" s="554"/>
      <c r="L286" s="555"/>
      <c r="M286" s="554"/>
      <c r="N286" s="449"/>
      <c r="O286" s="449"/>
      <c r="P286" s="449"/>
      <c r="Q286" s="556"/>
      <c r="R286" s="556"/>
      <c r="S286" s="557"/>
      <c r="T286" s="558"/>
      <c r="U286" s="559"/>
      <c r="V286" s="560"/>
      <c r="W286" s="567"/>
      <c r="X286" s="562"/>
      <c r="Y286" s="567"/>
      <c r="Z286" s="562"/>
      <c r="AA286" s="562"/>
      <c r="AB286" s="558"/>
      <c r="AC286" s="558"/>
      <c r="AD286" s="558"/>
      <c r="AE286" s="558"/>
      <c r="AF286" s="558"/>
      <c r="AG286" s="564"/>
    </row>
    <row r="287" customFormat="false" ht="30" hidden="false" customHeight="true" outlineLevel="0" collapsed="false">
      <c r="A287" s="449" t="s">
        <v>1313</v>
      </c>
      <c r="B287" s="550"/>
      <c r="C287" s="550"/>
      <c r="D287" s="449"/>
      <c r="E287" s="551" t="n">
        <f aca="false">C287-B287</f>
        <v>0</v>
      </c>
      <c r="F287" s="551"/>
      <c r="G287" s="552"/>
      <c r="H287" s="553"/>
      <c r="I287" s="554"/>
      <c r="J287" s="554"/>
      <c r="K287" s="554"/>
      <c r="L287" s="555"/>
      <c r="M287" s="554"/>
      <c r="N287" s="449"/>
      <c r="O287" s="449"/>
      <c r="P287" s="449"/>
      <c r="Q287" s="556"/>
      <c r="R287" s="556"/>
      <c r="S287" s="557"/>
      <c r="T287" s="558"/>
      <c r="U287" s="559"/>
      <c r="V287" s="560"/>
      <c r="W287" s="567"/>
      <c r="X287" s="562"/>
      <c r="Y287" s="567"/>
      <c r="Z287" s="562"/>
      <c r="AA287" s="562"/>
      <c r="AB287" s="558"/>
      <c r="AC287" s="558"/>
      <c r="AD287" s="558"/>
      <c r="AE287" s="558"/>
      <c r="AF287" s="558"/>
      <c r="AG287" s="564"/>
    </row>
    <row r="288" customFormat="false" ht="30" hidden="false" customHeight="true" outlineLevel="0" collapsed="false">
      <c r="A288" s="449" t="s">
        <v>1314</v>
      </c>
      <c r="B288" s="550"/>
      <c r="C288" s="550"/>
      <c r="D288" s="449"/>
      <c r="E288" s="551" t="n">
        <f aca="false">C288-B288</f>
        <v>0</v>
      </c>
      <c r="F288" s="551"/>
      <c r="G288" s="552"/>
      <c r="H288" s="553"/>
      <c r="I288" s="554"/>
      <c r="J288" s="554"/>
      <c r="K288" s="554"/>
      <c r="L288" s="555"/>
      <c r="M288" s="554"/>
      <c r="N288" s="449"/>
      <c r="O288" s="449"/>
      <c r="P288" s="449"/>
      <c r="Q288" s="556"/>
      <c r="R288" s="556"/>
      <c r="S288" s="557"/>
      <c r="T288" s="558"/>
      <c r="U288" s="559"/>
      <c r="V288" s="560"/>
      <c r="W288" s="567"/>
      <c r="X288" s="562"/>
      <c r="Y288" s="567"/>
      <c r="Z288" s="562"/>
      <c r="AA288" s="562"/>
      <c r="AB288" s="558"/>
      <c r="AC288" s="558"/>
      <c r="AD288" s="558"/>
      <c r="AE288" s="558"/>
      <c r="AF288" s="558"/>
      <c r="AG288" s="564"/>
    </row>
    <row r="289" customFormat="false" ht="30" hidden="false" customHeight="true" outlineLevel="0" collapsed="false">
      <c r="A289" s="449" t="s">
        <v>1315</v>
      </c>
      <c r="B289" s="550"/>
      <c r="C289" s="550"/>
      <c r="D289" s="449"/>
      <c r="E289" s="551" t="n">
        <f aca="false">C289-B289</f>
        <v>0</v>
      </c>
      <c r="F289" s="551"/>
      <c r="G289" s="552"/>
      <c r="H289" s="553"/>
      <c r="I289" s="554"/>
      <c r="J289" s="554"/>
      <c r="K289" s="554"/>
      <c r="L289" s="555"/>
      <c r="M289" s="554"/>
      <c r="N289" s="449"/>
      <c r="O289" s="449"/>
      <c r="P289" s="449"/>
      <c r="Q289" s="556"/>
      <c r="R289" s="556"/>
      <c r="S289" s="557"/>
      <c r="T289" s="558"/>
      <c r="U289" s="559"/>
      <c r="V289" s="560"/>
      <c r="W289" s="567"/>
      <c r="X289" s="562"/>
      <c r="Y289" s="567"/>
      <c r="Z289" s="562"/>
      <c r="AA289" s="562"/>
      <c r="AB289" s="558"/>
      <c r="AC289" s="558"/>
      <c r="AD289" s="558"/>
      <c r="AE289" s="558"/>
      <c r="AF289" s="558"/>
      <c r="AG289" s="564"/>
    </row>
    <row r="290" customFormat="false" ht="30" hidden="false" customHeight="true" outlineLevel="0" collapsed="false">
      <c r="A290" s="449" t="s">
        <v>1316</v>
      </c>
      <c r="B290" s="550"/>
      <c r="C290" s="550"/>
      <c r="D290" s="449"/>
      <c r="E290" s="551" t="n">
        <f aca="false">C290-B290</f>
        <v>0</v>
      </c>
      <c r="F290" s="551"/>
      <c r="G290" s="552"/>
      <c r="H290" s="553"/>
      <c r="I290" s="554"/>
      <c r="J290" s="554"/>
      <c r="K290" s="554"/>
      <c r="L290" s="555"/>
      <c r="M290" s="554"/>
      <c r="N290" s="449"/>
      <c r="O290" s="449"/>
      <c r="P290" s="449"/>
      <c r="Q290" s="556"/>
      <c r="R290" s="556"/>
      <c r="S290" s="557"/>
      <c r="T290" s="558"/>
      <c r="U290" s="559"/>
      <c r="V290" s="560"/>
      <c r="W290" s="567"/>
      <c r="X290" s="562"/>
      <c r="Y290" s="567"/>
      <c r="Z290" s="562"/>
      <c r="AA290" s="562"/>
      <c r="AB290" s="558"/>
      <c r="AC290" s="558"/>
      <c r="AD290" s="558"/>
      <c r="AE290" s="558"/>
      <c r="AF290" s="558"/>
      <c r="AG290" s="564"/>
    </row>
    <row r="291" customFormat="false" ht="30" hidden="false" customHeight="true" outlineLevel="0" collapsed="false">
      <c r="A291" s="449" t="s">
        <v>1317</v>
      </c>
      <c r="B291" s="550"/>
      <c r="C291" s="550"/>
      <c r="D291" s="449"/>
      <c r="E291" s="551" t="n">
        <f aca="false">C291-B291</f>
        <v>0</v>
      </c>
      <c r="F291" s="551"/>
      <c r="G291" s="552"/>
      <c r="H291" s="553"/>
      <c r="I291" s="554"/>
      <c r="J291" s="554"/>
      <c r="K291" s="554"/>
      <c r="L291" s="555"/>
      <c r="M291" s="554"/>
      <c r="N291" s="449"/>
      <c r="O291" s="449"/>
      <c r="P291" s="449"/>
      <c r="Q291" s="556"/>
      <c r="R291" s="556"/>
      <c r="S291" s="557"/>
      <c r="T291" s="558"/>
      <c r="U291" s="559"/>
      <c r="V291" s="560"/>
      <c r="W291" s="567"/>
      <c r="X291" s="562"/>
      <c r="Y291" s="567"/>
      <c r="Z291" s="562"/>
      <c r="AA291" s="562"/>
      <c r="AB291" s="558"/>
      <c r="AC291" s="558"/>
      <c r="AD291" s="558"/>
      <c r="AE291" s="558"/>
      <c r="AF291" s="558"/>
      <c r="AG291" s="564"/>
    </row>
    <row r="292" customFormat="false" ht="30" hidden="false" customHeight="true" outlineLevel="0" collapsed="false">
      <c r="A292" s="449" t="s">
        <v>1318</v>
      </c>
      <c r="B292" s="550"/>
      <c r="C292" s="550"/>
      <c r="D292" s="449"/>
      <c r="E292" s="551" t="n">
        <f aca="false">C292-B292</f>
        <v>0</v>
      </c>
      <c r="F292" s="551"/>
      <c r="G292" s="552"/>
      <c r="H292" s="553"/>
      <c r="I292" s="554"/>
      <c r="J292" s="554"/>
      <c r="K292" s="554"/>
      <c r="L292" s="555"/>
      <c r="M292" s="554"/>
      <c r="N292" s="449"/>
      <c r="O292" s="449"/>
      <c r="P292" s="449"/>
      <c r="Q292" s="556"/>
      <c r="R292" s="556"/>
      <c r="S292" s="557"/>
      <c r="T292" s="558"/>
      <c r="U292" s="559"/>
      <c r="V292" s="560"/>
      <c r="W292" s="567"/>
      <c r="X292" s="562"/>
      <c r="Y292" s="567"/>
      <c r="Z292" s="562"/>
      <c r="AA292" s="562"/>
      <c r="AB292" s="558"/>
      <c r="AC292" s="558"/>
      <c r="AD292" s="558"/>
      <c r="AE292" s="558"/>
      <c r="AF292" s="558"/>
      <c r="AG292" s="564"/>
    </row>
    <row r="293" customFormat="false" ht="30" hidden="false" customHeight="true" outlineLevel="0" collapsed="false">
      <c r="A293" s="449" t="s">
        <v>1319</v>
      </c>
      <c r="B293" s="550"/>
      <c r="C293" s="550"/>
      <c r="D293" s="449"/>
      <c r="E293" s="551" t="n">
        <f aca="false">C293-B293</f>
        <v>0</v>
      </c>
      <c r="F293" s="551"/>
      <c r="G293" s="552"/>
      <c r="H293" s="553"/>
      <c r="I293" s="554"/>
      <c r="J293" s="554"/>
      <c r="K293" s="554"/>
      <c r="L293" s="555"/>
      <c r="M293" s="554"/>
      <c r="N293" s="449"/>
      <c r="O293" s="449"/>
      <c r="P293" s="449"/>
      <c r="Q293" s="556"/>
      <c r="R293" s="556"/>
      <c r="S293" s="557"/>
      <c r="T293" s="558"/>
      <c r="U293" s="559"/>
      <c r="V293" s="560"/>
      <c r="W293" s="567"/>
      <c r="X293" s="562"/>
      <c r="Y293" s="567"/>
      <c r="Z293" s="562"/>
      <c r="AA293" s="562"/>
      <c r="AB293" s="558"/>
      <c r="AC293" s="558"/>
      <c r="AD293" s="558"/>
      <c r="AE293" s="558"/>
      <c r="AF293" s="558"/>
      <c r="AG293" s="564"/>
    </row>
    <row r="294" customFormat="false" ht="30" hidden="false" customHeight="true" outlineLevel="0" collapsed="false">
      <c r="A294" s="449" t="s">
        <v>1320</v>
      </c>
      <c r="B294" s="550"/>
      <c r="C294" s="550"/>
      <c r="D294" s="449"/>
      <c r="E294" s="551" t="n">
        <f aca="false">C294-B294</f>
        <v>0</v>
      </c>
      <c r="F294" s="551"/>
      <c r="G294" s="552"/>
      <c r="H294" s="553"/>
      <c r="I294" s="554"/>
      <c r="J294" s="554"/>
      <c r="K294" s="554"/>
      <c r="L294" s="555"/>
      <c r="M294" s="554"/>
      <c r="N294" s="449"/>
      <c r="O294" s="449"/>
      <c r="P294" s="449"/>
      <c r="Q294" s="556"/>
      <c r="R294" s="556"/>
      <c r="S294" s="557"/>
      <c r="T294" s="558"/>
      <c r="U294" s="559"/>
      <c r="V294" s="560"/>
      <c r="W294" s="567"/>
      <c r="X294" s="562"/>
      <c r="Y294" s="567"/>
      <c r="Z294" s="562"/>
      <c r="AA294" s="562"/>
      <c r="AB294" s="558"/>
      <c r="AC294" s="558"/>
      <c r="AD294" s="558"/>
      <c r="AE294" s="558"/>
      <c r="AF294" s="558"/>
      <c r="AG294" s="564"/>
    </row>
    <row r="295" customFormat="false" ht="30" hidden="false" customHeight="true" outlineLevel="0" collapsed="false">
      <c r="A295" s="449" t="s">
        <v>1321</v>
      </c>
      <c r="B295" s="550"/>
      <c r="C295" s="550"/>
      <c r="D295" s="449"/>
      <c r="E295" s="551" t="n">
        <f aca="false">C295-B295</f>
        <v>0</v>
      </c>
      <c r="F295" s="551"/>
      <c r="G295" s="552"/>
      <c r="H295" s="553"/>
      <c r="I295" s="554"/>
      <c r="J295" s="554"/>
      <c r="K295" s="554"/>
      <c r="L295" s="555"/>
      <c r="M295" s="554"/>
      <c r="N295" s="449"/>
      <c r="O295" s="449"/>
      <c r="P295" s="449"/>
      <c r="Q295" s="556"/>
      <c r="R295" s="556"/>
      <c r="S295" s="557"/>
      <c r="T295" s="558"/>
      <c r="U295" s="559"/>
      <c r="V295" s="560"/>
      <c r="W295" s="567"/>
      <c r="X295" s="562"/>
      <c r="Y295" s="567"/>
      <c r="Z295" s="562"/>
      <c r="AA295" s="562"/>
      <c r="AB295" s="558"/>
      <c r="AC295" s="558"/>
      <c r="AD295" s="558"/>
      <c r="AE295" s="558"/>
      <c r="AF295" s="558"/>
      <c r="AG295" s="564"/>
    </row>
    <row r="296" customFormat="false" ht="30" hidden="false" customHeight="true" outlineLevel="0" collapsed="false">
      <c r="A296" s="449" t="s">
        <v>1322</v>
      </c>
      <c r="B296" s="550"/>
      <c r="C296" s="550"/>
      <c r="D296" s="449"/>
      <c r="E296" s="551" t="n">
        <f aca="false">C296-B296</f>
        <v>0</v>
      </c>
      <c r="F296" s="551"/>
      <c r="G296" s="552"/>
      <c r="H296" s="553"/>
      <c r="I296" s="554"/>
      <c r="J296" s="554"/>
      <c r="K296" s="554"/>
      <c r="L296" s="555"/>
      <c r="M296" s="554"/>
      <c r="N296" s="449"/>
      <c r="O296" s="449"/>
      <c r="P296" s="449"/>
      <c r="Q296" s="556"/>
      <c r="R296" s="556"/>
      <c r="S296" s="557"/>
      <c r="T296" s="558"/>
      <c r="U296" s="559"/>
      <c r="V296" s="560"/>
      <c r="W296" s="567"/>
      <c r="X296" s="562"/>
      <c r="Y296" s="567"/>
      <c r="Z296" s="562"/>
      <c r="AA296" s="562"/>
      <c r="AB296" s="558"/>
      <c r="AC296" s="558"/>
      <c r="AD296" s="558"/>
      <c r="AE296" s="558"/>
      <c r="AF296" s="558"/>
      <c r="AG296" s="564"/>
    </row>
    <row r="297" customFormat="false" ht="30" hidden="false" customHeight="true" outlineLevel="0" collapsed="false">
      <c r="A297" s="449" t="s">
        <v>1323</v>
      </c>
      <c r="B297" s="550"/>
      <c r="C297" s="550"/>
      <c r="D297" s="449"/>
      <c r="E297" s="551" t="n">
        <f aca="false">C297-B297</f>
        <v>0</v>
      </c>
      <c r="F297" s="551"/>
      <c r="G297" s="552"/>
      <c r="H297" s="553"/>
      <c r="I297" s="554"/>
      <c r="J297" s="554"/>
      <c r="K297" s="554"/>
      <c r="L297" s="555"/>
      <c r="M297" s="554"/>
      <c r="N297" s="449"/>
      <c r="O297" s="449"/>
      <c r="P297" s="449"/>
      <c r="Q297" s="556"/>
      <c r="R297" s="556"/>
      <c r="S297" s="557"/>
      <c r="T297" s="558"/>
      <c r="U297" s="559"/>
      <c r="V297" s="560"/>
      <c r="W297" s="567"/>
      <c r="X297" s="562"/>
      <c r="Y297" s="567"/>
      <c r="Z297" s="562"/>
      <c r="AA297" s="562"/>
      <c r="AB297" s="558"/>
      <c r="AC297" s="558"/>
      <c r="AD297" s="558"/>
      <c r="AE297" s="558"/>
      <c r="AF297" s="558"/>
      <c r="AG297" s="564"/>
    </row>
    <row r="298" customFormat="false" ht="30" hidden="false" customHeight="true" outlineLevel="0" collapsed="false">
      <c r="A298" s="449" t="s">
        <v>1324</v>
      </c>
      <c r="B298" s="550"/>
      <c r="C298" s="550"/>
      <c r="D298" s="449"/>
      <c r="E298" s="551" t="n">
        <f aca="false">C298-B298</f>
        <v>0</v>
      </c>
      <c r="F298" s="551"/>
      <c r="G298" s="552"/>
      <c r="H298" s="553"/>
      <c r="I298" s="554"/>
      <c r="J298" s="554"/>
      <c r="K298" s="554"/>
      <c r="L298" s="555"/>
      <c r="M298" s="554"/>
      <c r="N298" s="449"/>
      <c r="O298" s="449"/>
      <c r="P298" s="449"/>
      <c r="Q298" s="556"/>
      <c r="R298" s="556"/>
      <c r="S298" s="557"/>
      <c r="T298" s="558"/>
      <c r="U298" s="559"/>
      <c r="V298" s="560"/>
      <c r="W298" s="567"/>
      <c r="X298" s="562"/>
      <c r="Y298" s="567"/>
      <c r="Z298" s="562"/>
      <c r="AA298" s="562"/>
      <c r="AB298" s="558"/>
      <c r="AC298" s="558"/>
      <c r="AD298" s="558"/>
      <c r="AE298" s="558"/>
      <c r="AF298" s="558"/>
      <c r="AG298" s="564"/>
    </row>
    <row r="299" customFormat="false" ht="30" hidden="false" customHeight="true" outlineLevel="0" collapsed="false">
      <c r="A299" s="449" t="s">
        <v>1325</v>
      </c>
      <c r="B299" s="550"/>
      <c r="C299" s="550"/>
      <c r="D299" s="449"/>
      <c r="E299" s="551" t="n">
        <f aca="false">C299-B299</f>
        <v>0</v>
      </c>
      <c r="F299" s="551"/>
      <c r="G299" s="552"/>
      <c r="H299" s="553"/>
      <c r="I299" s="554"/>
      <c r="J299" s="554"/>
      <c r="K299" s="554"/>
      <c r="L299" s="555"/>
      <c r="M299" s="554"/>
      <c r="N299" s="449"/>
      <c r="O299" s="449"/>
      <c r="P299" s="449"/>
      <c r="Q299" s="556"/>
      <c r="R299" s="556"/>
      <c r="S299" s="557"/>
      <c r="T299" s="558"/>
      <c r="U299" s="559"/>
      <c r="V299" s="560"/>
      <c r="W299" s="567"/>
      <c r="X299" s="562"/>
      <c r="Y299" s="567"/>
      <c r="Z299" s="562"/>
      <c r="AA299" s="562"/>
      <c r="AB299" s="558"/>
      <c r="AC299" s="558"/>
      <c r="AD299" s="558"/>
      <c r="AE299" s="558"/>
      <c r="AF299" s="558"/>
      <c r="AG299" s="564"/>
    </row>
    <row r="300" customFormat="false" ht="30" hidden="false" customHeight="true" outlineLevel="0" collapsed="false">
      <c r="A300" s="449" t="s">
        <v>1326</v>
      </c>
      <c r="B300" s="550"/>
      <c r="C300" s="550"/>
      <c r="D300" s="449"/>
      <c r="E300" s="551" t="n">
        <f aca="false">C300-B300</f>
        <v>0</v>
      </c>
      <c r="F300" s="551"/>
      <c r="G300" s="552"/>
      <c r="H300" s="553"/>
      <c r="I300" s="554"/>
      <c r="J300" s="554"/>
      <c r="K300" s="554"/>
      <c r="L300" s="555"/>
      <c r="M300" s="554"/>
      <c r="N300" s="449"/>
      <c r="O300" s="449"/>
      <c r="P300" s="449"/>
      <c r="Q300" s="556"/>
      <c r="R300" s="556"/>
      <c r="S300" s="557"/>
      <c r="T300" s="558"/>
      <c r="U300" s="559"/>
      <c r="V300" s="560"/>
      <c r="W300" s="567"/>
      <c r="X300" s="562"/>
      <c r="Y300" s="567"/>
      <c r="Z300" s="562"/>
      <c r="AA300" s="562"/>
      <c r="AB300" s="558"/>
      <c r="AC300" s="558"/>
      <c r="AD300" s="558"/>
      <c r="AE300" s="558"/>
      <c r="AF300" s="558"/>
      <c r="AG300" s="564"/>
    </row>
    <row r="301" customFormat="false" ht="30" hidden="false" customHeight="true" outlineLevel="0" collapsed="false">
      <c r="A301" s="449" t="s">
        <v>1327</v>
      </c>
      <c r="B301" s="550"/>
      <c r="C301" s="550"/>
      <c r="D301" s="449"/>
      <c r="E301" s="551" t="n">
        <f aca="false">C301-B301</f>
        <v>0</v>
      </c>
      <c r="F301" s="551"/>
      <c r="G301" s="552"/>
      <c r="H301" s="553"/>
      <c r="I301" s="554"/>
      <c r="J301" s="554"/>
      <c r="K301" s="554"/>
      <c r="L301" s="555"/>
      <c r="M301" s="554"/>
      <c r="N301" s="449"/>
      <c r="O301" s="449"/>
      <c r="P301" s="449"/>
      <c r="Q301" s="556"/>
      <c r="R301" s="556"/>
      <c r="S301" s="557"/>
      <c r="T301" s="558"/>
      <c r="U301" s="559"/>
      <c r="V301" s="560"/>
      <c r="W301" s="567"/>
      <c r="X301" s="562"/>
      <c r="Y301" s="567"/>
      <c r="Z301" s="562"/>
      <c r="AA301" s="562"/>
      <c r="AB301" s="558"/>
      <c r="AC301" s="558"/>
      <c r="AD301" s="558"/>
      <c r="AE301" s="558"/>
      <c r="AF301" s="558"/>
      <c r="AG301" s="564"/>
    </row>
    <row r="302" customFormat="false" ht="30" hidden="false" customHeight="true" outlineLevel="0" collapsed="false">
      <c r="A302" s="449" t="s">
        <v>1328</v>
      </c>
      <c r="B302" s="550"/>
      <c r="C302" s="550"/>
      <c r="D302" s="449"/>
      <c r="E302" s="551" t="n">
        <f aca="false">C302-B302</f>
        <v>0</v>
      </c>
      <c r="F302" s="551"/>
      <c r="G302" s="552"/>
      <c r="H302" s="553"/>
      <c r="I302" s="554"/>
      <c r="J302" s="554"/>
      <c r="K302" s="554"/>
      <c r="L302" s="555"/>
      <c r="M302" s="554"/>
      <c r="N302" s="449"/>
      <c r="O302" s="449"/>
      <c r="P302" s="449"/>
      <c r="Q302" s="556"/>
      <c r="R302" s="556"/>
      <c r="S302" s="557"/>
      <c r="T302" s="558"/>
      <c r="U302" s="559"/>
      <c r="V302" s="560"/>
      <c r="W302" s="567"/>
      <c r="X302" s="562"/>
      <c r="Y302" s="567"/>
      <c r="Z302" s="562"/>
      <c r="AA302" s="562"/>
      <c r="AB302" s="558"/>
      <c r="AC302" s="558"/>
      <c r="AD302" s="558"/>
      <c r="AE302" s="558"/>
      <c r="AF302" s="558"/>
      <c r="AG302" s="564"/>
    </row>
    <row r="303" customFormat="false" ht="30" hidden="false" customHeight="true" outlineLevel="0" collapsed="false">
      <c r="A303" s="449" t="s">
        <v>1329</v>
      </c>
      <c r="B303" s="550"/>
      <c r="C303" s="550"/>
      <c r="D303" s="449"/>
      <c r="E303" s="551" t="n">
        <f aca="false">C303-B303</f>
        <v>0</v>
      </c>
      <c r="F303" s="551"/>
      <c r="G303" s="552"/>
      <c r="H303" s="553"/>
      <c r="I303" s="554"/>
      <c r="J303" s="554"/>
      <c r="K303" s="554"/>
      <c r="L303" s="555"/>
      <c r="M303" s="554"/>
      <c r="N303" s="449"/>
      <c r="O303" s="449"/>
      <c r="P303" s="449"/>
      <c r="Q303" s="556"/>
      <c r="R303" s="556"/>
      <c r="S303" s="557"/>
      <c r="T303" s="558"/>
      <c r="U303" s="559"/>
      <c r="V303" s="560"/>
      <c r="W303" s="567"/>
      <c r="X303" s="562"/>
      <c r="Y303" s="567"/>
      <c r="Z303" s="562"/>
      <c r="AA303" s="562"/>
      <c r="AB303" s="558"/>
      <c r="AC303" s="558"/>
      <c r="AD303" s="558"/>
      <c r="AE303" s="558"/>
      <c r="AF303" s="558"/>
      <c r="AG303" s="564"/>
    </row>
    <row r="304" customFormat="false" ht="30" hidden="false" customHeight="true" outlineLevel="0" collapsed="false">
      <c r="A304" s="449" t="s">
        <v>1330</v>
      </c>
      <c r="B304" s="550"/>
      <c r="C304" s="550"/>
      <c r="D304" s="449"/>
      <c r="E304" s="551" t="n">
        <f aca="false">C304-B304</f>
        <v>0</v>
      </c>
      <c r="F304" s="551"/>
      <c r="G304" s="552"/>
      <c r="H304" s="553"/>
      <c r="I304" s="554"/>
      <c r="J304" s="554"/>
      <c r="K304" s="554"/>
      <c r="L304" s="555"/>
      <c r="M304" s="554"/>
      <c r="N304" s="449"/>
      <c r="O304" s="449"/>
      <c r="P304" s="449"/>
      <c r="Q304" s="556"/>
      <c r="R304" s="556"/>
      <c r="S304" s="557"/>
      <c r="T304" s="558"/>
      <c r="U304" s="559"/>
      <c r="V304" s="560"/>
      <c r="W304" s="567"/>
      <c r="X304" s="562"/>
      <c r="Y304" s="567"/>
      <c r="Z304" s="562"/>
      <c r="AA304" s="562"/>
      <c r="AB304" s="558"/>
      <c r="AC304" s="558"/>
      <c r="AD304" s="558"/>
      <c r="AE304" s="558"/>
      <c r="AF304" s="558"/>
      <c r="AG304" s="564"/>
    </row>
    <row r="305" customFormat="false" ht="30" hidden="false" customHeight="true" outlineLevel="0" collapsed="false">
      <c r="A305" s="449" t="s">
        <v>1331</v>
      </c>
      <c r="B305" s="550"/>
      <c r="C305" s="550"/>
      <c r="D305" s="449"/>
      <c r="E305" s="551" t="n">
        <f aca="false">C305-B305</f>
        <v>0</v>
      </c>
      <c r="F305" s="551"/>
      <c r="G305" s="552"/>
      <c r="H305" s="553"/>
      <c r="I305" s="554"/>
      <c r="J305" s="554"/>
      <c r="K305" s="554"/>
      <c r="L305" s="555"/>
      <c r="M305" s="554"/>
      <c r="N305" s="449"/>
      <c r="O305" s="449"/>
      <c r="P305" s="449"/>
      <c r="Q305" s="556"/>
      <c r="R305" s="556"/>
      <c r="S305" s="557"/>
      <c r="T305" s="558"/>
      <c r="U305" s="559"/>
      <c r="V305" s="560"/>
      <c r="W305" s="567"/>
      <c r="X305" s="562"/>
      <c r="Y305" s="567"/>
      <c r="Z305" s="562"/>
      <c r="AA305" s="562"/>
      <c r="AB305" s="558"/>
      <c r="AC305" s="558"/>
      <c r="AD305" s="558"/>
      <c r="AE305" s="558"/>
      <c r="AF305" s="558"/>
      <c r="AG305" s="564"/>
    </row>
    <row r="306" customFormat="false" ht="30" hidden="false" customHeight="true" outlineLevel="0" collapsed="false">
      <c r="A306" s="449" t="s">
        <v>1332</v>
      </c>
      <c r="B306" s="550"/>
      <c r="C306" s="550"/>
      <c r="D306" s="449"/>
      <c r="E306" s="551" t="n">
        <f aca="false">C306-B306</f>
        <v>0</v>
      </c>
      <c r="F306" s="551"/>
      <c r="G306" s="552"/>
      <c r="H306" s="553"/>
      <c r="I306" s="554"/>
      <c r="J306" s="554"/>
      <c r="K306" s="554"/>
      <c r="L306" s="555"/>
      <c r="M306" s="554"/>
      <c r="N306" s="449"/>
      <c r="O306" s="449"/>
      <c r="P306" s="449"/>
      <c r="Q306" s="556"/>
      <c r="R306" s="556"/>
      <c r="S306" s="557"/>
      <c r="T306" s="558"/>
      <c r="U306" s="559"/>
      <c r="V306" s="560"/>
      <c r="W306" s="567"/>
      <c r="X306" s="562"/>
      <c r="Y306" s="567"/>
      <c r="Z306" s="562"/>
      <c r="AA306" s="562"/>
      <c r="AB306" s="558"/>
      <c r="AC306" s="558"/>
      <c r="AD306" s="558"/>
      <c r="AE306" s="558"/>
      <c r="AF306" s="558"/>
      <c r="AG306" s="564"/>
    </row>
    <row r="307" customFormat="false" ht="30" hidden="false" customHeight="true" outlineLevel="0" collapsed="false">
      <c r="A307" s="449" t="s">
        <v>1333</v>
      </c>
      <c r="B307" s="550"/>
      <c r="C307" s="550"/>
      <c r="D307" s="449"/>
      <c r="E307" s="551" t="n">
        <f aca="false">C307-B307</f>
        <v>0</v>
      </c>
      <c r="F307" s="551"/>
      <c r="G307" s="552"/>
      <c r="H307" s="553"/>
      <c r="I307" s="554"/>
      <c r="J307" s="554"/>
      <c r="K307" s="554"/>
      <c r="L307" s="555"/>
      <c r="M307" s="554"/>
      <c r="N307" s="449"/>
      <c r="O307" s="449"/>
      <c r="P307" s="449"/>
      <c r="Q307" s="556"/>
      <c r="R307" s="556"/>
      <c r="S307" s="557"/>
      <c r="T307" s="558"/>
      <c r="U307" s="559"/>
      <c r="V307" s="560"/>
      <c r="W307" s="567"/>
      <c r="X307" s="562"/>
      <c r="Y307" s="567"/>
      <c r="Z307" s="562"/>
      <c r="AA307" s="562"/>
      <c r="AB307" s="558"/>
      <c r="AC307" s="558"/>
      <c r="AD307" s="558"/>
      <c r="AE307" s="558"/>
      <c r="AF307" s="558"/>
      <c r="AG307" s="564"/>
    </row>
    <row r="308" customFormat="false" ht="30" hidden="false" customHeight="true" outlineLevel="0" collapsed="false">
      <c r="A308" s="449" t="s">
        <v>1334</v>
      </c>
      <c r="B308" s="550"/>
      <c r="C308" s="550"/>
      <c r="D308" s="449"/>
      <c r="E308" s="551" t="n">
        <f aca="false">C308-B308</f>
        <v>0</v>
      </c>
      <c r="F308" s="551"/>
      <c r="G308" s="552"/>
      <c r="H308" s="553"/>
      <c r="I308" s="554"/>
      <c r="J308" s="554"/>
      <c r="K308" s="554"/>
      <c r="L308" s="555"/>
      <c r="M308" s="554"/>
      <c r="N308" s="449"/>
      <c r="O308" s="449"/>
      <c r="P308" s="449"/>
      <c r="Q308" s="556"/>
      <c r="R308" s="556"/>
      <c r="S308" s="557"/>
      <c r="T308" s="558"/>
      <c r="U308" s="559"/>
      <c r="V308" s="560"/>
      <c r="W308" s="567"/>
      <c r="X308" s="562"/>
      <c r="Y308" s="567"/>
      <c r="Z308" s="562"/>
      <c r="AA308" s="562"/>
      <c r="AB308" s="558"/>
      <c r="AC308" s="558"/>
      <c r="AD308" s="558"/>
      <c r="AE308" s="558"/>
      <c r="AF308" s="558"/>
      <c r="AG308" s="564"/>
    </row>
    <row r="309" customFormat="false" ht="30" hidden="false" customHeight="true" outlineLevel="0" collapsed="false">
      <c r="A309" s="449" t="s">
        <v>1335</v>
      </c>
      <c r="B309" s="550"/>
      <c r="C309" s="550"/>
      <c r="D309" s="449"/>
      <c r="E309" s="551" t="n">
        <f aca="false">C309-B309</f>
        <v>0</v>
      </c>
      <c r="F309" s="551"/>
      <c r="G309" s="552"/>
      <c r="H309" s="553"/>
      <c r="I309" s="554"/>
      <c r="J309" s="554"/>
      <c r="K309" s="554"/>
      <c r="L309" s="555"/>
      <c r="M309" s="554"/>
      <c r="N309" s="449"/>
      <c r="O309" s="449"/>
      <c r="P309" s="449"/>
      <c r="Q309" s="556"/>
      <c r="R309" s="556"/>
      <c r="S309" s="557"/>
      <c r="T309" s="558"/>
      <c r="U309" s="559"/>
      <c r="V309" s="560"/>
      <c r="W309" s="567"/>
      <c r="X309" s="562"/>
      <c r="Y309" s="567"/>
      <c r="Z309" s="562"/>
      <c r="AA309" s="562"/>
      <c r="AB309" s="558"/>
      <c r="AC309" s="558"/>
      <c r="AD309" s="558"/>
      <c r="AE309" s="558"/>
      <c r="AF309" s="558"/>
      <c r="AG309" s="564"/>
    </row>
    <row r="310" customFormat="false" ht="30" hidden="false" customHeight="true" outlineLevel="0" collapsed="false">
      <c r="A310" s="449" t="s">
        <v>1336</v>
      </c>
      <c r="B310" s="550"/>
      <c r="C310" s="550"/>
      <c r="D310" s="449"/>
      <c r="E310" s="551" t="n">
        <f aca="false">C310-B310</f>
        <v>0</v>
      </c>
      <c r="F310" s="551"/>
      <c r="G310" s="552"/>
      <c r="H310" s="553"/>
      <c r="I310" s="554"/>
      <c r="J310" s="554"/>
      <c r="K310" s="554"/>
      <c r="L310" s="555"/>
      <c r="M310" s="554"/>
      <c r="N310" s="449"/>
      <c r="O310" s="449"/>
      <c r="P310" s="449"/>
      <c r="Q310" s="556"/>
      <c r="R310" s="556"/>
      <c r="S310" s="557"/>
      <c r="T310" s="558"/>
      <c r="U310" s="559"/>
      <c r="V310" s="560"/>
      <c r="W310" s="567"/>
      <c r="X310" s="562"/>
      <c r="Y310" s="567"/>
      <c r="Z310" s="562"/>
      <c r="AA310" s="562"/>
      <c r="AB310" s="558"/>
      <c r="AC310" s="558"/>
      <c r="AD310" s="558"/>
      <c r="AE310" s="558"/>
      <c r="AF310" s="558"/>
      <c r="AG310" s="564"/>
    </row>
    <row r="311" customFormat="false" ht="30" hidden="false" customHeight="true" outlineLevel="0" collapsed="false">
      <c r="A311" s="449" t="s">
        <v>1337</v>
      </c>
      <c r="B311" s="550"/>
      <c r="C311" s="550"/>
      <c r="D311" s="449"/>
      <c r="E311" s="551" t="n">
        <f aca="false">C311-B311</f>
        <v>0</v>
      </c>
      <c r="F311" s="551"/>
      <c r="G311" s="552"/>
      <c r="H311" s="553"/>
      <c r="I311" s="554"/>
      <c r="J311" s="554"/>
      <c r="K311" s="554"/>
      <c r="L311" s="555"/>
      <c r="M311" s="554"/>
      <c r="N311" s="449"/>
      <c r="O311" s="449"/>
      <c r="P311" s="449"/>
      <c r="Q311" s="556"/>
      <c r="R311" s="556"/>
      <c r="S311" s="557"/>
      <c r="T311" s="558"/>
      <c r="U311" s="559"/>
      <c r="V311" s="560"/>
      <c r="W311" s="567"/>
      <c r="X311" s="562"/>
      <c r="Y311" s="567"/>
      <c r="Z311" s="562"/>
      <c r="AA311" s="562"/>
      <c r="AB311" s="558"/>
      <c r="AC311" s="558"/>
      <c r="AD311" s="558"/>
      <c r="AE311" s="558"/>
      <c r="AF311" s="558"/>
      <c r="AG311" s="564"/>
    </row>
    <row r="312" customFormat="false" ht="30" hidden="false" customHeight="true" outlineLevel="0" collapsed="false">
      <c r="A312" s="449" t="s">
        <v>1338</v>
      </c>
      <c r="B312" s="550"/>
      <c r="C312" s="550"/>
      <c r="D312" s="449"/>
      <c r="E312" s="551" t="n">
        <f aca="false">C312-B312</f>
        <v>0</v>
      </c>
      <c r="F312" s="551"/>
      <c r="G312" s="552"/>
      <c r="H312" s="553"/>
      <c r="I312" s="554"/>
      <c r="J312" s="554"/>
      <c r="K312" s="554"/>
      <c r="L312" s="555"/>
      <c r="M312" s="554"/>
      <c r="N312" s="449"/>
      <c r="O312" s="449"/>
      <c r="P312" s="449"/>
      <c r="Q312" s="556"/>
      <c r="R312" s="556"/>
      <c r="S312" s="557"/>
      <c r="T312" s="558"/>
      <c r="U312" s="559"/>
      <c r="V312" s="560"/>
      <c r="W312" s="567"/>
      <c r="X312" s="562"/>
      <c r="Y312" s="567"/>
      <c r="Z312" s="562"/>
      <c r="AA312" s="562"/>
      <c r="AB312" s="558"/>
      <c r="AC312" s="558"/>
      <c r="AD312" s="558"/>
      <c r="AE312" s="558"/>
      <c r="AF312" s="558"/>
      <c r="AG312" s="564"/>
    </row>
    <row r="313" customFormat="false" ht="30" hidden="false" customHeight="true" outlineLevel="0" collapsed="false">
      <c r="A313" s="449" t="s">
        <v>1339</v>
      </c>
      <c r="B313" s="550"/>
      <c r="C313" s="550"/>
      <c r="D313" s="449"/>
      <c r="E313" s="551" t="n">
        <f aca="false">C313-B313</f>
        <v>0</v>
      </c>
      <c r="F313" s="551"/>
      <c r="G313" s="552"/>
      <c r="H313" s="553"/>
      <c r="I313" s="554"/>
      <c r="J313" s="554"/>
      <c r="K313" s="554"/>
      <c r="L313" s="555"/>
      <c r="M313" s="554"/>
      <c r="N313" s="449"/>
      <c r="O313" s="449"/>
      <c r="P313" s="449"/>
      <c r="Q313" s="556"/>
      <c r="R313" s="556"/>
      <c r="S313" s="557"/>
      <c r="T313" s="558"/>
      <c r="U313" s="559"/>
      <c r="V313" s="560"/>
      <c r="W313" s="567"/>
      <c r="X313" s="562"/>
      <c r="Y313" s="567"/>
      <c r="Z313" s="562"/>
      <c r="AA313" s="562"/>
      <c r="AB313" s="558"/>
      <c r="AC313" s="558"/>
      <c r="AD313" s="558"/>
      <c r="AE313" s="558"/>
      <c r="AF313" s="558"/>
      <c r="AG313" s="564"/>
    </row>
    <row r="314" customFormat="false" ht="30" hidden="false" customHeight="true" outlineLevel="0" collapsed="false">
      <c r="A314" s="449" t="s">
        <v>1340</v>
      </c>
      <c r="B314" s="550"/>
      <c r="C314" s="550"/>
      <c r="D314" s="449"/>
      <c r="E314" s="551" t="n">
        <f aca="false">C314-B314</f>
        <v>0</v>
      </c>
      <c r="F314" s="551"/>
      <c r="G314" s="552"/>
      <c r="H314" s="553"/>
      <c r="I314" s="554"/>
      <c r="J314" s="554"/>
      <c r="K314" s="554"/>
      <c r="L314" s="555"/>
      <c r="M314" s="554"/>
      <c r="N314" s="449"/>
      <c r="O314" s="449"/>
      <c r="P314" s="449"/>
      <c r="Q314" s="556"/>
      <c r="R314" s="556"/>
      <c r="S314" s="557"/>
      <c r="T314" s="558"/>
      <c r="U314" s="559"/>
      <c r="V314" s="560"/>
      <c r="W314" s="567"/>
      <c r="X314" s="562"/>
      <c r="Y314" s="567"/>
      <c r="Z314" s="562"/>
      <c r="AA314" s="562"/>
      <c r="AB314" s="558"/>
      <c r="AC314" s="558"/>
      <c r="AD314" s="558"/>
      <c r="AE314" s="558"/>
      <c r="AF314" s="558"/>
      <c r="AG314" s="564"/>
    </row>
    <row r="315" customFormat="false" ht="30" hidden="false" customHeight="true" outlineLevel="0" collapsed="false">
      <c r="A315" s="449" t="s">
        <v>1341</v>
      </c>
      <c r="B315" s="550"/>
      <c r="C315" s="550"/>
      <c r="D315" s="449"/>
      <c r="E315" s="551" t="n">
        <f aca="false">C315-B315</f>
        <v>0</v>
      </c>
      <c r="F315" s="551"/>
      <c r="G315" s="552"/>
      <c r="H315" s="553"/>
      <c r="I315" s="554"/>
      <c r="J315" s="554"/>
      <c r="K315" s="554"/>
      <c r="L315" s="555"/>
      <c r="M315" s="554"/>
      <c r="N315" s="449"/>
      <c r="O315" s="449"/>
      <c r="P315" s="449"/>
      <c r="Q315" s="556"/>
      <c r="R315" s="556"/>
      <c r="S315" s="557"/>
      <c r="T315" s="558"/>
      <c r="U315" s="559"/>
      <c r="V315" s="560"/>
      <c r="W315" s="567"/>
      <c r="X315" s="562"/>
      <c r="Y315" s="567"/>
      <c r="Z315" s="562"/>
      <c r="AA315" s="562"/>
      <c r="AB315" s="558"/>
      <c r="AC315" s="558"/>
      <c r="AD315" s="558"/>
      <c r="AE315" s="558"/>
      <c r="AF315" s="558"/>
      <c r="AG315" s="564"/>
    </row>
    <row r="316" customFormat="false" ht="30" hidden="false" customHeight="true" outlineLevel="0" collapsed="false">
      <c r="A316" s="449" t="s">
        <v>1342</v>
      </c>
      <c r="B316" s="550"/>
      <c r="C316" s="550"/>
      <c r="D316" s="449"/>
      <c r="E316" s="551" t="n">
        <f aca="false">C316-B316</f>
        <v>0</v>
      </c>
      <c r="F316" s="551"/>
      <c r="G316" s="552"/>
      <c r="H316" s="553"/>
      <c r="I316" s="554"/>
      <c r="J316" s="554"/>
      <c r="K316" s="554"/>
      <c r="L316" s="555"/>
      <c r="M316" s="554"/>
      <c r="N316" s="449"/>
      <c r="O316" s="449"/>
      <c r="P316" s="449"/>
      <c r="Q316" s="556"/>
      <c r="R316" s="556"/>
      <c r="S316" s="557"/>
      <c r="T316" s="558"/>
      <c r="U316" s="559"/>
      <c r="V316" s="560"/>
      <c r="W316" s="567"/>
      <c r="X316" s="562"/>
      <c r="Y316" s="567"/>
      <c r="Z316" s="562"/>
      <c r="AA316" s="562"/>
      <c r="AB316" s="558"/>
      <c r="AC316" s="558"/>
      <c r="AD316" s="558"/>
      <c r="AE316" s="558"/>
      <c r="AF316" s="558"/>
      <c r="AG316" s="564"/>
    </row>
    <row r="317" customFormat="false" ht="30" hidden="false" customHeight="true" outlineLevel="0" collapsed="false">
      <c r="A317" s="449" t="s">
        <v>1343</v>
      </c>
      <c r="B317" s="550"/>
      <c r="C317" s="550"/>
      <c r="D317" s="449"/>
      <c r="E317" s="551" t="n">
        <f aca="false">C317-B317</f>
        <v>0</v>
      </c>
      <c r="F317" s="551"/>
      <c r="G317" s="552"/>
      <c r="H317" s="553"/>
      <c r="I317" s="554"/>
      <c r="J317" s="554"/>
      <c r="K317" s="554"/>
      <c r="L317" s="555"/>
      <c r="M317" s="554"/>
      <c r="N317" s="449"/>
      <c r="O317" s="449"/>
      <c r="P317" s="449"/>
      <c r="Q317" s="556"/>
      <c r="R317" s="556"/>
      <c r="S317" s="557"/>
      <c r="T317" s="558"/>
      <c r="U317" s="559"/>
      <c r="V317" s="560"/>
      <c r="W317" s="567"/>
      <c r="X317" s="562"/>
      <c r="Y317" s="567"/>
      <c r="Z317" s="562"/>
      <c r="AA317" s="562"/>
      <c r="AB317" s="558"/>
      <c r="AC317" s="558"/>
      <c r="AD317" s="558"/>
      <c r="AE317" s="558"/>
      <c r="AF317" s="558"/>
      <c r="AG317" s="564"/>
    </row>
    <row r="318" customFormat="false" ht="30" hidden="false" customHeight="true" outlineLevel="0" collapsed="false">
      <c r="A318" s="449" t="s">
        <v>1344</v>
      </c>
      <c r="B318" s="550"/>
      <c r="C318" s="550"/>
      <c r="D318" s="449"/>
      <c r="E318" s="551" t="n">
        <f aca="false">C318-B318</f>
        <v>0</v>
      </c>
      <c r="F318" s="551"/>
      <c r="G318" s="552"/>
      <c r="H318" s="553"/>
      <c r="I318" s="554"/>
      <c r="J318" s="554"/>
      <c r="K318" s="554"/>
      <c r="L318" s="555"/>
      <c r="M318" s="554"/>
      <c r="N318" s="449"/>
      <c r="O318" s="449"/>
      <c r="P318" s="449"/>
      <c r="Q318" s="556"/>
      <c r="R318" s="556"/>
      <c r="S318" s="557"/>
      <c r="T318" s="558"/>
      <c r="U318" s="559"/>
      <c r="V318" s="560"/>
      <c r="W318" s="567"/>
      <c r="X318" s="562"/>
      <c r="Y318" s="567"/>
      <c r="Z318" s="562"/>
      <c r="AA318" s="562"/>
      <c r="AB318" s="558"/>
      <c r="AC318" s="558"/>
      <c r="AD318" s="558"/>
      <c r="AE318" s="558"/>
      <c r="AF318" s="558"/>
      <c r="AG318" s="564"/>
    </row>
    <row r="319" customFormat="false" ht="30" hidden="false" customHeight="true" outlineLevel="0" collapsed="false">
      <c r="A319" s="449" t="s">
        <v>1345</v>
      </c>
      <c r="B319" s="550"/>
      <c r="C319" s="550"/>
      <c r="D319" s="449"/>
      <c r="E319" s="551" t="n">
        <f aca="false">C319-B319</f>
        <v>0</v>
      </c>
      <c r="F319" s="551"/>
      <c r="G319" s="552"/>
      <c r="H319" s="553"/>
      <c r="I319" s="554"/>
      <c r="J319" s="554"/>
      <c r="K319" s="554"/>
      <c r="L319" s="555"/>
      <c r="M319" s="554"/>
      <c r="N319" s="449"/>
      <c r="O319" s="449"/>
      <c r="P319" s="449"/>
      <c r="Q319" s="556"/>
      <c r="R319" s="556"/>
      <c r="S319" s="557"/>
      <c r="T319" s="558"/>
      <c r="U319" s="559"/>
      <c r="V319" s="560"/>
      <c r="W319" s="567"/>
      <c r="X319" s="562"/>
      <c r="Y319" s="567"/>
      <c r="Z319" s="562"/>
      <c r="AA319" s="562"/>
      <c r="AB319" s="558"/>
      <c r="AC319" s="558"/>
      <c r="AD319" s="558"/>
      <c r="AE319" s="558"/>
      <c r="AF319" s="558"/>
      <c r="AG319" s="564"/>
    </row>
    <row r="320" customFormat="false" ht="30" hidden="false" customHeight="true" outlineLevel="0" collapsed="false">
      <c r="A320" s="449" t="s">
        <v>1346</v>
      </c>
      <c r="B320" s="550"/>
      <c r="C320" s="550"/>
      <c r="D320" s="449"/>
      <c r="E320" s="551" t="n">
        <f aca="false">C320-B320</f>
        <v>0</v>
      </c>
      <c r="F320" s="551"/>
      <c r="G320" s="552"/>
      <c r="H320" s="553"/>
      <c r="I320" s="554"/>
      <c r="J320" s="554"/>
      <c r="K320" s="554"/>
      <c r="L320" s="555"/>
      <c r="M320" s="554"/>
      <c r="N320" s="449"/>
      <c r="O320" s="449"/>
      <c r="P320" s="449"/>
      <c r="Q320" s="556"/>
      <c r="R320" s="556"/>
      <c r="S320" s="557"/>
      <c r="T320" s="558"/>
      <c r="U320" s="559"/>
      <c r="V320" s="560"/>
      <c r="W320" s="567"/>
      <c r="X320" s="562"/>
      <c r="Y320" s="567"/>
      <c r="Z320" s="562"/>
      <c r="AA320" s="562"/>
      <c r="AB320" s="558"/>
      <c r="AC320" s="558"/>
      <c r="AD320" s="558"/>
      <c r="AE320" s="558"/>
      <c r="AF320" s="558"/>
      <c r="AG320" s="564"/>
    </row>
    <row r="321" customFormat="false" ht="30" hidden="false" customHeight="true" outlineLevel="0" collapsed="false">
      <c r="A321" s="449" t="s">
        <v>1347</v>
      </c>
      <c r="B321" s="550"/>
      <c r="C321" s="550"/>
      <c r="D321" s="449"/>
      <c r="E321" s="551" t="n">
        <f aca="false">C321-B321</f>
        <v>0</v>
      </c>
      <c r="F321" s="551"/>
      <c r="G321" s="552"/>
      <c r="H321" s="553"/>
      <c r="I321" s="554"/>
      <c r="J321" s="554"/>
      <c r="K321" s="554"/>
      <c r="L321" s="555"/>
      <c r="M321" s="554"/>
      <c r="N321" s="449"/>
      <c r="O321" s="449"/>
      <c r="P321" s="449"/>
      <c r="Q321" s="556"/>
      <c r="R321" s="556"/>
      <c r="S321" s="557"/>
      <c r="T321" s="558"/>
      <c r="U321" s="559"/>
      <c r="V321" s="560"/>
      <c r="W321" s="567"/>
      <c r="X321" s="562"/>
      <c r="Y321" s="567"/>
      <c r="Z321" s="562"/>
      <c r="AA321" s="562"/>
      <c r="AB321" s="558"/>
      <c r="AC321" s="558"/>
      <c r="AD321" s="558"/>
      <c r="AE321" s="558"/>
      <c r="AF321" s="558"/>
      <c r="AG321" s="564"/>
    </row>
    <row r="322" customFormat="false" ht="30" hidden="false" customHeight="true" outlineLevel="0" collapsed="false">
      <c r="A322" s="449" t="s">
        <v>1348</v>
      </c>
      <c r="B322" s="550"/>
      <c r="C322" s="550"/>
      <c r="D322" s="449"/>
      <c r="E322" s="551" t="n">
        <f aca="false">C322-B322</f>
        <v>0</v>
      </c>
      <c r="F322" s="551"/>
      <c r="G322" s="552"/>
      <c r="H322" s="553"/>
      <c r="I322" s="554"/>
      <c r="J322" s="554"/>
      <c r="K322" s="554"/>
      <c r="L322" s="555"/>
      <c r="M322" s="554"/>
      <c r="N322" s="449"/>
      <c r="O322" s="449"/>
      <c r="P322" s="449"/>
      <c r="Q322" s="556"/>
      <c r="R322" s="556"/>
      <c r="S322" s="557"/>
      <c r="T322" s="558"/>
      <c r="U322" s="559"/>
      <c r="V322" s="560"/>
      <c r="W322" s="567"/>
      <c r="X322" s="562"/>
      <c r="Y322" s="567"/>
      <c r="Z322" s="562"/>
      <c r="AA322" s="562"/>
      <c r="AB322" s="558"/>
      <c r="AC322" s="558"/>
      <c r="AD322" s="558"/>
      <c r="AE322" s="558"/>
      <c r="AF322" s="558"/>
      <c r="AG322" s="564"/>
    </row>
    <row r="323" customFormat="false" ht="30" hidden="false" customHeight="true" outlineLevel="0" collapsed="false">
      <c r="A323" s="449" t="s">
        <v>1349</v>
      </c>
      <c r="B323" s="550"/>
      <c r="C323" s="550"/>
      <c r="D323" s="449"/>
      <c r="E323" s="551" t="n">
        <f aca="false">C323-B323</f>
        <v>0</v>
      </c>
      <c r="F323" s="551"/>
      <c r="G323" s="552"/>
      <c r="H323" s="553"/>
      <c r="I323" s="554"/>
      <c r="J323" s="554"/>
      <c r="K323" s="554"/>
      <c r="L323" s="555"/>
      <c r="M323" s="554"/>
      <c r="N323" s="449"/>
      <c r="O323" s="449"/>
      <c r="P323" s="449"/>
      <c r="Q323" s="556"/>
      <c r="R323" s="556"/>
      <c r="S323" s="557"/>
      <c r="T323" s="558"/>
      <c r="U323" s="559"/>
      <c r="V323" s="560"/>
      <c r="W323" s="567"/>
      <c r="X323" s="562"/>
      <c r="Y323" s="567"/>
      <c r="Z323" s="562"/>
      <c r="AA323" s="562"/>
      <c r="AB323" s="558"/>
      <c r="AC323" s="558"/>
      <c r="AD323" s="558"/>
      <c r="AE323" s="558"/>
      <c r="AF323" s="558"/>
      <c r="AG323" s="564"/>
    </row>
    <row r="324" customFormat="false" ht="30" hidden="false" customHeight="true" outlineLevel="0" collapsed="false">
      <c r="A324" s="449" t="s">
        <v>1350</v>
      </c>
      <c r="B324" s="550"/>
      <c r="C324" s="550"/>
      <c r="D324" s="449"/>
      <c r="E324" s="551" t="n">
        <f aca="false">C324-B324</f>
        <v>0</v>
      </c>
      <c r="F324" s="551"/>
      <c r="G324" s="552"/>
      <c r="H324" s="553"/>
      <c r="I324" s="554"/>
      <c r="J324" s="554"/>
      <c r="K324" s="554"/>
      <c r="L324" s="555"/>
      <c r="M324" s="554"/>
      <c r="N324" s="449"/>
      <c r="O324" s="449"/>
      <c r="P324" s="449"/>
      <c r="Q324" s="556"/>
      <c r="R324" s="556"/>
      <c r="S324" s="557"/>
      <c r="T324" s="558"/>
      <c r="U324" s="559"/>
      <c r="V324" s="560"/>
      <c r="W324" s="567"/>
      <c r="X324" s="562"/>
      <c r="Y324" s="567"/>
      <c r="Z324" s="562"/>
      <c r="AA324" s="562"/>
      <c r="AB324" s="558"/>
      <c r="AC324" s="558"/>
      <c r="AD324" s="558"/>
      <c r="AE324" s="558"/>
      <c r="AF324" s="558"/>
      <c r="AG324" s="564"/>
    </row>
    <row r="325" customFormat="false" ht="30" hidden="false" customHeight="true" outlineLevel="0" collapsed="false">
      <c r="A325" s="449" t="s">
        <v>1351</v>
      </c>
      <c r="B325" s="550"/>
      <c r="C325" s="550"/>
      <c r="D325" s="449"/>
      <c r="E325" s="551" t="n">
        <f aca="false">C325-B325</f>
        <v>0</v>
      </c>
      <c r="F325" s="551"/>
      <c r="G325" s="552"/>
      <c r="H325" s="553"/>
      <c r="I325" s="554"/>
      <c r="J325" s="554"/>
      <c r="K325" s="554"/>
      <c r="L325" s="555"/>
      <c r="M325" s="554"/>
      <c r="N325" s="449"/>
      <c r="O325" s="449"/>
      <c r="P325" s="449"/>
      <c r="Q325" s="556"/>
      <c r="R325" s="556"/>
      <c r="S325" s="557"/>
      <c r="T325" s="558"/>
      <c r="U325" s="559"/>
      <c r="V325" s="560"/>
      <c r="W325" s="567"/>
      <c r="X325" s="562"/>
      <c r="Y325" s="567"/>
      <c r="Z325" s="562"/>
      <c r="AA325" s="562"/>
      <c r="AB325" s="558"/>
      <c r="AC325" s="558"/>
      <c r="AD325" s="558"/>
      <c r="AE325" s="558"/>
      <c r="AF325" s="558"/>
      <c r="AG325" s="564"/>
    </row>
    <row r="326" customFormat="false" ht="30" hidden="false" customHeight="true" outlineLevel="0" collapsed="false">
      <c r="A326" s="449" t="s">
        <v>1352</v>
      </c>
      <c r="B326" s="550"/>
      <c r="C326" s="550"/>
      <c r="D326" s="449"/>
      <c r="E326" s="551" t="n">
        <f aca="false">C326-B326</f>
        <v>0</v>
      </c>
      <c r="F326" s="551"/>
      <c r="G326" s="552"/>
      <c r="H326" s="553"/>
      <c r="I326" s="554"/>
      <c r="J326" s="554"/>
      <c r="K326" s="554"/>
      <c r="L326" s="555"/>
      <c r="M326" s="554"/>
      <c r="N326" s="449"/>
      <c r="O326" s="449"/>
      <c r="P326" s="449"/>
      <c r="Q326" s="556"/>
      <c r="R326" s="556"/>
      <c r="S326" s="557"/>
      <c r="T326" s="558"/>
      <c r="U326" s="559"/>
      <c r="V326" s="560"/>
      <c r="W326" s="567"/>
      <c r="X326" s="562"/>
      <c r="Y326" s="567"/>
      <c r="Z326" s="562"/>
      <c r="AA326" s="562"/>
      <c r="AB326" s="558"/>
      <c r="AC326" s="558"/>
      <c r="AD326" s="558"/>
      <c r="AE326" s="558"/>
      <c r="AF326" s="558"/>
      <c r="AG326" s="564"/>
    </row>
    <row r="327" customFormat="false" ht="30" hidden="false" customHeight="true" outlineLevel="0" collapsed="false">
      <c r="A327" s="449" t="s">
        <v>1353</v>
      </c>
      <c r="B327" s="550"/>
      <c r="C327" s="550"/>
      <c r="D327" s="449"/>
      <c r="E327" s="551" t="n">
        <f aca="false">C327-B327</f>
        <v>0</v>
      </c>
      <c r="F327" s="551"/>
      <c r="G327" s="552"/>
      <c r="H327" s="553"/>
      <c r="I327" s="554"/>
      <c r="J327" s="554"/>
      <c r="K327" s="554"/>
      <c r="L327" s="555"/>
      <c r="M327" s="554"/>
      <c r="N327" s="449"/>
      <c r="O327" s="449"/>
      <c r="P327" s="449"/>
      <c r="Q327" s="556"/>
      <c r="R327" s="556"/>
      <c r="S327" s="557"/>
      <c r="T327" s="558"/>
      <c r="U327" s="559"/>
      <c r="V327" s="560"/>
      <c r="W327" s="567"/>
      <c r="X327" s="562"/>
      <c r="Y327" s="567"/>
      <c r="Z327" s="562"/>
      <c r="AA327" s="562"/>
      <c r="AB327" s="558"/>
      <c r="AC327" s="558"/>
      <c r="AD327" s="558"/>
      <c r="AE327" s="558"/>
      <c r="AF327" s="558"/>
      <c r="AG327" s="564"/>
    </row>
    <row r="328" customFormat="false" ht="30" hidden="false" customHeight="true" outlineLevel="0" collapsed="false">
      <c r="A328" s="449" t="s">
        <v>1354</v>
      </c>
      <c r="B328" s="550"/>
      <c r="C328" s="550"/>
      <c r="D328" s="449"/>
      <c r="E328" s="551" t="n">
        <f aca="false">C328-B328</f>
        <v>0</v>
      </c>
      <c r="F328" s="551"/>
      <c r="G328" s="552"/>
      <c r="H328" s="553"/>
      <c r="I328" s="554"/>
      <c r="J328" s="554"/>
      <c r="K328" s="554"/>
      <c r="L328" s="555"/>
      <c r="M328" s="554"/>
      <c r="N328" s="449"/>
      <c r="O328" s="449"/>
      <c r="P328" s="449"/>
      <c r="Q328" s="556"/>
      <c r="R328" s="556"/>
      <c r="S328" s="557"/>
      <c r="T328" s="558"/>
      <c r="U328" s="559"/>
      <c r="V328" s="560"/>
      <c r="W328" s="567"/>
      <c r="X328" s="562"/>
      <c r="Y328" s="567"/>
      <c r="Z328" s="562"/>
      <c r="AA328" s="562"/>
      <c r="AB328" s="558"/>
      <c r="AC328" s="558"/>
      <c r="AD328" s="558"/>
      <c r="AE328" s="558"/>
      <c r="AF328" s="558"/>
      <c r="AG328" s="564"/>
    </row>
    <row r="329" customFormat="false" ht="30" hidden="false" customHeight="true" outlineLevel="0" collapsed="false">
      <c r="A329" s="449" t="s">
        <v>1355</v>
      </c>
      <c r="B329" s="550"/>
      <c r="C329" s="550"/>
      <c r="D329" s="449"/>
      <c r="E329" s="551" t="n">
        <f aca="false">C329-B329</f>
        <v>0</v>
      </c>
      <c r="F329" s="551"/>
      <c r="G329" s="552"/>
      <c r="H329" s="553"/>
      <c r="I329" s="554"/>
      <c r="J329" s="554"/>
      <c r="K329" s="554"/>
      <c r="L329" s="555"/>
      <c r="M329" s="554"/>
      <c r="N329" s="449"/>
      <c r="O329" s="449"/>
      <c r="P329" s="449"/>
      <c r="Q329" s="556"/>
      <c r="R329" s="556"/>
      <c r="S329" s="557"/>
      <c r="T329" s="558"/>
      <c r="U329" s="559"/>
      <c r="V329" s="560"/>
      <c r="W329" s="567"/>
      <c r="X329" s="562"/>
      <c r="Y329" s="567"/>
      <c r="Z329" s="562"/>
      <c r="AA329" s="562"/>
      <c r="AB329" s="558"/>
      <c r="AC329" s="558"/>
      <c r="AD329" s="558"/>
      <c r="AE329" s="558"/>
      <c r="AF329" s="558"/>
      <c r="AG329" s="564"/>
    </row>
    <row r="330" customFormat="false" ht="30" hidden="false" customHeight="true" outlineLevel="0" collapsed="false">
      <c r="A330" s="449" t="s">
        <v>1356</v>
      </c>
      <c r="B330" s="550"/>
      <c r="C330" s="550"/>
      <c r="D330" s="449"/>
      <c r="E330" s="551" t="n">
        <f aca="false">C330-B330</f>
        <v>0</v>
      </c>
      <c r="F330" s="551"/>
      <c r="G330" s="552"/>
      <c r="H330" s="553"/>
      <c r="I330" s="554"/>
      <c r="J330" s="554"/>
      <c r="K330" s="554"/>
      <c r="L330" s="555"/>
      <c r="M330" s="554"/>
      <c r="N330" s="449"/>
      <c r="O330" s="449"/>
      <c r="P330" s="449"/>
      <c r="Q330" s="556"/>
      <c r="R330" s="556"/>
      <c r="S330" s="557"/>
      <c r="T330" s="558"/>
      <c r="U330" s="559"/>
      <c r="V330" s="560"/>
      <c r="W330" s="567"/>
      <c r="X330" s="562"/>
      <c r="Y330" s="567"/>
      <c r="Z330" s="562"/>
      <c r="AA330" s="562"/>
      <c r="AB330" s="558"/>
      <c r="AC330" s="558"/>
      <c r="AD330" s="558"/>
      <c r="AE330" s="558"/>
      <c r="AF330" s="558"/>
      <c r="AG330" s="564"/>
    </row>
    <row r="331" customFormat="false" ht="30" hidden="false" customHeight="true" outlineLevel="0" collapsed="false">
      <c r="A331" s="449" t="s">
        <v>1357</v>
      </c>
      <c r="B331" s="550"/>
      <c r="C331" s="550"/>
      <c r="D331" s="449"/>
      <c r="E331" s="551" t="n">
        <f aca="false">C331-B331</f>
        <v>0</v>
      </c>
      <c r="F331" s="551"/>
      <c r="G331" s="552"/>
      <c r="H331" s="553"/>
      <c r="I331" s="554"/>
      <c r="J331" s="554"/>
      <c r="K331" s="554"/>
      <c r="L331" s="555"/>
      <c r="M331" s="554"/>
      <c r="N331" s="449"/>
      <c r="O331" s="449"/>
      <c r="P331" s="449"/>
      <c r="Q331" s="556"/>
      <c r="R331" s="556"/>
      <c r="S331" s="557"/>
      <c r="T331" s="558"/>
      <c r="U331" s="559"/>
      <c r="V331" s="560"/>
      <c r="W331" s="567"/>
      <c r="X331" s="562"/>
      <c r="Y331" s="567"/>
      <c r="Z331" s="562"/>
      <c r="AA331" s="562"/>
      <c r="AB331" s="558"/>
      <c r="AC331" s="558"/>
      <c r="AD331" s="558"/>
      <c r="AE331" s="558"/>
      <c r="AF331" s="558"/>
      <c r="AG331" s="564"/>
    </row>
    <row r="332" customFormat="false" ht="30" hidden="false" customHeight="true" outlineLevel="0" collapsed="false">
      <c r="A332" s="449" t="s">
        <v>1358</v>
      </c>
      <c r="B332" s="550"/>
      <c r="C332" s="550"/>
      <c r="D332" s="449"/>
      <c r="E332" s="551" t="n">
        <f aca="false">C332-B332</f>
        <v>0</v>
      </c>
      <c r="F332" s="551"/>
      <c r="G332" s="552"/>
      <c r="H332" s="553"/>
      <c r="I332" s="554"/>
      <c r="J332" s="554"/>
      <c r="K332" s="554"/>
      <c r="L332" s="555"/>
      <c r="M332" s="554"/>
      <c r="N332" s="449"/>
      <c r="O332" s="449"/>
      <c r="P332" s="449"/>
      <c r="Q332" s="556"/>
      <c r="R332" s="556"/>
      <c r="S332" s="557"/>
      <c r="T332" s="558"/>
      <c r="U332" s="559"/>
      <c r="V332" s="560"/>
      <c r="W332" s="567"/>
      <c r="X332" s="562"/>
      <c r="Y332" s="567"/>
      <c r="Z332" s="562"/>
      <c r="AA332" s="562"/>
      <c r="AB332" s="558"/>
      <c r="AC332" s="558"/>
      <c r="AD332" s="558"/>
      <c r="AE332" s="558"/>
      <c r="AF332" s="558"/>
      <c r="AG332" s="564"/>
    </row>
    <row r="333" customFormat="false" ht="30" hidden="false" customHeight="true" outlineLevel="0" collapsed="false">
      <c r="A333" s="449" t="s">
        <v>1359</v>
      </c>
      <c r="B333" s="550"/>
      <c r="C333" s="550"/>
      <c r="D333" s="449"/>
      <c r="E333" s="551" t="n">
        <f aca="false">C333-B333</f>
        <v>0</v>
      </c>
      <c r="F333" s="551"/>
      <c r="G333" s="552"/>
      <c r="H333" s="553"/>
      <c r="I333" s="554"/>
      <c r="J333" s="554"/>
      <c r="K333" s="554"/>
      <c r="L333" s="555"/>
      <c r="M333" s="554"/>
      <c r="N333" s="449"/>
      <c r="O333" s="449"/>
      <c r="P333" s="449"/>
      <c r="Q333" s="556"/>
      <c r="R333" s="556"/>
      <c r="S333" s="557"/>
      <c r="T333" s="558"/>
      <c r="U333" s="559"/>
      <c r="V333" s="560"/>
      <c r="W333" s="567"/>
      <c r="X333" s="562"/>
      <c r="Y333" s="567"/>
      <c r="Z333" s="562"/>
      <c r="AA333" s="562"/>
      <c r="AB333" s="558"/>
      <c r="AC333" s="558"/>
      <c r="AD333" s="558"/>
      <c r="AE333" s="558"/>
      <c r="AF333" s="558"/>
      <c r="AG333" s="564"/>
    </row>
    <row r="334" customFormat="false" ht="30" hidden="false" customHeight="true" outlineLevel="0" collapsed="false">
      <c r="A334" s="449" t="s">
        <v>1360</v>
      </c>
      <c r="B334" s="550"/>
      <c r="C334" s="550"/>
      <c r="D334" s="449"/>
      <c r="E334" s="551" t="n">
        <f aca="false">C334-B334</f>
        <v>0</v>
      </c>
      <c r="F334" s="551"/>
      <c r="G334" s="552"/>
      <c r="H334" s="553"/>
      <c r="I334" s="554"/>
      <c r="J334" s="554"/>
      <c r="K334" s="554"/>
      <c r="L334" s="555"/>
      <c r="M334" s="554"/>
      <c r="N334" s="449"/>
      <c r="O334" s="449"/>
      <c r="P334" s="449"/>
      <c r="Q334" s="556"/>
      <c r="R334" s="556"/>
      <c r="S334" s="557"/>
      <c r="T334" s="558"/>
      <c r="U334" s="559"/>
      <c r="V334" s="560"/>
      <c r="W334" s="567"/>
      <c r="X334" s="562"/>
      <c r="Y334" s="567"/>
      <c r="Z334" s="562"/>
      <c r="AA334" s="562"/>
      <c r="AB334" s="558"/>
      <c r="AC334" s="558"/>
      <c r="AD334" s="558"/>
      <c r="AE334" s="558"/>
      <c r="AF334" s="558"/>
      <c r="AG334" s="564"/>
    </row>
    <row r="335" customFormat="false" ht="30" hidden="false" customHeight="true" outlineLevel="0" collapsed="false">
      <c r="A335" s="449" t="s">
        <v>1361</v>
      </c>
      <c r="B335" s="550"/>
      <c r="C335" s="550"/>
      <c r="D335" s="449"/>
      <c r="E335" s="551" t="n">
        <f aca="false">C335-B335</f>
        <v>0</v>
      </c>
      <c r="F335" s="551"/>
      <c r="G335" s="552"/>
      <c r="H335" s="553"/>
      <c r="I335" s="554"/>
      <c r="J335" s="554"/>
      <c r="K335" s="554"/>
      <c r="L335" s="555"/>
      <c r="M335" s="554"/>
      <c r="N335" s="449"/>
      <c r="O335" s="449"/>
      <c r="P335" s="449"/>
      <c r="Q335" s="556"/>
      <c r="R335" s="556"/>
      <c r="S335" s="557"/>
      <c r="T335" s="558"/>
      <c r="U335" s="559"/>
      <c r="V335" s="560"/>
      <c r="W335" s="567"/>
      <c r="X335" s="562"/>
      <c r="Y335" s="567"/>
      <c r="Z335" s="562"/>
      <c r="AA335" s="562"/>
      <c r="AB335" s="558"/>
      <c r="AC335" s="558"/>
      <c r="AD335" s="558"/>
      <c r="AE335" s="558"/>
      <c r="AF335" s="558"/>
      <c r="AG335" s="564"/>
    </row>
    <row r="336" customFormat="false" ht="30" hidden="false" customHeight="true" outlineLevel="0" collapsed="false">
      <c r="A336" s="449" t="s">
        <v>1362</v>
      </c>
      <c r="B336" s="550"/>
      <c r="C336" s="550"/>
      <c r="D336" s="449"/>
      <c r="E336" s="551" t="n">
        <f aca="false">C336-B336</f>
        <v>0</v>
      </c>
      <c r="F336" s="551"/>
      <c r="G336" s="552"/>
      <c r="H336" s="553"/>
      <c r="I336" s="554"/>
      <c r="J336" s="554"/>
      <c r="K336" s="554"/>
      <c r="L336" s="555"/>
      <c r="M336" s="554"/>
      <c r="N336" s="449"/>
      <c r="O336" s="449"/>
      <c r="P336" s="449"/>
      <c r="Q336" s="556"/>
      <c r="R336" s="556"/>
      <c r="S336" s="557"/>
      <c r="T336" s="558"/>
      <c r="U336" s="559"/>
      <c r="V336" s="560"/>
      <c r="W336" s="567"/>
      <c r="X336" s="562"/>
      <c r="Y336" s="567"/>
      <c r="Z336" s="562"/>
      <c r="AA336" s="562"/>
      <c r="AB336" s="558"/>
      <c r="AC336" s="558"/>
      <c r="AD336" s="558"/>
      <c r="AE336" s="558"/>
      <c r="AF336" s="558"/>
      <c r="AG336" s="564"/>
    </row>
    <row r="337" customFormat="false" ht="30" hidden="false" customHeight="true" outlineLevel="0" collapsed="false">
      <c r="A337" s="449" t="s">
        <v>1363</v>
      </c>
      <c r="B337" s="550"/>
      <c r="C337" s="550"/>
      <c r="D337" s="449"/>
      <c r="E337" s="551" t="n">
        <f aca="false">C337-B337</f>
        <v>0</v>
      </c>
      <c r="F337" s="551"/>
      <c r="G337" s="552"/>
      <c r="H337" s="553"/>
      <c r="I337" s="554"/>
      <c r="J337" s="554"/>
      <c r="K337" s="554"/>
      <c r="L337" s="555"/>
      <c r="M337" s="554"/>
      <c r="N337" s="449"/>
      <c r="O337" s="449"/>
      <c r="P337" s="449"/>
      <c r="Q337" s="556"/>
      <c r="R337" s="556"/>
      <c r="S337" s="557"/>
      <c r="T337" s="558"/>
      <c r="U337" s="559"/>
      <c r="V337" s="560"/>
      <c r="W337" s="567"/>
      <c r="X337" s="562"/>
      <c r="Y337" s="567"/>
      <c r="Z337" s="562"/>
      <c r="AA337" s="562"/>
      <c r="AB337" s="558"/>
      <c r="AC337" s="558"/>
      <c r="AD337" s="558"/>
      <c r="AE337" s="558"/>
      <c r="AF337" s="558"/>
      <c r="AG337" s="564"/>
    </row>
    <row r="338" customFormat="false" ht="30" hidden="false" customHeight="true" outlineLevel="0" collapsed="false">
      <c r="A338" s="449" t="s">
        <v>1364</v>
      </c>
      <c r="B338" s="550"/>
      <c r="C338" s="550"/>
      <c r="D338" s="449"/>
      <c r="E338" s="551" t="n">
        <f aca="false">C338-B338</f>
        <v>0</v>
      </c>
      <c r="F338" s="551"/>
      <c r="G338" s="552"/>
      <c r="H338" s="553"/>
      <c r="I338" s="554"/>
      <c r="J338" s="554"/>
      <c r="K338" s="554"/>
      <c r="L338" s="555"/>
      <c r="M338" s="554"/>
      <c r="N338" s="449"/>
      <c r="O338" s="449"/>
      <c r="P338" s="449"/>
      <c r="Q338" s="556"/>
      <c r="R338" s="556"/>
      <c r="S338" s="557"/>
      <c r="T338" s="558"/>
      <c r="U338" s="559"/>
      <c r="V338" s="560"/>
      <c r="W338" s="567"/>
      <c r="X338" s="562"/>
      <c r="Y338" s="567"/>
      <c r="Z338" s="562"/>
      <c r="AA338" s="562"/>
      <c r="AB338" s="558"/>
      <c r="AC338" s="558"/>
      <c r="AD338" s="558"/>
      <c r="AE338" s="558"/>
      <c r="AF338" s="558"/>
      <c r="AG338" s="564"/>
    </row>
    <row r="339" customFormat="false" ht="30" hidden="false" customHeight="true" outlineLevel="0" collapsed="false">
      <c r="A339" s="449" t="s">
        <v>1365</v>
      </c>
      <c r="B339" s="550"/>
      <c r="C339" s="550"/>
      <c r="D339" s="449"/>
      <c r="E339" s="551" t="n">
        <f aca="false">C339-B339</f>
        <v>0</v>
      </c>
      <c r="F339" s="551"/>
      <c r="G339" s="552"/>
      <c r="H339" s="553"/>
      <c r="I339" s="554"/>
      <c r="J339" s="554"/>
      <c r="K339" s="554"/>
      <c r="L339" s="555"/>
      <c r="M339" s="554"/>
      <c r="N339" s="449"/>
      <c r="O339" s="449"/>
      <c r="P339" s="449"/>
      <c r="Q339" s="556"/>
      <c r="R339" s="556"/>
      <c r="S339" s="557"/>
      <c r="T339" s="558"/>
      <c r="U339" s="559"/>
      <c r="V339" s="560"/>
      <c r="W339" s="567"/>
      <c r="X339" s="562"/>
      <c r="Y339" s="567"/>
      <c r="Z339" s="562"/>
      <c r="AA339" s="562"/>
      <c r="AB339" s="558"/>
      <c r="AC339" s="558"/>
      <c r="AD339" s="558"/>
      <c r="AE339" s="558"/>
      <c r="AF339" s="558"/>
      <c r="AG339" s="564"/>
    </row>
    <row r="340" customFormat="false" ht="30" hidden="false" customHeight="true" outlineLevel="0" collapsed="false">
      <c r="A340" s="449" t="s">
        <v>1366</v>
      </c>
      <c r="B340" s="550"/>
      <c r="C340" s="550"/>
      <c r="D340" s="449"/>
      <c r="E340" s="551" t="n">
        <f aca="false">C340-B340</f>
        <v>0</v>
      </c>
      <c r="F340" s="551"/>
      <c r="G340" s="552"/>
      <c r="H340" s="553"/>
      <c r="I340" s="554"/>
      <c r="J340" s="554"/>
      <c r="K340" s="554"/>
      <c r="L340" s="555"/>
      <c r="M340" s="554"/>
      <c r="N340" s="449"/>
      <c r="O340" s="449"/>
      <c r="P340" s="449"/>
      <c r="Q340" s="556"/>
      <c r="R340" s="556"/>
      <c r="S340" s="557"/>
      <c r="T340" s="558"/>
      <c r="U340" s="559"/>
      <c r="V340" s="560"/>
      <c r="W340" s="567"/>
      <c r="X340" s="562"/>
      <c r="Y340" s="567"/>
      <c r="Z340" s="562"/>
      <c r="AA340" s="562"/>
      <c r="AB340" s="558"/>
      <c r="AC340" s="558"/>
      <c r="AD340" s="558"/>
      <c r="AE340" s="558"/>
      <c r="AF340" s="558"/>
      <c r="AG340" s="564"/>
    </row>
    <row r="341" customFormat="false" ht="30" hidden="false" customHeight="true" outlineLevel="0" collapsed="false">
      <c r="A341" s="449" t="s">
        <v>1367</v>
      </c>
      <c r="B341" s="550"/>
      <c r="C341" s="550"/>
      <c r="D341" s="449"/>
      <c r="E341" s="551" t="n">
        <f aca="false">C341-B341</f>
        <v>0</v>
      </c>
      <c r="F341" s="551"/>
      <c r="G341" s="552"/>
      <c r="H341" s="553"/>
      <c r="I341" s="554"/>
      <c r="J341" s="554"/>
      <c r="K341" s="554"/>
      <c r="L341" s="555"/>
      <c r="M341" s="554"/>
      <c r="N341" s="449"/>
      <c r="O341" s="449"/>
      <c r="P341" s="449"/>
      <c r="Q341" s="556"/>
      <c r="R341" s="556"/>
      <c r="S341" s="557"/>
      <c r="T341" s="558"/>
      <c r="U341" s="559"/>
      <c r="V341" s="560"/>
      <c r="W341" s="567"/>
      <c r="X341" s="562"/>
      <c r="Y341" s="567"/>
      <c r="Z341" s="562"/>
      <c r="AA341" s="562"/>
      <c r="AB341" s="558"/>
      <c r="AC341" s="558"/>
      <c r="AD341" s="558"/>
      <c r="AE341" s="558"/>
      <c r="AF341" s="558"/>
      <c r="AG341" s="564"/>
    </row>
    <row r="342" customFormat="false" ht="30" hidden="false" customHeight="true" outlineLevel="0" collapsed="false">
      <c r="A342" s="449" t="s">
        <v>1368</v>
      </c>
      <c r="B342" s="550"/>
      <c r="C342" s="550"/>
      <c r="D342" s="449"/>
      <c r="E342" s="551" t="n">
        <f aca="false">C342-B342</f>
        <v>0</v>
      </c>
      <c r="F342" s="551"/>
      <c r="G342" s="552"/>
      <c r="H342" s="553"/>
      <c r="I342" s="554"/>
      <c r="J342" s="554"/>
      <c r="K342" s="554"/>
      <c r="L342" s="555"/>
      <c r="M342" s="554"/>
      <c r="N342" s="449"/>
      <c r="O342" s="449"/>
      <c r="P342" s="449"/>
      <c r="Q342" s="556"/>
      <c r="R342" s="556"/>
      <c r="S342" s="557"/>
      <c r="T342" s="558"/>
      <c r="U342" s="559"/>
      <c r="V342" s="560"/>
      <c r="W342" s="567"/>
      <c r="X342" s="562"/>
      <c r="Y342" s="567"/>
      <c r="Z342" s="562"/>
      <c r="AA342" s="562"/>
      <c r="AB342" s="558"/>
      <c r="AC342" s="558"/>
      <c r="AD342" s="558"/>
      <c r="AE342" s="558"/>
      <c r="AF342" s="558"/>
      <c r="AG342" s="564"/>
    </row>
    <row r="343" customFormat="false" ht="30" hidden="false" customHeight="true" outlineLevel="0" collapsed="false">
      <c r="A343" s="449" t="s">
        <v>1369</v>
      </c>
      <c r="B343" s="550"/>
      <c r="C343" s="550"/>
      <c r="D343" s="449"/>
      <c r="E343" s="551" t="n">
        <f aca="false">C343-B343</f>
        <v>0</v>
      </c>
      <c r="F343" s="551"/>
      <c r="G343" s="552"/>
      <c r="H343" s="553"/>
      <c r="I343" s="554"/>
      <c r="J343" s="554"/>
      <c r="K343" s="554"/>
      <c r="L343" s="555"/>
      <c r="M343" s="554"/>
      <c r="N343" s="449"/>
      <c r="O343" s="449"/>
      <c r="P343" s="449"/>
      <c r="Q343" s="556"/>
      <c r="R343" s="556"/>
      <c r="S343" s="557"/>
      <c r="T343" s="558"/>
      <c r="U343" s="559"/>
      <c r="V343" s="560"/>
      <c r="W343" s="567"/>
      <c r="X343" s="562"/>
      <c r="Y343" s="567"/>
      <c r="Z343" s="562"/>
      <c r="AA343" s="562"/>
      <c r="AB343" s="558"/>
      <c r="AC343" s="558"/>
      <c r="AD343" s="558"/>
      <c r="AE343" s="558"/>
      <c r="AF343" s="558"/>
      <c r="AG343" s="564"/>
    </row>
    <row r="344" customFormat="false" ht="30" hidden="false" customHeight="true" outlineLevel="0" collapsed="false">
      <c r="A344" s="449" t="s">
        <v>1370</v>
      </c>
      <c r="B344" s="550"/>
      <c r="C344" s="550"/>
      <c r="D344" s="449"/>
      <c r="E344" s="551" t="n">
        <f aca="false">C344-B344</f>
        <v>0</v>
      </c>
      <c r="F344" s="551"/>
      <c r="G344" s="552"/>
      <c r="H344" s="553"/>
      <c r="I344" s="554"/>
      <c r="J344" s="554"/>
      <c r="K344" s="554"/>
      <c r="L344" s="555"/>
      <c r="M344" s="554"/>
      <c r="N344" s="449"/>
      <c r="O344" s="449"/>
      <c r="P344" s="449"/>
      <c r="Q344" s="556"/>
      <c r="R344" s="556"/>
      <c r="S344" s="557"/>
      <c r="T344" s="558"/>
      <c r="U344" s="559"/>
      <c r="V344" s="560"/>
      <c r="W344" s="567"/>
      <c r="X344" s="562"/>
      <c r="Y344" s="567"/>
      <c r="Z344" s="562"/>
      <c r="AA344" s="562"/>
      <c r="AB344" s="558"/>
      <c r="AC344" s="558"/>
      <c r="AD344" s="558"/>
      <c r="AE344" s="558"/>
      <c r="AF344" s="558"/>
      <c r="AG344" s="564"/>
    </row>
    <row r="345" customFormat="false" ht="30" hidden="false" customHeight="true" outlineLevel="0" collapsed="false">
      <c r="A345" s="449" t="s">
        <v>1371</v>
      </c>
      <c r="B345" s="550"/>
      <c r="C345" s="550"/>
      <c r="D345" s="449"/>
      <c r="E345" s="551" t="n">
        <f aca="false">C345-B345</f>
        <v>0</v>
      </c>
      <c r="F345" s="551"/>
      <c r="G345" s="552"/>
      <c r="H345" s="553"/>
      <c r="I345" s="554"/>
      <c r="J345" s="554"/>
      <c r="K345" s="554"/>
      <c r="L345" s="555"/>
      <c r="M345" s="554"/>
      <c r="N345" s="449"/>
      <c r="O345" s="449"/>
      <c r="P345" s="449"/>
      <c r="Q345" s="556"/>
      <c r="R345" s="556"/>
      <c r="S345" s="557"/>
      <c r="T345" s="558"/>
      <c r="U345" s="559"/>
      <c r="V345" s="560"/>
      <c r="W345" s="567"/>
      <c r="X345" s="562"/>
      <c r="Y345" s="567"/>
      <c r="Z345" s="562"/>
      <c r="AA345" s="562"/>
      <c r="AB345" s="558"/>
      <c r="AC345" s="558"/>
      <c r="AD345" s="558"/>
      <c r="AE345" s="558"/>
      <c r="AF345" s="558"/>
      <c r="AG345" s="564"/>
    </row>
    <row r="346" customFormat="false" ht="30" hidden="false" customHeight="true" outlineLevel="0" collapsed="false">
      <c r="A346" s="449" t="s">
        <v>1372</v>
      </c>
      <c r="B346" s="550"/>
      <c r="C346" s="550"/>
      <c r="D346" s="449"/>
      <c r="E346" s="551" t="n">
        <f aca="false">C346-B346</f>
        <v>0</v>
      </c>
      <c r="F346" s="551"/>
      <c r="G346" s="552"/>
      <c r="H346" s="553"/>
      <c r="I346" s="554"/>
      <c r="J346" s="554"/>
      <c r="K346" s="554"/>
      <c r="L346" s="555"/>
      <c r="M346" s="554"/>
      <c r="N346" s="449"/>
      <c r="O346" s="449"/>
      <c r="P346" s="449"/>
      <c r="Q346" s="556"/>
      <c r="R346" s="556"/>
      <c r="S346" s="557"/>
      <c r="T346" s="558"/>
      <c r="U346" s="559"/>
      <c r="V346" s="560"/>
      <c r="W346" s="567"/>
      <c r="X346" s="562"/>
      <c r="Y346" s="567"/>
      <c r="Z346" s="562"/>
      <c r="AA346" s="562"/>
      <c r="AB346" s="558"/>
      <c r="AC346" s="558"/>
      <c r="AD346" s="558"/>
      <c r="AE346" s="558"/>
      <c r="AF346" s="558"/>
      <c r="AG346" s="564"/>
    </row>
    <row r="347" customFormat="false" ht="30" hidden="false" customHeight="true" outlineLevel="0" collapsed="false">
      <c r="A347" s="449" t="s">
        <v>1373</v>
      </c>
      <c r="B347" s="550"/>
      <c r="C347" s="550"/>
      <c r="D347" s="449"/>
      <c r="E347" s="551" t="n">
        <f aca="false">C347-B347</f>
        <v>0</v>
      </c>
      <c r="F347" s="551"/>
      <c r="G347" s="552"/>
      <c r="H347" s="553"/>
      <c r="I347" s="554"/>
      <c r="J347" s="554"/>
      <c r="K347" s="554"/>
      <c r="L347" s="555"/>
      <c r="M347" s="554"/>
      <c r="N347" s="449"/>
      <c r="O347" s="449"/>
      <c r="P347" s="449"/>
      <c r="Q347" s="556"/>
      <c r="R347" s="556"/>
      <c r="S347" s="557"/>
      <c r="T347" s="558"/>
      <c r="U347" s="559"/>
      <c r="V347" s="560"/>
      <c r="W347" s="567"/>
      <c r="X347" s="562"/>
      <c r="Y347" s="567"/>
      <c r="Z347" s="562"/>
      <c r="AA347" s="562"/>
      <c r="AB347" s="558"/>
      <c r="AC347" s="558"/>
      <c r="AD347" s="558"/>
      <c r="AE347" s="558"/>
      <c r="AF347" s="558"/>
      <c r="AG347" s="564"/>
    </row>
    <row r="348" customFormat="false" ht="30" hidden="false" customHeight="true" outlineLevel="0" collapsed="false">
      <c r="A348" s="449" t="s">
        <v>1374</v>
      </c>
      <c r="B348" s="550"/>
      <c r="C348" s="550"/>
      <c r="D348" s="449"/>
      <c r="E348" s="551" t="n">
        <f aca="false">C348-B348</f>
        <v>0</v>
      </c>
      <c r="F348" s="551"/>
      <c r="G348" s="552"/>
      <c r="H348" s="553"/>
      <c r="I348" s="554"/>
      <c r="J348" s="554"/>
      <c r="K348" s="554"/>
      <c r="L348" s="555"/>
      <c r="M348" s="554"/>
      <c r="N348" s="449"/>
      <c r="O348" s="449"/>
      <c r="P348" s="449"/>
      <c r="Q348" s="556"/>
      <c r="R348" s="556"/>
      <c r="S348" s="557"/>
      <c r="T348" s="558"/>
      <c r="U348" s="559"/>
      <c r="V348" s="560"/>
      <c r="W348" s="567"/>
      <c r="X348" s="562"/>
      <c r="Y348" s="567"/>
      <c r="Z348" s="562"/>
      <c r="AA348" s="562"/>
      <c r="AB348" s="558"/>
      <c r="AC348" s="558"/>
      <c r="AD348" s="558"/>
      <c r="AE348" s="558"/>
      <c r="AF348" s="558"/>
      <c r="AG348" s="564"/>
    </row>
    <row r="349" customFormat="false" ht="30" hidden="false" customHeight="true" outlineLevel="0" collapsed="false">
      <c r="A349" s="449" t="s">
        <v>1375</v>
      </c>
      <c r="B349" s="550"/>
      <c r="C349" s="550"/>
      <c r="D349" s="449"/>
      <c r="E349" s="551" t="n">
        <f aca="false">C349-B349</f>
        <v>0</v>
      </c>
      <c r="F349" s="551"/>
      <c r="G349" s="552"/>
      <c r="H349" s="553"/>
      <c r="I349" s="554"/>
      <c r="J349" s="554"/>
      <c r="K349" s="554"/>
      <c r="L349" s="555"/>
      <c r="M349" s="554"/>
      <c r="N349" s="449"/>
      <c r="O349" s="449"/>
      <c r="P349" s="449"/>
      <c r="Q349" s="556"/>
      <c r="R349" s="556"/>
      <c r="S349" s="557"/>
      <c r="T349" s="558"/>
      <c r="U349" s="559"/>
      <c r="V349" s="560"/>
      <c r="W349" s="567"/>
      <c r="X349" s="562"/>
      <c r="Y349" s="567"/>
      <c r="Z349" s="562"/>
      <c r="AA349" s="562"/>
      <c r="AB349" s="558"/>
      <c r="AC349" s="558"/>
      <c r="AD349" s="558"/>
      <c r="AE349" s="558"/>
      <c r="AF349" s="558"/>
      <c r="AG349" s="564"/>
    </row>
    <row r="350" customFormat="false" ht="30" hidden="false" customHeight="true" outlineLevel="0" collapsed="false">
      <c r="A350" s="449" t="s">
        <v>1376</v>
      </c>
      <c r="B350" s="550"/>
      <c r="C350" s="550"/>
      <c r="D350" s="449"/>
      <c r="E350" s="551" t="n">
        <f aca="false">C350-B350</f>
        <v>0</v>
      </c>
      <c r="F350" s="551"/>
      <c r="G350" s="552"/>
      <c r="H350" s="553"/>
      <c r="I350" s="554"/>
      <c r="J350" s="554"/>
      <c r="K350" s="554"/>
      <c r="L350" s="555"/>
      <c r="M350" s="554"/>
      <c r="N350" s="449"/>
      <c r="O350" s="449"/>
      <c r="P350" s="449"/>
      <c r="Q350" s="556"/>
      <c r="R350" s="556"/>
      <c r="S350" s="557"/>
      <c r="T350" s="558"/>
      <c r="U350" s="559"/>
      <c r="V350" s="560"/>
      <c r="W350" s="567"/>
      <c r="X350" s="562"/>
      <c r="Y350" s="567"/>
      <c r="Z350" s="562"/>
      <c r="AA350" s="562"/>
      <c r="AB350" s="558"/>
      <c r="AC350" s="558"/>
      <c r="AD350" s="558"/>
      <c r="AE350" s="558"/>
      <c r="AF350" s="558"/>
      <c r="AG350" s="564"/>
    </row>
    <row r="351" customFormat="false" ht="30" hidden="false" customHeight="true" outlineLevel="0" collapsed="false">
      <c r="A351" s="449" t="s">
        <v>1377</v>
      </c>
      <c r="B351" s="550"/>
      <c r="C351" s="550"/>
      <c r="D351" s="449"/>
      <c r="E351" s="551" t="n">
        <f aca="false">C351-B351</f>
        <v>0</v>
      </c>
      <c r="F351" s="551"/>
      <c r="G351" s="552"/>
      <c r="H351" s="553"/>
      <c r="I351" s="554"/>
      <c r="J351" s="554"/>
      <c r="K351" s="554"/>
      <c r="L351" s="555"/>
      <c r="M351" s="554"/>
      <c r="N351" s="449"/>
      <c r="O351" s="449"/>
      <c r="P351" s="449"/>
      <c r="Q351" s="556"/>
      <c r="R351" s="556"/>
      <c r="S351" s="557"/>
      <c r="T351" s="558"/>
      <c r="U351" s="559"/>
      <c r="V351" s="560"/>
      <c r="W351" s="567"/>
      <c r="X351" s="562"/>
      <c r="Y351" s="567"/>
      <c r="Z351" s="562"/>
      <c r="AA351" s="562"/>
      <c r="AB351" s="558"/>
      <c r="AC351" s="558"/>
      <c r="AD351" s="558"/>
      <c r="AE351" s="558"/>
      <c r="AF351" s="558"/>
      <c r="AG351" s="564"/>
    </row>
    <row r="352" customFormat="false" ht="30" hidden="false" customHeight="true" outlineLevel="0" collapsed="false">
      <c r="A352" s="449" t="s">
        <v>1378</v>
      </c>
      <c r="B352" s="550"/>
      <c r="C352" s="550"/>
      <c r="D352" s="449"/>
      <c r="E352" s="551" t="n">
        <f aca="false">C352-B352</f>
        <v>0</v>
      </c>
      <c r="F352" s="551"/>
      <c r="G352" s="552"/>
      <c r="H352" s="553"/>
      <c r="I352" s="554"/>
      <c r="J352" s="554"/>
      <c r="K352" s="554"/>
      <c r="L352" s="555"/>
      <c r="M352" s="554"/>
      <c r="N352" s="449"/>
      <c r="O352" s="449"/>
      <c r="P352" s="449"/>
      <c r="Q352" s="556"/>
      <c r="R352" s="556"/>
      <c r="S352" s="557"/>
      <c r="T352" s="558"/>
      <c r="U352" s="559"/>
      <c r="V352" s="560"/>
      <c r="W352" s="567"/>
      <c r="X352" s="562"/>
      <c r="Y352" s="567"/>
      <c r="Z352" s="562"/>
      <c r="AA352" s="562"/>
      <c r="AB352" s="558"/>
      <c r="AC352" s="558"/>
      <c r="AD352" s="558"/>
      <c r="AE352" s="558"/>
      <c r="AF352" s="558"/>
      <c r="AG352" s="564"/>
    </row>
    <row r="353" customFormat="false" ht="30" hidden="false" customHeight="true" outlineLevel="0" collapsed="false">
      <c r="A353" s="449" t="s">
        <v>1379</v>
      </c>
      <c r="B353" s="550"/>
      <c r="C353" s="550"/>
      <c r="D353" s="449"/>
      <c r="E353" s="551" t="n">
        <f aca="false">C353-B353</f>
        <v>0</v>
      </c>
      <c r="F353" s="551"/>
      <c r="G353" s="552"/>
      <c r="H353" s="553"/>
      <c r="I353" s="554"/>
      <c r="J353" s="554"/>
      <c r="K353" s="554"/>
      <c r="L353" s="555"/>
      <c r="M353" s="554"/>
      <c r="N353" s="449"/>
      <c r="O353" s="449"/>
      <c r="P353" s="449"/>
      <c r="Q353" s="556"/>
      <c r="R353" s="556"/>
      <c r="S353" s="557"/>
      <c r="T353" s="558"/>
      <c r="U353" s="559"/>
      <c r="V353" s="560"/>
      <c r="W353" s="567"/>
      <c r="X353" s="562"/>
      <c r="Y353" s="567"/>
      <c r="Z353" s="562"/>
      <c r="AA353" s="562"/>
      <c r="AB353" s="558"/>
      <c r="AC353" s="558"/>
      <c r="AD353" s="558"/>
      <c r="AE353" s="558"/>
      <c r="AF353" s="558"/>
      <c r="AG353" s="564"/>
    </row>
    <row r="354" customFormat="false" ht="30" hidden="false" customHeight="true" outlineLevel="0" collapsed="false">
      <c r="A354" s="449" t="s">
        <v>1380</v>
      </c>
      <c r="B354" s="550"/>
      <c r="C354" s="550"/>
      <c r="D354" s="449"/>
      <c r="E354" s="551" t="n">
        <f aca="false">C354-B354</f>
        <v>0</v>
      </c>
      <c r="F354" s="551"/>
      <c r="G354" s="552"/>
      <c r="H354" s="553"/>
      <c r="I354" s="554"/>
      <c r="J354" s="554"/>
      <c r="K354" s="554"/>
      <c r="L354" s="555"/>
      <c r="M354" s="554"/>
      <c r="N354" s="449"/>
      <c r="O354" s="449"/>
      <c r="P354" s="449"/>
      <c r="Q354" s="556"/>
      <c r="R354" s="556"/>
      <c r="S354" s="557"/>
      <c r="T354" s="558"/>
      <c r="U354" s="559"/>
      <c r="V354" s="560"/>
      <c r="W354" s="567"/>
      <c r="X354" s="562"/>
      <c r="Y354" s="567"/>
      <c r="Z354" s="562"/>
      <c r="AA354" s="562"/>
      <c r="AB354" s="558"/>
      <c r="AC354" s="558"/>
      <c r="AD354" s="558"/>
      <c r="AE354" s="558"/>
      <c r="AF354" s="558"/>
      <c r="AG354" s="564"/>
    </row>
    <row r="355" customFormat="false" ht="30" hidden="false" customHeight="true" outlineLevel="0" collapsed="false">
      <c r="A355" s="449" t="s">
        <v>1381</v>
      </c>
      <c r="B355" s="550"/>
      <c r="C355" s="550"/>
      <c r="D355" s="449"/>
      <c r="E355" s="551" t="n">
        <f aca="false">C355-B355</f>
        <v>0</v>
      </c>
      <c r="F355" s="551"/>
      <c r="G355" s="552"/>
      <c r="H355" s="553"/>
      <c r="I355" s="554"/>
      <c r="J355" s="554"/>
      <c r="K355" s="554"/>
      <c r="L355" s="555"/>
      <c r="M355" s="554"/>
      <c r="N355" s="449"/>
      <c r="O355" s="449"/>
      <c r="P355" s="449"/>
      <c r="Q355" s="556"/>
      <c r="R355" s="556"/>
      <c r="S355" s="557"/>
      <c r="T355" s="558"/>
      <c r="U355" s="559"/>
      <c r="V355" s="560"/>
      <c r="W355" s="567"/>
      <c r="X355" s="562"/>
      <c r="Y355" s="567"/>
      <c r="Z355" s="562"/>
      <c r="AA355" s="562"/>
      <c r="AB355" s="558"/>
      <c r="AC355" s="558"/>
      <c r="AD355" s="558"/>
      <c r="AE355" s="558"/>
      <c r="AF355" s="558"/>
      <c r="AG355" s="564"/>
    </row>
    <row r="356" customFormat="false" ht="30" hidden="false" customHeight="true" outlineLevel="0" collapsed="false">
      <c r="A356" s="449" t="s">
        <v>1382</v>
      </c>
      <c r="B356" s="550"/>
      <c r="C356" s="550"/>
      <c r="D356" s="449"/>
      <c r="E356" s="551" t="n">
        <f aca="false">C356-B356</f>
        <v>0</v>
      </c>
      <c r="F356" s="551"/>
      <c r="G356" s="552"/>
      <c r="H356" s="553"/>
      <c r="I356" s="554"/>
      <c r="J356" s="554"/>
      <c r="K356" s="554"/>
      <c r="L356" s="555"/>
      <c r="M356" s="554"/>
      <c r="N356" s="449"/>
      <c r="O356" s="449"/>
      <c r="P356" s="449"/>
      <c r="Q356" s="556"/>
      <c r="R356" s="556"/>
      <c r="S356" s="557"/>
      <c r="T356" s="558"/>
      <c r="U356" s="559"/>
      <c r="V356" s="560"/>
      <c r="W356" s="567"/>
      <c r="X356" s="562"/>
      <c r="Y356" s="567"/>
      <c r="Z356" s="562"/>
      <c r="AA356" s="562"/>
      <c r="AB356" s="558"/>
      <c r="AC356" s="558"/>
      <c r="AD356" s="558"/>
      <c r="AE356" s="558"/>
      <c r="AF356" s="558"/>
      <c r="AG356" s="564"/>
    </row>
    <row r="357" customFormat="false" ht="30" hidden="false" customHeight="true" outlineLevel="0" collapsed="false">
      <c r="A357" s="449" t="s">
        <v>1383</v>
      </c>
      <c r="B357" s="550"/>
      <c r="C357" s="550"/>
      <c r="D357" s="449"/>
      <c r="E357" s="551" t="n">
        <f aca="false">C357-B357</f>
        <v>0</v>
      </c>
      <c r="F357" s="551"/>
      <c r="G357" s="552"/>
      <c r="H357" s="553"/>
      <c r="I357" s="554"/>
      <c r="J357" s="554"/>
      <c r="K357" s="554"/>
      <c r="L357" s="555"/>
      <c r="M357" s="554"/>
      <c r="N357" s="449"/>
      <c r="O357" s="449"/>
      <c r="P357" s="449"/>
      <c r="Q357" s="556"/>
      <c r="R357" s="556"/>
      <c r="S357" s="557"/>
      <c r="T357" s="558"/>
      <c r="U357" s="559"/>
      <c r="V357" s="560"/>
      <c r="W357" s="567"/>
      <c r="X357" s="562"/>
      <c r="Y357" s="567"/>
      <c r="Z357" s="562"/>
      <c r="AA357" s="562"/>
      <c r="AB357" s="558"/>
      <c r="AC357" s="558"/>
      <c r="AD357" s="558"/>
      <c r="AE357" s="558"/>
      <c r="AF357" s="558"/>
      <c r="AG357" s="564"/>
    </row>
    <row r="358" customFormat="false" ht="30" hidden="false" customHeight="true" outlineLevel="0" collapsed="false">
      <c r="A358" s="449" t="s">
        <v>1384</v>
      </c>
      <c r="B358" s="550"/>
      <c r="C358" s="550"/>
      <c r="D358" s="449"/>
      <c r="E358" s="551" t="n">
        <f aca="false">C358-B358</f>
        <v>0</v>
      </c>
      <c r="F358" s="551"/>
      <c r="G358" s="552"/>
      <c r="H358" s="553"/>
      <c r="I358" s="554"/>
      <c r="J358" s="554"/>
      <c r="K358" s="554"/>
      <c r="L358" s="555"/>
      <c r="M358" s="554"/>
      <c r="N358" s="449"/>
      <c r="O358" s="449"/>
      <c r="P358" s="449"/>
      <c r="Q358" s="556"/>
      <c r="R358" s="556"/>
      <c r="S358" s="557"/>
      <c r="T358" s="558"/>
      <c r="U358" s="559"/>
      <c r="V358" s="560"/>
      <c r="W358" s="567"/>
      <c r="X358" s="562"/>
      <c r="Y358" s="567"/>
      <c r="Z358" s="562"/>
      <c r="AA358" s="562"/>
      <c r="AB358" s="558"/>
      <c r="AC358" s="558"/>
      <c r="AD358" s="558"/>
      <c r="AE358" s="558"/>
      <c r="AF358" s="558"/>
      <c r="AG358" s="564"/>
    </row>
    <row r="359" customFormat="false" ht="30" hidden="false" customHeight="true" outlineLevel="0" collapsed="false">
      <c r="A359" s="449" t="s">
        <v>1385</v>
      </c>
      <c r="B359" s="550"/>
      <c r="C359" s="550"/>
      <c r="D359" s="449"/>
      <c r="E359" s="551" t="n">
        <f aca="false">C359-B359</f>
        <v>0</v>
      </c>
      <c r="F359" s="551"/>
      <c r="G359" s="552"/>
      <c r="H359" s="553"/>
      <c r="I359" s="554"/>
      <c r="J359" s="554"/>
      <c r="K359" s="554"/>
      <c r="L359" s="555"/>
      <c r="M359" s="554"/>
      <c r="N359" s="449"/>
      <c r="O359" s="449"/>
      <c r="P359" s="449"/>
      <c r="Q359" s="556"/>
      <c r="R359" s="556"/>
      <c r="S359" s="557"/>
      <c r="T359" s="558"/>
      <c r="U359" s="559"/>
      <c r="V359" s="560"/>
      <c r="W359" s="567"/>
      <c r="X359" s="562"/>
      <c r="Y359" s="567"/>
      <c r="Z359" s="562"/>
      <c r="AA359" s="562"/>
      <c r="AB359" s="558"/>
      <c r="AC359" s="558"/>
      <c r="AD359" s="558"/>
      <c r="AE359" s="558"/>
      <c r="AF359" s="558"/>
      <c r="AG359" s="564"/>
    </row>
    <row r="360" customFormat="false" ht="30" hidden="false" customHeight="true" outlineLevel="0" collapsed="false">
      <c r="A360" s="449" t="s">
        <v>1386</v>
      </c>
      <c r="B360" s="550"/>
      <c r="C360" s="550"/>
      <c r="D360" s="449"/>
      <c r="E360" s="551" t="n">
        <f aca="false">C360-B360</f>
        <v>0</v>
      </c>
      <c r="F360" s="551"/>
      <c r="G360" s="552"/>
      <c r="H360" s="553"/>
      <c r="I360" s="554"/>
      <c r="J360" s="554"/>
      <c r="K360" s="554"/>
      <c r="L360" s="555"/>
      <c r="M360" s="554"/>
      <c r="N360" s="449"/>
      <c r="O360" s="449"/>
      <c r="P360" s="449"/>
      <c r="Q360" s="556"/>
      <c r="R360" s="556"/>
      <c r="S360" s="557"/>
      <c r="T360" s="558"/>
      <c r="U360" s="559"/>
      <c r="V360" s="560"/>
      <c r="W360" s="567"/>
      <c r="X360" s="562"/>
      <c r="Y360" s="567"/>
      <c r="Z360" s="562"/>
      <c r="AA360" s="562"/>
      <c r="AB360" s="558"/>
      <c r="AC360" s="558"/>
      <c r="AD360" s="558"/>
      <c r="AE360" s="558"/>
      <c r="AF360" s="558"/>
      <c r="AG360" s="564"/>
    </row>
    <row r="361" customFormat="false" ht="30" hidden="false" customHeight="true" outlineLevel="0" collapsed="false">
      <c r="A361" s="449" t="s">
        <v>1387</v>
      </c>
      <c r="B361" s="550"/>
      <c r="C361" s="550"/>
      <c r="D361" s="449"/>
      <c r="E361" s="551" t="n">
        <f aca="false">C361-B361</f>
        <v>0</v>
      </c>
      <c r="F361" s="551"/>
      <c r="G361" s="552"/>
      <c r="H361" s="553"/>
      <c r="I361" s="554"/>
      <c r="J361" s="554"/>
      <c r="K361" s="554"/>
      <c r="L361" s="555"/>
      <c r="M361" s="554"/>
      <c r="N361" s="449"/>
      <c r="O361" s="449"/>
      <c r="P361" s="449"/>
      <c r="Q361" s="556"/>
      <c r="R361" s="556"/>
      <c r="S361" s="557"/>
      <c r="T361" s="558"/>
      <c r="U361" s="559"/>
      <c r="V361" s="560"/>
      <c r="W361" s="567"/>
      <c r="X361" s="562"/>
      <c r="Y361" s="567"/>
      <c r="Z361" s="562"/>
      <c r="AA361" s="562"/>
      <c r="AB361" s="558"/>
      <c r="AC361" s="558"/>
      <c r="AD361" s="558"/>
      <c r="AE361" s="558"/>
      <c r="AF361" s="558"/>
      <c r="AG361" s="564"/>
    </row>
    <row r="362" customFormat="false" ht="30" hidden="false" customHeight="true" outlineLevel="0" collapsed="false">
      <c r="A362" s="449" t="s">
        <v>1388</v>
      </c>
      <c r="B362" s="550"/>
      <c r="C362" s="550"/>
      <c r="D362" s="449"/>
      <c r="E362" s="551" t="n">
        <f aca="false">C362-B362</f>
        <v>0</v>
      </c>
      <c r="F362" s="551"/>
      <c r="G362" s="552"/>
      <c r="H362" s="553"/>
      <c r="I362" s="554"/>
      <c r="J362" s="554"/>
      <c r="K362" s="554"/>
      <c r="L362" s="555"/>
      <c r="M362" s="554"/>
      <c r="N362" s="449"/>
      <c r="O362" s="449"/>
      <c r="P362" s="449"/>
      <c r="Q362" s="556"/>
      <c r="R362" s="556"/>
      <c r="S362" s="557"/>
      <c r="T362" s="558"/>
      <c r="U362" s="559"/>
      <c r="V362" s="560"/>
      <c r="W362" s="567"/>
      <c r="X362" s="562"/>
      <c r="Y362" s="567"/>
      <c r="Z362" s="562"/>
      <c r="AA362" s="562"/>
      <c r="AB362" s="558"/>
      <c r="AC362" s="558"/>
      <c r="AD362" s="558"/>
      <c r="AE362" s="558"/>
      <c r="AF362" s="558"/>
      <c r="AG362" s="564"/>
    </row>
    <row r="363" customFormat="false" ht="30" hidden="false" customHeight="true" outlineLevel="0" collapsed="false">
      <c r="A363" s="449" t="s">
        <v>1389</v>
      </c>
      <c r="B363" s="550"/>
      <c r="C363" s="550"/>
      <c r="D363" s="449"/>
      <c r="E363" s="551" t="n">
        <f aca="false">C363-B363</f>
        <v>0</v>
      </c>
      <c r="F363" s="551"/>
      <c r="G363" s="552"/>
      <c r="H363" s="553"/>
      <c r="I363" s="554"/>
      <c r="J363" s="554"/>
      <c r="K363" s="554"/>
      <c r="L363" s="555"/>
      <c r="M363" s="554"/>
      <c r="N363" s="449"/>
      <c r="O363" s="449"/>
      <c r="P363" s="449"/>
      <c r="Q363" s="556"/>
      <c r="R363" s="556"/>
      <c r="S363" s="557"/>
      <c r="T363" s="558"/>
      <c r="U363" s="559"/>
      <c r="V363" s="560"/>
      <c r="W363" s="567"/>
      <c r="X363" s="562"/>
      <c r="Y363" s="567"/>
      <c r="Z363" s="562"/>
      <c r="AA363" s="562"/>
      <c r="AB363" s="558"/>
      <c r="AC363" s="558"/>
      <c r="AD363" s="558"/>
      <c r="AE363" s="558"/>
      <c r="AF363" s="558"/>
      <c r="AG363" s="564"/>
    </row>
    <row r="364" customFormat="false" ht="30" hidden="false" customHeight="true" outlineLevel="0" collapsed="false">
      <c r="A364" s="449" t="s">
        <v>1390</v>
      </c>
      <c r="B364" s="550"/>
      <c r="C364" s="550"/>
      <c r="D364" s="449"/>
      <c r="E364" s="551" t="n">
        <f aca="false">C364-B364</f>
        <v>0</v>
      </c>
      <c r="F364" s="551"/>
      <c r="G364" s="552"/>
      <c r="H364" s="553"/>
      <c r="I364" s="554"/>
      <c r="J364" s="554"/>
      <c r="K364" s="554"/>
      <c r="L364" s="555"/>
      <c r="M364" s="554"/>
      <c r="N364" s="449"/>
      <c r="O364" s="449"/>
      <c r="P364" s="449"/>
      <c r="Q364" s="556"/>
      <c r="R364" s="556"/>
      <c r="S364" s="557"/>
      <c r="T364" s="558"/>
      <c r="U364" s="559"/>
      <c r="V364" s="560"/>
      <c r="W364" s="567"/>
      <c r="X364" s="562"/>
      <c r="Y364" s="567"/>
      <c r="Z364" s="562"/>
      <c r="AA364" s="562"/>
      <c r="AB364" s="558"/>
      <c r="AC364" s="558"/>
      <c r="AD364" s="558"/>
      <c r="AE364" s="558"/>
      <c r="AF364" s="558"/>
      <c r="AG364" s="564"/>
    </row>
    <row r="365" customFormat="false" ht="30" hidden="false" customHeight="true" outlineLevel="0" collapsed="false">
      <c r="A365" s="449" t="s">
        <v>1391</v>
      </c>
      <c r="B365" s="550"/>
      <c r="C365" s="550"/>
      <c r="D365" s="449"/>
      <c r="E365" s="551" t="n">
        <f aca="false">C365-B365</f>
        <v>0</v>
      </c>
      <c r="F365" s="551"/>
      <c r="G365" s="552"/>
      <c r="H365" s="553"/>
      <c r="I365" s="554"/>
      <c r="J365" s="554"/>
      <c r="K365" s="554"/>
      <c r="L365" s="555"/>
      <c r="M365" s="554"/>
      <c r="N365" s="449"/>
      <c r="O365" s="449"/>
      <c r="P365" s="449"/>
      <c r="Q365" s="556"/>
      <c r="R365" s="556"/>
      <c r="S365" s="557"/>
      <c r="T365" s="558"/>
      <c r="U365" s="559"/>
      <c r="V365" s="560"/>
      <c r="W365" s="567"/>
      <c r="X365" s="562"/>
      <c r="Y365" s="567"/>
      <c r="Z365" s="562"/>
      <c r="AA365" s="562"/>
      <c r="AB365" s="558"/>
      <c r="AC365" s="558"/>
      <c r="AD365" s="558"/>
      <c r="AE365" s="558"/>
      <c r="AF365" s="558"/>
      <c r="AG365" s="564"/>
    </row>
    <row r="366" customFormat="false" ht="30" hidden="false" customHeight="true" outlineLevel="0" collapsed="false">
      <c r="A366" s="449" t="s">
        <v>1392</v>
      </c>
      <c r="B366" s="550"/>
      <c r="C366" s="550"/>
      <c r="D366" s="449"/>
      <c r="E366" s="551" t="n">
        <f aca="false">C366-B366</f>
        <v>0</v>
      </c>
      <c r="F366" s="551"/>
      <c r="G366" s="552"/>
      <c r="H366" s="553"/>
      <c r="I366" s="554"/>
      <c r="J366" s="554"/>
      <c r="K366" s="554"/>
      <c r="L366" s="555"/>
      <c r="M366" s="554"/>
      <c r="N366" s="449"/>
      <c r="O366" s="449"/>
      <c r="P366" s="449"/>
      <c r="Q366" s="556"/>
      <c r="R366" s="556"/>
      <c r="S366" s="557"/>
      <c r="T366" s="558"/>
      <c r="U366" s="559"/>
      <c r="V366" s="560"/>
      <c r="W366" s="567"/>
      <c r="X366" s="562"/>
      <c r="Y366" s="567"/>
      <c r="Z366" s="562"/>
      <c r="AA366" s="562"/>
      <c r="AB366" s="558"/>
      <c r="AC366" s="558"/>
      <c r="AD366" s="558"/>
      <c r="AE366" s="558"/>
      <c r="AF366" s="558"/>
      <c r="AG366" s="564"/>
    </row>
    <row r="367" customFormat="false" ht="30" hidden="false" customHeight="true" outlineLevel="0" collapsed="false">
      <c r="A367" s="449" t="s">
        <v>1393</v>
      </c>
      <c r="B367" s="550"/>
      <c r="C367" s="550"/>
      <c r="D367" s="449"/>
      <c r="E367" s="551" t="n">
        <f aca="false">C367-B367</f>
        <v>0</v>
      </c>
      <c r="F367" s="551"/>
      <c r="G367" s="552"/>
      <c r="H367" s="553"/>
      <c r="I367" s="554"/>
      <c r="J367" s="554"/>
      <c r="K367" s="554"/>
      <c r="L367" s="555"/>
      <c r="M367" s="554"/>
      <c r="N367" s="449"/>
      <c r="O367" s="449"/>
      <c r="P367" s="449"/>
      <c r="Q367" s="556"/>
      <c r="R367" s="556"/>
      <c r="S367" s="557"/>
      <c r="T367" s="558"/>
      <c r="U367" s="559"/>
      <c r="V367" s="560"/>
      <c r="W367" s="567"/>
      <c r="X367" s="562"/>
      <c r="Y367" s="567"/>
      <c r="Z367" s="562"/>
      <c r="AA367" s="562"/>
      <c r="AB367" s="558"/>
      <c r="AC367" s="558"/>
      <c r="AD367" s="558"/>
      <c r="AE367" s="558"/>
      <c r="AF367" s="558"/>
      <c r="AG367" s="564"/>
    </row>
    <row r="368" customFormat="false" ht="30" hidden="false" customHeight="true" outlineLevel="0" collapsed="false">
      <c r="A368" s="449" t="s">
        <v>1394</v>
      </c>
      <c r="B368" s="550"/>
      <c r="C368" s="550"/>
      <c r="D368" s="449"/>
      <c r="E368" s="551" t="n">
        <f aca="false">C368-B368</f>
        <v>0</v>
      </c>
      <c r="F368" s="551"/>
      <c r="G368" s="552"/>
      <c r="H368" s="553"/>
      <c r="I368" s="554"/>
      <c r="J368" s="554"/>
      <c r="K368" s="554"/>
      <c r="L368" s="555"/>
      <c r="M368" s="554"/>
      <c r="N368" s="449"/>
      <c r="O368" s="449"/>
      <c r="P368" s="449"/>
      <c r="Q368" s="556"/>
      <c r="R368" s="556"/>
      <c r="S368" s="557"/>
      <c r="T368" s="558"/>
      <c r="U368" s="559"/>
      <c r="V368" s="560"/>
      <c r="W368" s="567"/>
      <c r="X368" s="562"/>
      <c r="Y368" s="567"/>
      <c r="Z368" s="562"/>
      <c r="AA368" s="562"/>
      <c r="AB368" s="558"/>
      <c r="AC368" s="558"/>
      <c r="AD368" s="558"/>
      <c r="AE368" s="558"/>
      <c r="AF368" s="558"/>
      <c r="AG368" s="564"/>
    </row>
    <row r="369" customFormat="false" ht="30" hidden="false" customHeight="true" outlineLevel="0" collapsed="false">
      <c r="A369" s="449" t="s">
        <v>1395</v>
      </c>
      <c r="B369" s="550"/>
      <c r="C369" s="550"/>
      <c r="D369" s="449"/>
      <c r="E369" s="551" t="n">
        <f aca="false">C369-B369</f>
        <v>0</v>
      </c>
      <c r="F369" s="551"/>
      <c r="G369" s="552"/>
      <c r="H369" s="553"/>
      <c r="I369" s="554"/>
      <c r="J369" s="554"/>
      <c r="K369" s="554"/>
      <c r="L369" s="555"/>
      <c r="M369" s="554"/>
      <c r="N369" s="449"/>
      <c r="O369" s="449"/>
      <c r="P369" s="449"/>
      <c r="Q369" s="556"/>
      <c r="R369" s="556"/>
      <c r="S369" s="557"/>
      <c r="T369" s="558"/>
      <c r="U369" s="559"/>
      <c r="V369" s="560"/>
      <c r="W369" s="567"/>
      <c r="X369" s="562"/>
      <c r="Y369" s="567"/>
      <c r="Z369" s="562"/>
      <c r="AA369" s="562"/>
      <c r="AB369" s="558"/>
      <c r="AC369" s="558"/>
      <c r="AD369" s="558"/>
      <c r="AE369" s="558"/>
      <c r="AF369" s="558"/>
      <c r="AG369" s="564"/>
    </row>
    <row r="370" customFormat="false" ht="30" hidden="false" customHeight="true" outlineLevel="0" collapsed="false">
      <c r="A370" s="449" t="s">
        <v>1396</v>
      </c>
      <c r="B370" s="550"/>
      <c r="C370" s="550"/>
      <c r="D370" s="449"/>
      <c r="E370" s="551" t="n">
        <f aca="false">C370-B370</f>
        <v>0</v>
      </c>
      <c r="F370" s="551"/>
      <c r="G370" s="552"/>
      <c r="H370" s="553"/>
      <c r="I370" s="554"/>
      <c r="J370" s="554"/>
      <c r="K370" s="554"/>
      <c r="L370" s="555"/>
      <c r="M370" s="554"/>
      <c r="N370" s="449"/>
      <c r="O370" s="449"/>
      <c r="P370" s="449"/>
      <c r="Q370" s="556"/>
      <c r="R370" s="556"/>
      <c r="S370" s="557"/>
      <c r="T370" s="558"/>
      <c r="U370" s="559"/>
      <c r="V370" s="560"/>
      <c r="W370" s="567"/>
      <c r="X370" s="562"/>
      <c r="Y370" s="567"/>
      <c r="Z370" s="562"/>
      <c r="AA370" s="562"/>
      <c r="AB370" s="558"/>
      <c r="AC370" s="558"/>
      <c r="AD370" s="558"/>
      <c r="AE370" s="558"/>
      <c r="AF370" s="558"/>
      <c r="AG370" s="564"/>
    </row>
    <row r="371" customFormat="false" ht="30" hidden="false" customHeight="true" outlineLevel="0" collapsed="false">
      <c r="A371" s="449" t="s">
        <v>1397</v>
      </c>
      <c r="B371" s="550"/>
      <c r="C371" s="550"/>
      <c r="D371" s="449"/>
      <c r="E371" s="551" t="n">
        <f aca="false">C371-B371</f>
        <v>0</v>
      </c>
      <c r="F371" s="551"/>
      <c r="G371" s="552"/>
      <c r="H371" s="553"/>
      <c r="I371" s="554"/>
      <c r="J371" s="554"/>
      <c r="K371" s="554"/>
      <c r="L371" s="555"/>
      <c r="M371" s="554"/>
      <c r="N371" s="449"/>
      <c r="O371" s="449"/>
      <c r="P371" s="449"/>
      <c r="Q371" s="556"/>
      <c r="R371" s="556"/>
      <c r="S371" s="557"/>
      <c r="T371" s="558"/>
      <c r="U371" s="559"/>
      <c r="V371" s="560"/>
      <c r="W371" s="567"/>
      <c r="X371" s="562"/>
      <c r="Y371" s="567"/>
      <c r="Z371" s="562"/>
      <c r="AA371" s="562"/>
      <c r="AB371" s="558"/>
      <c r="AC371" s="558"/>
      <c r="AD371" s="558"/>
      <c r="AE371" s="558"/>
      <c r="AF371" s="558"/>
      <c r="AG371" s="564"/>
    </row>
    <row r="372" customFormat="false" ht="30" hidden="false" customHeight="true" outlineLevel="0" collapsed="false">
      <c r="A372" s="449" t="s">
        <v>1398</v>
      </c>
      <c r="B372" s="550"/>
      <c r="C372" s="550"/>
      <c r="D372" s="449"/>
      <c r="E372" s="551" t="n">
        <f aca="false">C372-B372</f>
        <v>0</v>
      </c>
      <c r="F372" s="551"/>
      <c r="G372" s="552"/>
      <c r="H372" s="553"/>
      <c r="I372" s="554"/>
      <c r="J372" s="554"/>
      <c r="K372" s="554"/>
      <c r="L372" s="555"/>
      <c r="M372" s="554"/>
      <c r="N372" s="449"/>
      <c r="O372" s="449"/>
      <c r="P372" s="449"/>
      <c r="Q372" s="556"/>
      <c r="R372" s="556"/>
      <c r="S372" s="557"/>
      <c r="T372" s="558"/>
      <c r="U372" s="559"/>
      <c r="V372" s="560"/>
      <c r="W372" s="567"/>
      <c r="X372" s="562"/>
      <c r="Y372" s="567"/>
      <c r="Z372" s="562"/>
      <c r="AA372" s="562"/>
      <c r="AB372" s="558"/>
      <c r="AC372" s="558"/>
      <c r="AD372" s="558"/>
      <c r="AE372" s="558"/>
      <c r="AF372" s="558"/>
      <c r="AG372" s="564"/>
    </row>
    <row r="373" customFormat="false" ht="30" hidden="false" customHeight="true" outlineLevel="0" collapsed="false">
      <c r="A373" s="449" t="s">
        <v>1399</v>
      </c>
      <c r="B373" s="550"/>
      <c r="C373" s="550"/>
      <c r="D373" s="449"/>
      <c r="E373" s="551" t="n">
        <f aca="false">C373-B373</f>
        <v>0</v>
      </c>
      <c r="F373" s="551"/>
      <c r="G373" s="552"/>
      <c r="H373" s="553"/>
      <c r="I373" s="554"/>
      <c r="J373" s="554"/>
      <c r="K373" s="554"/>
      <c r="L373" s="555"/>
      <c r="M373" s="554"/>
      <c r="N373" s="449"/>
      <c r="O373" s="449"/>
      <c r="P373" s="449"/>
      <c r="Q373" s="556"/>
      <c r="R373" s="556"/>
      <c r="S373" s="557"/>
      <c r="T373" s="558"/>
      <c r="U373" s="559"/>
      <c r="V373" s="560"/>
      <c r="W373" s="567"/>
      <c r="X373" s="562"/>
      <c r="Y373" s="567"/>
      <c r="Z373" s="562"/>
      <c r="AA373" s="562"/>
      <c r="AB373" s="558"/>
      <c r="AC373" s="558"/>
      <c r="AD373" s="558"/>
      <c r="AE373" s="558"/>
      <c r="AF373" s="558"/>
      <c r="AG373" s="564"/>
    </row>
    <row r="374" customFormat="false" ht="30" hidden="false" customHeight="true" outlineLevel="0" collapsed="false">
      <c r="A374" s="449" t="s">
        <v>1400</v>
      </c>
      <c r="B374" s="550"/>
      <c r="C374" s="550"/>
      <c r="D374" s="449"/>
      <c r="E374" s="551" t="n">
        <f aca="false">C374-B374</f>
        <v>0</v>
      </c>
      <c r="F374" s="551"/>
      <c r="G374" s="552"/>
      <c r="H374" s="553"/>
      <c r="I374" s="554"/>
      <c r="J374" s="554"/>
      <c r="K374" s="554"/>
      <c r="L374" s="555"/>
      <c r="M374" s="554"/>
      <c r="N374" s="449"/>
      <c r="O374" s="449"/>
      <c r="P374" s="449"/>
      <c r="Q374" s="556"/>
      <c r="R374" s="556"/>
      <c r="S374" s="557"/>
      <c r="T374" s="558"/>
      <c r="U374" s="559"/>
      <c r="V374" s="560"/>
      <c r="W374" s="567"/>
      <c r="X374" s="562"/>
      <c r="Y374" s="567"/>
      <c r="Z374" s="562"/>
      <c r="AA374" s="562"/>
      <c r="AB374" s="558"/>
      <c r="AC374" s="558"/>
      <c r="AD374" s="558"/>
      <c r="AE374" s="558"/>
      <c r="AF374" s="558"/>
      <c r="AG374" s="564"/>
    </row>
    <row r="375" customFormat="false" ht="30" hidden="false" customHeight="true" outlineLevel="0" collapsed="false">
      <c r="A375" s="449" t="s">
        <v>1401</v>
      </c>
      <c r="B375" s="550"/>
      <c r="C375" s="550"/>
      <c r="D375" s="449"/>
      <c r="E375" s="551" t="n">
        <f aca="false">C375-B375</f>
        <v>0</v>
      </c>
      <c r="F375" s="551"/>
      <c r="G375" s="552"/>
      <c r="H375" s="553"/>
      <c r="I375" s="554"/>
      <c r="J375" s="554"/>
      <c r="K375" s="554"/>
      <c r="L375" s="555"/>
      <c r="M375" s="554"/>
      <c r="N375" s="449"/>
      <c r="O375" s="449"/>
      <c r="P375" s="449"/>
      <c r="Q375" s="556"/>
      <c r="R375" s="556"/>
      <c r="S375" s="557"/>
      <c r="T375" s="558"/>
      <c r="U375" s="559"/>
      <c r="V375" s="560"/>
      <c r="W375" s="567"/>
      <c r="X375" s="562"/>
      <c r="Y375" s="567"/>
      <c r="Z375" s="562"/>
      <c r="AA375" s="562"/>
      <c r="AB375" s="558"/>
      <c r="AC375" s="558"/>
      <c r="AD375" s="558"/>
      <c r="AE375" s="558"/>
      <c r="AF375" s="558"/>
      <c r="AG375" s="564"/>
    </row>
    <row r="376" customFormat="false" ht="30" hidden="false" customHeight="true" outlineLevel="0" collapsed="false">
      <c r="A376" s="449" t="s">
        <v>1402</v>
      </c>
      <c r="B376" s="550"/>
      <c r="C376" s="550"/>
      <c r="D376" s="449"/>
      <c r="E376" s="551" t="n">
        <f aca="false">C376-B376</f>
        <v>0</v>
      </c>
      <c r="F376" s="551"/>
      <c r="G376" s="552"/>
      <c r="H376" s="553"/>
      <c r="I376" s="554"/>
      <c r="J376" s="554"/>
      <c r="K376" s="554"/>
      <c r="L376" s="555"/>
      <c r="M376" s="554"/>
      <c r="N376" s="449"/>
      <c r="O376" s="449"/>
      <c r="P376" s="449"/>
      <c r="Q376" s="556"/>
      <c r="R376" s="556"/>
      <c r="S376" s="557"/>
      <c r="T376" s="558"/>
      <c r="U376" s="559"/>
      <c r="V376" s="560"/>
      <c r="W376" s="567"/>
      <c r="X376" s="562"/>
      <c r="Y376" s="567"/>
      <c r="Z376" s="562"/>
      <c r="AA376" s="562"/>
      <c r="AB376" s="558"/>
      <c r="AC376" s="558"/>
      <c r="AD376" s="558"/>
      <c r="AE376" s="558"/>
      <c r="AF376" s="558"/>
      <c r="AG376" s="564"/>
    </row>
    <row r="377" customFormat="false" ht="30" hidden="false" customHeight="true" outlineLevel="0" collapsed="false">
      <c r="A377" s="449" t="s">
        <v>1403</v>
      </c>
      <c r="B377" s="550"/>
      <c r="C377" s="550"/>
      <c r="D377" s="449"/>
      <c r="E377" s="551" t="n">
        <f aca="false">C377-B377</f>
        <v>0</v>
      </c>
      <c r="F377" s="551"/>
      <c r="G377" s="552"/>
      <c r="H377" s="553"/>
      <c r="I377" s="554"/>
      <c r="J377" s="554"/>
      <c r="K377" s="554"/>
      <c r="L377" s="555"/>
      <c r="M377" s="554"/>
      <c r="N377" s="449"/>
      <c r="O377" s="449"/>
      <c r="P377" s="449"/>
      <c r="Q377" s="556"/>
      <c r="R377" s="556"/>
      <c r="S377" s="557"/>
      <c r="T377" s="558"/>
      <c r="U377" s="559"/>
      <c r="V377" s="560"/>
      <c r="W377" s="567"/>
      <c r="X377" s="562"/>
      <c r="Y377" s="567"/>
      <c r="Z377" s="562"/>
      <c r="AA377" s="562"/>
      <c r="AB377" s="558"/>
      <c r="AC377" s="558"/>
      <c r="AD377" s="558"/>
      <c r="AE377" s="558"/>
      <c r="AF377" s="558"/>
      <c r="AG377" s="564"/>
    </row>
    <row r="378" customFormat="false" ht="30" hidden="false" customHeight="true" outlineLevel="0" collapsed="false">
      <c r="A378" s="449" t="s">
        <v>1404</v>
      </c>
      <c r="B378" s="550"/>
      <c r="C378" s="550"/>
      <c r="D378" s="449"/>
      <c r="E378" s="551" t="n">
        <f aca="false">C378-B378</f>
        <v>0</v>
      </c>
      <c r="F378" s="551"/>
      <c r="G378" s="552"/>
      <c r="H378" s="553"/>
      <c r="I378" s="554"/>
      <c r="J378" s="554"/>
      <c r="K378" s="554"/>
      <c r="L378" s="555"/>
      <c r="M378" s="554"/>
      <c r="N378" s="449"/>
      <c r="O378" s="449"/>
      <c r="P378" s="449"/>
      <c r="Q378" s="556"/>
      <c r="R378" s="556"/>
      <c r="S378" s="557"/>
      <c r="T378" s="558"/>
      <c r="U378" s="559"/>
      <c r="V378" s="560"/>
      <c r="W378" s="567"/>
      <c r="X378" s="562"/>
      <c r="Y378" s="567"/>
      <c r="Z378" s="562"/>
      <c r="AA378" s="562"/>
      <c r="AB378" s="558"/>
      <c r="AC378" s="558"/>
      <c r="AD378" s="558"/>
      <c r="AE378" s="558"/>
      <c r="AF378" s="558"/>
      <c r="AG378" s="564"/>
    </row>
    <row r="379" customFormat="false" ht="30" hidden="false" customHeight="true" outlineLevel="0" collapsed="false">
      <c r="A379" s="449" t="s">
        <v>1405</v>
      </c>
      <c r="B379" s="550"/>
      <c r="C379" s="550"/>
      <c r="D379" s="449"/>
      <c r="E379" s="551" t="n">
        <f aca="false">C379-B379</f>
        <v>0</v>
      </c>
      <c r="F379" s="551"/>
      <c r="G379" s="552"/>
      <c r="H379" s="553"/>
      <c r="I379" s="554"/>
      <c r="J379" s="554"/>
      <c r="K379" s="554"/>
      <c r="L379" s="555"/>
      <c r="M379" s="554"/>
      <c r="N379" s="449"/>
      <c r="O379" s="449"/>
      <c r="P379" s="449"/>
      <c r="Q379" s="556"/>
      <c r="R379" s="556"/>
      <c r="S379" s="557"/>
      <c r="T379" s="558"/>
      <c r="U379" s="559"/>
      <c r="V379" s="560"/>
      <c r="W379" s="567"/>
      <c r="X379" s="562"/>
      <c r="Y379" s="567"/>
      <c r="Z379" s="562"/>
      <c r="AA379" s="562"/>
      <c r="AB379" s="558"/>
      <c r="AC379" s="558"/>
      <c r="AD379" s="558"/>
      <c r="AE379" s="558"/>
      <c r="AF379" s="558"/>
      <c r="AG379" s="564"/>
    </row>
    <row r="380" customFormat="false" ht="30" hidden="false" customHeight="true" outlineLevel="0" collapsed="false">
      <c r="A380" s="449" t="s">
        <v>1406</v>
      </c>
      <c r="B380" s="550"/>
      <c r="C380" s="550"/>
      <c r="D380" s="449"/>
      <c r="E380" s="551" t="n">
        <f aca="false">C380-B380</f>
        <v>0</v>
      </c>
      <c r="F380" s="551"/>
      <c r="G380" s="552"/>
      <c r="H380" s="553"/>
      <c r="I380" s="554"/>
      <c r="J380" s="554"/>
      <c r="K380" s="554"/>
      <c r="L380" s="555"/>
      <c r="M380" s="554"/>
      <c r="N380" s="449"/>
      <c r="O380" s="449"/>
      <c r="P380" s="449"/>
      <c r="Q380" s="556"/>
      <c r="R380" s="556"/>
      <c r="S380" s="557"/>
      <c r="T380" s="558"/>
      <c r="U380" s="559"/>
      <c r="V380" s="560"/>
      <c r="W380" s="567"/>
      <c r="X380" s="562"/>
      <c r="Y380" s="567"/>
      <c r="Z380" s="562"/>
      <c r="AA380" s="562"/>
      <c r="AB380" s="558"/>
      <c r="AC380" s="558"/>
      <c r="AD380" s="558"/>
      <c r="AE380" s="558"/>
      <c r="AF380" s="558"/>
      <c r="AG380" s="564"/>
    </row>
    <row r="381" customFormat="false" ht="30" hidden="false" customHeight="true" outlineLevel="0" collapsed="false">
      <c r="A381" s="449" t="s">
        <v>1407</v>
      </c>
      <c r="B381" s="550"/>
      <c r="C381" s="550"/>
      <c r="D381" s="449"/>
      <c r="E381" s="551" t="n">
        <f aca="false">C381-B381</f>
        <v>0</v>
      </c>
      <c r="F381" s="551"/>
      <c r="G381" s="552"/>
      <c r="H381" s="553"/>
      <c r="I381" s="554"/>
      <c r="J381" s="554"/>
      <c r="K381" s="554"/>
      <c r="L381" s="555"/>
      <c r="M381" s="554"/>
      <c r="N381" s="449"/>
      <c r="O381" s="449"/>
      <c r="P381" s="449"/>
      <c r="Q381" s="556"/>
      <c r="R381" s="556"/>
      <c r="S381" s="557"/>
      <c r="T381" s="558"/>
      <c r="U381" s="559"/>
      <c r="V381" s="560"/>
      <c r="W381" s="567"/>
      <c r="X381" s="562"/>
      <c r="Y381" s="567"/>
      <c r="Z381" s="562"/>
      <c r="AA381" s="562"/>
      <c r="AB381" s="558"/>
      <c r="AC381" s="558"/>
      <c r="AD381" s="558"/>
      <c r="AE381" s="558"/>
      <c r="AF381" s="558"/>
      <c r="AG381" s="564"/>
    </row>
    <row r="382" customFormat="false" ht="30" hidden="false" customHeight="true" outlineLevel="0" collapsed="false">
      <c r="A382" s="449" t="s">
        <v>1408</v>
      </c>
      <c r="B382" s="550"/>
      <c r="C382" s="550"/>
      <c r="D382" s="449"/>
      <c r="E382" s="551" t="n">
        <f aca="false">C382-B382</f>
        <v>0</v>
      </c>
      <c r="F382" s="551"/>
      <c r="G382" s="552"/>
      <c r="H382" s="553"/>
      <c r="I382" s="554"/>
      <c r="J382" s="554"/>
      <c r="K382" s="554"/>
      <c r="L382" s="555"/>
      <c r="M382" s="554"/>
      <c r="N382" s="449"/>
      <c r="O382" s="449"/>
      <c r="P382" s="449"/>
      <c r="Q382" s="556"/>
      <c r="R382" s="556"/>
      <c r="S382" s="557"/>
      <c r="T382" s="558"/>
      <c r="U382" s="559"/>
      <c r="V382" s="560"/>
      <c r="W382" s="567"/>
      <c r="X382" s="562"/>
      <c r="Y382" s="567"/>
      <c r="Z382" s="562"/>
      <c r="AA382" s="562"/>
      <c r="AB382" s="558"/>
      <c r="AC382" s="558"/>
      <c r="AD382" s="558"/>
      <c r="AE382" s="558"/>
      <c r="AF382" s="558"/>
      <c r="AG382" s="564"/>
    </row>
    <row r="383" customFormat="false" ht="30" hidden="false" customHeight="true" outlineLevel="0" collapsed="false">
      <c r="A383" s="449" t="s">
        <v>1409</v>
      </c>
      <c r="B383" s="550"/>
      <c r="C383" s="550"/>
      <c r="D383" s="449"/>
      <c r="E383" s="551" t="n">
        <f aca="false">C383-B383</f>
        <v>0</v>
      </c>
      <c r="F383" s="551"/>
      <c r="G383" s="552"/>
      <c r="H383" s="553"/>
      <c r="I383" s="554"/>
      <c r="J383" s="554"/>
      <c r="K383" s="554"/>
      <c r="L383" s="555"/>
      <c r="M383" s="554"/>
      <c r="N383" s="449"/>
      <c r="O383" s="449"/>
      <c r="P383" s="449"/>
      <c r="Q383" s="556"/>
      <c r="R383" s="556"/>
      <c r="S383" s="557"/>
      <c r="T383" s="558"/>
      <c r="U383" s="559"/>
      <c r="V383" s="560"/>
      <c r="W383" s="567"/>
      <c r="X383" s="562"/>
      <c r="Y383" s="567"/>
      <c r="Z383" s="562"/>
      <c r="AA383" s="562"/>
      <c r="AB383" s="558"/>
      <c r="AC383" s="558"/>
      <c r="AD383" s="558"/>
      <c r="AE383" s="558"/>
      <c r="AF383" s="558"/>
      <c r="AG383" s="564"/>
    </row>
    <row r="384" customFormat="false" ht="30" hidden="false" customHeight="true" outlineLevel="0" collapsed="false">
      <c r="A384" s="449" t="s">
        <v>1410</v>
      </c>
      <c r="B384" s="550"/>
      <c r="C384" s="550"/>
      <c r="D384" s="449"/>
      <c r="E384" s="551" t="n">
        <f aca="false">C384-B384</f>
        <v>0</v>
      </c>
      <c r="F384" s="551"/>
      <c r="G384" s="552"/>
      <c r="H384" s="553"/>
      <c r="I384" s="554"/>
      <c r="J384" s="554"/>
      <c r="K384" s="554"/>
      <c r="L384" s="555"/>
      <c r="M384" s="554"/>
      <c r="N384" s="449"/>
      <c r="O384" s="449"/>
      <c r="P384" s="449"/>
      <c r="Q384" s="556"/>
      <c r="R384" s="556"/>
      <c r="S384" s="557"/>
      <c r="T384" s="558"/>
      <c r="U384" s="559"/>
      <c r="V384" s="560"/>
      <c r="W384" s="567"/>
      <c r="X384" s="562"/>
      <c r="Y384" s="567"/>
      <c r="Z384" s="562"/>
      <c r="AA384" s="562"/>
      <c r="AB384" s="558"/>
      <c r="AC384" s="558"/>
      <c r="AD384" s="558"/>
      <c r="AE384" s="558"/>
      <c r="AF384" s="558"/>
      <c r="AG384" s="564"/>
    </row>
    <row r="385" customFormat="false" ht="30" hidden="false" customHeight="true" outlineLevel="0" collapsed="false">
      <c r="A385" s="449" t="s">
        <v>1411</v>
      </c>
      <c r="B385" s="550"/>
      <c r="C385" s="550"/>
      <c r="D385" s="449"/>
      <c r="E385" s="551" t="n">
        <f aca="false">C385-B385</f>
        <v>0</v>
      </c>
      <c r="F385" s="551"/>
      <c r="G385" s="552"/>
      <c r="H385" s="553"/>
      <c r="I385" s="554"/>
      <c r="J385" s="554"/>
      <c r="K385" s="554"/>
      <c r="L385" s="555"/>
      <c r="M385" s="554"/>
      <c r="N385" s="449"/>
      <c r="O385" s="449"/>
      <c r="P385" s="449"/>
      <c r="Q385" s="556"/>
      <c r="R385" s="556"/>
      <c r="S385" s="557"/>
      <c r="T385" s="558"/>
      <c r="U385" s="559"/>
      <c r="V385" s="560"/>
      <c r="W385" s="567"/>
      <c r="X385" s="562"/>
      <c r="Y385" s="567"/>
      <c r="Z385" s="562"/>
      <c r="AA385" s="562"/>
      <c r="AB385" s="558"/>
      <c r="AC385" s="558"/>
      <c r="AD385" s="558"/>
      <c r="AE385" s="558"/>
      <c r="AF385" s="558"/>
      <c r="AG385" s="564"/>
    </row>
    <row r="386" customFormat="false" ht="30" hidden="false" customHeight="true" outlineLevel="0" collapsed="false">
      <c r="A386" s="449" t="s">
        <v>1412</v>
      </c>
      <c r="B386" s="550"/>
      <c r="C386" s="550"/>
      <c r="D386" s="449"/>
      <c r="E386" s="551" t="n">
        <f aca="false">C386-B386</f>
        <v>0</v>
      </c>
      <c r="F386" s="551"/>
      <c r="G386" s="552"/>
      <c r="H386" s="553"/>
      <c r="I386" s="554"/>
      <c r="J386" s="554"/>
      <c r="K386" s="554"/>
      <c r="L386" s="555"/>
      <c r="M386" s="554"/>
      <c r="N386" s="449"/>
      <c r="O386" s="449"/>
      <c r="P386" s="449"/>
      <c r="Q386" s="556"/>
      <c r="R386" s="556"/>
      <c r="S386" s="557"/>
      <c r="T386" s="558"/>
      <c r="U386" s="559"/>
      <c r="V386" s="560"/>
      <c r="W386" s="567"/>
      <c r="X386" s="562"/>
      <c r="Y386" s="567"/>
      <c r="Z386" s="562"/>
      <c r="AA386" s="562"/>
      <c r="AB386" s="558"/>
      <c r="AC386" s="558"/>
      <c r="AD386" s="558"/>
      <c r="AE386" s="558"/>
      <c r="AF386" s="558"/>
      <c r="AG386" s="564"/>
    </row>
    <row r="387" customFormat="false" ht="30" hidden="false" customHeight="true" outlineLevel="0" collapsed="false">
      <c r="A387" s="449" t="s">
        <v>1413</v>
      </c>
      <c r="B387" s="550"/>
      <c r="C387" s="550"/>
      <c r="D387" s="449"/>
      <c r="E387" s="551" t="n">
        <f aca="false">C387-B387</f>
        <v>0</v>
      </c>
      <c r="F387" s="551"/>
      <c r="G387" s="552"/>
      <c r="H387" s="553"/>
      <c r="I387" s="554"/>
      <c r="J387" s="554"/>
      <c r="K387" s="554"/>
      <c r="L387" s="555"/>
      <c r="M387" s="554"/>
      <c r="N387" s="449"/>
      <c r="O387" s="449"/>
      <c r="P387" s="449"/>
      <c r="Q387" s="556"/>
      <c r="R387" s="556"/>
      <c r="S387" s="557"/>
      <c r="T387" s="558"/>
      <c r="U387" s="559"/>
      <c r="V387" s="560"/>
      <c r="W387" s="567"/>
      <c r="X387" s="562"/>
      <c r="Y387" s="567"/>
      <c r="Z387" s="562"/>
      <c r="AA387" s="562"/>
      <c r="AB387" s="558"/>
      <c r="AC387" s="558"/>
      <c r="AD387" s="558"/>
      <c r="AE387" s="558"/>
      <c r="AF387" s="558"/>
      <c r="AG387" s="564"/>
    </row>
    <row r="388" customFormat="false" ht="30" hidden="false" customHeight="true" outlineLevel="0" collapsed="false">
      <c r="A388" s="449" t="s">
        <v>1414</v>
      </c>
      <c r="B388" s="550"/>
      <c r="C388" s="550"/>
      <c r="D388" s="449"/>
      <c r="E388" s="551" t="n">
        <f aca="false">C388-B388</f>
        <v>0</v>
      </c>
      <c r="F388" s="551"/>
      <c r="G388" s="552"/>
      <c r="H388" s="553"/>
      <c r="I388" s="554"/>
      <c r="J388" s="554"/>
      <c r="K388" s="554"/>
      <c r="L388" s="555"/>
      <c r="M388" s="554"/>
      <c r="N388" s="449"/>
      <c r="O388" s="449"/>
      <c r="P388" s="449"/>
      <c r="Q388" s="556"/>
      <c r="R388" s="556"/>
      <c r="S388" s="557"/>
      <c r="T388" s="558"/>
      <c r="U388" s="559"/>
      <c r="V388" s="560"/>
      <c r="W388" s="567"/>
      <c r="X388" s="562"/>
      <c r="Y388" s="567"/>
      <c r="Z388" s="562"/>
      <c r="AA388" s="562"/>
      <c r="AB388" s="558"/>
      <c r="AC388" s="558"/>
      <c r="AD388" s="558"/>
      <c r="AE388" s="558"/>
      <c r="AF388" s="558"/>
      <c r="AG388" s="564"/>
    </row>
    <row r="389" customFormat="false" ht="30" hidden="false" customHeight="true" outlineLevel="0" collapsed="false">
      <c r="A389" s="449" t="s">
        <v>1415</v>
      </c>
      <c r="B389" s="550"/>
      <c r="C389" s="550"/>
      <c r="D389" s="449"/>
      <c r="E389" s="551" t="n">
        <f aca="false">C389-B389</f>
        <v>0</v>
      </c>
      <c r="F389" s="551"/>
      <c r="G389" s="552"/>
      <c r="H389" s="553"/>
      <c r="I389" s="554"/>
      <c r="J389" s="554"/>
      <c r="K389" s="554"/>
      <c r="L389" s="555"/>
      <c r="M389" s="554"/>
      <c r="N389" s="449"/>
      <c r="O389" s="449"/>
      <c r="P389" s="449"/>
      <c r="Q389" s="556"/>
      <c r="R389" s="556"/>
      <c r="S389" s="557"/>
      <c r="T389" s="558"/>
      <c r="U389" s="559"/>
      <c r="V389" s="560"/>
      <c r="W389" s="567"/>
      <c r="X389" s="562"/>
      <c r="Y389" s="567"/>
      <c r="Z389" s="562"/>
      <c r="AA389" s="562"/>
      <c r="AB389" s="558"/>
      <c r="AC389" s="558"/>
      <c r="AD389" s="558"/>
      <c r="AE389" s="558"/>
      <c r="AF389" s="558"/>
      <c r="AG389" s="564"/>
    </row>
    <row r="390" customFormat="false" ht="30" hidden="false" customHeight="true" outlineLevel="0" collapsed="false">
      <c r="A390" s="449" t="s">
        <v>1416</v>
      </c>
      <c r="B390" s="550"/>
      <c r="C390" s="550"/>
      <c r="D390" s="449"/>
      <c r="E390" s="551" t="n">
        <f aca="false">C390-B390</f>
        <v>0</v>
      </c>
      <c r="F390" s="551"/>
      <c r="G390" s="552"/>
      <c r="H390" s="553"/>
      <c r="I390" s="554"/>
      <c r="J390" s="554"/>
      <c r="K390" s="554"/>
      <c r="L390" s="555"/>
      <c r="M390" s="554"/>
      <c r="N390" s="449"/>
      <c r="O390" s="449"/>
      <c r="P390" s="449"/>
      <c r="Q390" s="556"/>
      <c r="R390" s="556"/>
      <c r="S390" s="557"/>
      <c r="T390" s="558"/>
      <c r="U390" s="559"/>
      <c r="V390" s="560"/>
      <c r="W390" s="567"/>
      <c r="X390" s="562"/>
      <c r="Y390" s="567"/>
      <c r="Z390" s="562"/>
      <c r="AA390" s="562"/>
      <c r="AB390" s="558"/>
      <c r="AC390" s="558"/>
      <c r="AD390" s="558"/>
      <c r="AE390" s="558"/>
      <c r="AF390" s="558"/>
      <c r="AG390" s="564"/>
    </row>
    <row r="391" customFormat="false" ht="30" hidden="false" customHeight="true" outlineLevel="0" collapsed="false">
      <c r="A391" s="449" t="s">
        <v>1417</v>
      </c>
      <c r="B391" s="550"/>
      <c r="C391" s="550"/>
      <c r="D391" s="449"/>
      <c r="E391" s="551" t="n">
        <f aca="false">C391-B391</f>
        <v>0</v>
      </c>
      <c r="F391" s="551"/>
      <c r="G391" s="552"/>
      <c r="H391" s="553"/>
      <c r="I391" s="554"/>
      <c r="J391" s="554"/>
      <c r="K391" s="554"/>
      <c r="L391" s="555"/>
      <c r="M391" s="554"/>
      <c r="N391" s="449"/>
      <c r="O391" s="449"/>
      <c r="P391" s="449"/>
      <c r="Q391" s="556"/>
      <c r="R391" s="556"/>
      <c r="S391" s="557"/>
      <c r="T391" s="558"/>
      <c r="U391" s="559"/>
      <c r="V391" s="560"/>
      <c r="W391" s="567"/>
      <c r="X391" s="562"/>
      <c r="Y391" s="567"/>
      <c r="Z391" s="562"/>
      <c r="AA391" s="562"/>
      <c r="AB391" s="558"/>
      <c r="AC391" s="558"/>
      <c r="AD391" s="558"/>
      <c r="AE391" s="558"/>
      <c r="AF391" s="558"/>
      <c r="AG391" s="564"/>
    </row>
    <row r="392" customFormat="false" ht="30" hidden="false" customHeight="true" outlineLevel="0" collapsed="false">
      <c r="A392" s="449" t="s">
        <v>1418</v>
      </c>
      <c r="B392" s="550"/>
      <c r="C392" s="550"/>
      <c r="D392" s="449"/>
      <c r="E392" s="551" t="n">
        <f aca="false">C392-B392</f>
        <v>0</v>
      </c>
      <c r="F392" s="551"/>
      <c r="G392" s="552"/>
      <c r="H392" s="553"/>
      <c r="I392" s="554"/>
      <c r="J392" s="554"/>
      <c r="K392" s="554"/>
      <c r="L392" s="555"/>
      <c r="M392" s="554"/>
      <c r="N392" s="449"/>
      <c r="O392" s="449"/>
      <c r="P392" s="449"/>
      <c r="Q392" s="556"/>
      <c r="R392" s="556"/>
      <c r="S392" s="557"/>
      <c r="T392" s="558"/>
      <c r="U392" s="559"/>
      <c r="V392" s="560"/>
      <c r="W392" s="567"/>
      <c r="X392" s="562"/>
      <c r="Y392" s="567"/>
      <c r="Z392" s="562"/>
      <c r="AA392" s="562"/>
      <c r="AB392" s="558"/>
      <c r="AC392" s="558"/>
      <c r="AD392" s="558"/>
      <c r="AE392" s="558"/>
      <c r="AF392" s="558"/>
      <c r="AG392" s="564"/>
    </row>
    <row r="393" customFormat="false" ht="30" hidden="false" customHeight="true" outlineLevel="0" collapsed="false">
      <c r="A393" s="449" t="s">
        <v>1419</v>
      </c>
      <c r="B393" s="550"/>
      <c r="C393" s="550"/>
      <c r="D393" s="449"/>
      <c r="E393" s="551" t="n">
        <f aca="false">C393-B393</f>
        <v>0</v>
      </c>
      <c r="F393" s="551"/>
      <c r="G393" s="552"/>
      <c r="H393" s="553"/>
      <c r="I393" s="554"/>
      <c r="J393" s="554"/>
      <c r="K393" s="554"/>
      <c r="L393" s="555"/>
      <c r="M393" s="554"/>
      <c r="N393" s="449"/>
      <c r="O393" s="449"/>
      <c r="P393" s="449"/>
      <c r="Q393" s="556"/>
      <c r="R393" s="556"/>
      <c r="S393" s="557"/>
      <c r="T393" s="558"/>
      <c r="U393" s="559"/>
      <c r="V393" s="560"/>
      <c r="W393" s="567"/>
      <c r="X393" s="562"/>
      <c r="Y393" s="567"/>
      <c r="Z393" s="562"/>
      <c r="AA393" s="562"/>
      <c r="AB393" s="558"/>
      <c r="AC393" s="558"/>
      <c r="AD393" s="558"/>
      <c r="AE393" s="558"/>
      <c r="AF393" s="558"/>
      <c r="AG393" s="564"/>
    </row>
    <row r="394" customFormat="false" ht="30" hidden="false" customHeight="true" outlineLevel="0" collapsed="false">
      <c r="A394" s="449" t="s">
        <v>1420</v>
      </c>
      <c r="B394" s="550"/>
      <c r="C394" s="550"/>
      <c r="D394" s="449"/>
      <c r="E394" s="551" t="n">
        <f aca="false">C394-B394</f>
        <v>0</v>
      </c>
      <c r="F394" s="551"/>
      <c r="G394" s="552"/>
      <c r="H394" s="553"/>
      <c r="I394" s="554"/>
      <c r="J394" s="554"/>
      <c r="K394" s="554"/>
      <c r="L394" s="555"/>
      <c r="M394" s="554"/>
      <c r="N394" s="449"/>
      <c r="O394" s="449"/>
      <c r="P394" s="449"/>
      <c r="Q394" s="556"/>
      <c r="R394" s="556"/>
      <c r="S394" s="557"/>
      <c r="T394" s="558"/>
      <c r="U394" s="559"/>
      <c r="V394" s="560"/>
      <c r="W394" s="567"/>
      <c r="X394" s="562"/>
      <c r="Y394" s="567"/>
      <c r="Z394" s="562"/>
      <c r="AA394" s="562"/>
      <c r="AB394" s="558"/>
      <c r="AC394" s="558"/>
      <c r="AD394" s="558"/>
      <c r="AE394" s="558"/>
      <c r="AF394" s="558"/>
      <c r="AG394" s="564"/>
    </row>
    <row r="395" customFormat="false" ht="30" hidden="false" customHeight="true" outlineLevel="0" collapsed="false">
      <c r="A395" s="449" t="s">
        <v>1421</v>
      </c>
      <c r="B395" s="550"/>
      <c r="C395" s="550"/>
      <c r="D395" s="449"/>
      <c r="E395" s="551" t="n">
        <f aca="false">C395-B395</f>
        <v>0</v>
      </c>
      <c r="F395" s="551"/>
      <c r="G395" s="552"/>
      <c r="H395" s="553"/>
      <c r="I395" s="554"/>
      <c r="J395" s="554"/>
      <c r="K395" s="554"/>
      <c r="L395" s="555"/>
      <c r="M395" s="554"/>
      <c r="N395" s="449"/>
      <c r="O395" s="449"/>
      <c r="P395" s="449"/>
      <c r="Q395" s="556"/>
      <c r="R395" s="556"/>
      <c r="S395" s="557"/>
      <c r="T395" s="558"/>
      <c r="U395" s="559"/>
      <c r="V395" s="560"/>
      <c r="W395" s="567"/>
      <c r="X395" s="562"/>
      <c r="Y395" s="567"/>
      <c r="Z395" s="562"/>
      <c r="AA395" s="562"/>
      <c r="AB395" s="558"/>
      <c r="AC395" s="558"/>
      <c r="AD395" s="558"/>
      <c r="AE395" s="558"/>
      <c r="AF395" s="558"/>
      <c r="AG395" s="564"/>
    </row>
    <row r="396" customFormat="false" ht="30" hidden="false" customHeight="true" outlineLevel="0" collapsed="false">
      <c r="A396" s="449" t="s">
        <v>1422</v>
      </c>
      <c r="B396" s="550"/>
      <c r="C396" s="550"/>
      <c r="D396" s="449"/>
      <c r="E396" s="551" t="n">
        <f aca="false">C396-B396</f>
        <v>0</v>
      </c>
      <c r="F396" s="551"/>
      <c r="G396" s="552"/>
      <c r="H396" s="553"/>
      <c r="I396" s="554"/>
      <c r="J396" s="554"/>
      <c r="K396" s="554"/>
      <c r="L396" s="555"/>
      <c r="M396" s="554"/>
      <c r="N396" s="449"/>
      <c r="O396" s="449"/>
      <c r="P396" s="449"/>
      <c r="Q396" s="556"/>
      <c r="R396" s="556"/>
      <c r="S396" s="557"/>
      <c r="T396" s="558"/>
      <c r="U396" s="559"/>
      <c r="V396" s="560"/>
      <c r="W396" s="567"/>
      <c r="X396" s="562"/>
      <c r="Y396" s="567"/>
      <c r="Z396" s="562"/>
      <c r="AA396" s="562"/>
      <c r="AB396" s="558"/>
      <c r="AC396" s="558"/>
      <c r="AD396" s="558"/>
      <c r="AE396" s="558"/>
      <c r="AF396" s="558"/>
      <c r="AG396" s="564"/>
    </row>
    <row r="397" customFormat="false" ht="30" hidden="false" customHeight="true" outlineLevel="0" collapsed="false">
      <c r="A397" s="449" t="s">
        <v>1423</v>
      </c>
      <c r="B397" s="550"/>
      <c r="C397" s="550"/>
      <c r="D397" s="449"/>
      <c r="E397" s="551" t="n">
        <f aca="false">C397-B397</f>
        <v>0</v>
      </c>
      <c r="F397" s="551"/>
      <c r="G397" s="552"/>
      <c r="H397" s="553"/>
      <c r="I397" s="554"/>
      <c r="J397" s="554"/>
      <c r="K397" s="554"/>
      <c r="L397" s="555"/>
      <c r="M397" s="554"/>
      <c r="N397" s="449"/>
      <c r="O397" s="449"/>
      <c r="P397" s="449"/>
      <c r="Q397" s="556"/>
      <c r="R397" s="556"/>
      <c r="S397" s="557"/>
      <c r="T397" s="558"/>
      <c r="U397" s="559"/>
      <c r="V397" s="560"/>
      <c r="W397" s="567"/>
      <c r="X397" s="562"/>
      <c r="Y397" s="567"/>
      <c r="Z397" s="562"/>
      <c r="AA397" s="562"/>
      <c r="AB397" s="558"/>
      <c r="AC397" s="558"/>
      <c r="AD397" s="558"/>
      <c r="AE397" s="558"/>
      <c r="AF397" s="558"/>
      <c r="AG397" s="564"/>
    </row>
    <row r="398" customFormat="false" ht="30" hidden="false" customHeight="true" outlineLevel="0" collapsed="false">
      <c r="A398" s="449" t="s">
        <v>1424</v>
      </c>
      <c r="B398" s="550"/>
      <c r="C398" s="550"/>
      <c r="D398" s="449"/>
      <c r="E398" s="551" t="n">
        <f aca="false">C398-B398</f>
        <v>0</v>
      </c>
      <c r="F398" s="551"/>
      <c r="G398" s="552"/>
      <c r="H398" s="553"/>
      <c r="I398" s="554"/>
      <c r="J398" s="554"/>
      <c r="K398" s="554"/>
      <c r="L398" s="555"/>
      <c r="M398" s="554"/>
      <c r="N398" s="449"/>
      <c r="O398" s="449"/>
      <c r="P398" s="449"/>
      <c r="Q398" s="556"/>
      <c r="R398" s="556"/>
      <c r="S398" s="557"/>
      <c r="T398" s="558"/>
      <c r="U398" s="559"/>
      <c r="V398" s="560"/>
      <c r="W398" s="567"/>
      <c r="X398" s="562"/>
      <c r="Y398" s="567"/>
      <c r="Z398" s="562"/>
      <c r="AA398" s="562"/>
      <c r="AB398" s="558"/>
      <c r="AC398" s="558"/>
      <c r="AD398" s="558"/>
      <c r="AE398" s="558"/>
      <c r="AF398" s="558"/>
      <c r="AG398" s="564"/>
    </row>
    <row r="399" customFormat="false" ht="30" hidden="false" customHeight="true" outlineLevel="0" collapsed="false">
      <c r="A399" s="449" t="s">
        <v>1425</v>
      </c>
      <c r="B399" s="550"/>
      <c r="C399" s="550"/>
      <c r="D399" s="449"/>
      <c r="E399" s="551" t="n">
        <f aca="false">C399-B399</f>
        <v>0</v>
      </c>
      <c r="F399" s="551"/>
      <c r="G399" s="552"/>
      <c r="H399" s="553"/>
      <c r="I399" s="554"/>
      <c r="J399" s="554"/>
      <c r="K399" s="554"/>
      <c r="L399" s="555"/>
      <c r="M399" s="554"/>
      <c r="N399" s="449"/>
      <c r="O399" s="449"/>
      <c r="P399" s="449"/>
      <c r="Q399" s="556"/>
      <c r="R399" s="556"/>
      <c r="S399" s="557"/>
      <c r="T399" s="558"/>
      <c r="U399" s="559"/>
      <c r="V399" s="560"/>
      <c r="W399" s="567"/>
      <c r="X399" s="562"/>
      <c r="Y399" s="567"/>
      <c r="Z399" s="562"/>
      <c r="AA399" s="562"/>
      <c r="AB399" s="558"/>
      <c r="AC399" s="558"/>
      <c r="AD399" s="558"/>
      <c r="AE399" s="558"/>
      <c r="AF399" s="558"/>
      <c r="AG399" s="564"/>
    </row>
    <row r="400" customFormat="false" ht="30" hidden="false" customHeight="true" outlineLevel="0" collapsed="false">
      <c r="A400" s="449" t="s">
        <v>1426</v>
      </c>
      <c r="B400" s="550"/>
      <c r="C400" s="550"/>
      <c r="D400" s="449"/>
      <c r="E400" s="551" t="n">
        <f aca="false">C400-B400</f>
        <v>0</v>
      </c>
      <c r="F400" s="551"/>
      <c r="G400" s="552"/>
      <c r="H400" s="553"/>
      <c r="I400" s="554"/>
      <c r="J400" s="554"/>
      <c r="K400" s="554"/>
      <c r="L400" s="555"/>
      <c r="M400" s="554"/>
      <c r="N400" s="449"/>
      <c r="O400" s="449"/>
      <c r="P400" s="449"/>
      <c r="Q400" s="556"/>
      <c r="R400" s="556"/>
      <c r="S400" s="557"/>
      <c r="T400" s="558"/>
      <c r="U400" s="559"/>
      <c r="V400" s="560"/>
      <c r="W400" s="567"/>
      <c r="X400" s="562"/>
      <c r="Y400" s="567"/>
      <c r="Z400" s="562"/>
      <c r="AA400" s="562"/>
      <c r="AB400" s="558"/>
      <c r="AC400" s="558"/>
      <c r="AD400" s="558"/>
      <c r="AE400" s="558"/>
      <c r="AF400" s="558"/>
      <c r="AG400" s="564"/>
    </row>
    <row r="401" customFormat="false" ht="30" hidden="false" customHeight="true" outlineLevel="0" collapsed="false">
      <c r="A401" s="449" t="s">
        <v>1427</v>
      </c>
      <c r="B401" s="550"/>
      <c r="C401" s="550"/>
      <c r="D401" s="449"/>
      <c r="E401" s="551" t="n">
        <f aca="false">C401-B401</f>
        <v>0</v>
      </c>
      <c r="F401" s="551"/>
      <c r="G401" s="552"/>
      <c r="H401" s="553"/>
      <c r="I401" s="554"/>
      <c r="J401" s="554"/>
      <c r="K401" s="554"/>
      <c r="L401" s="555"/>
      <c r="M401" s="554"/>
      <c r="N401" s="449"/>
      <c r="O401" s="449"/>
      <c r="P401" s="449"/>
      <c r="Q401" s="556"/>
      <c r="R401" s="556"/>
      <c r="S401" s="557"/>
      <c r="T401" s="558"/>
      <c r="U401" s="559"/>
      <c r="V401" s="560"/>
      <c r="W401" s="567"/>
      <c r="X401" s="562"/>
      <c r="Y401" s="567"/>
      <c r="Z401" s="562"/>
      <c r="AA401" s="562"/>
      <c r="AB401" s="558"/>
      <c r="AC401" s="558"/>
      <c r="AD401" s="558"/>
      <c r="AE401" s="558"/>
      <c r="AF401" s="558"/>
      <c r="AG401" s="564"/>
    </row>
    <row r="402" customFormat="false" ht="30" hidden="false" customHeight="true" outlineLevel="0" collapsed="false"/>
    <row r="403" customFormat="false" ht="30" hidden="false" customHeight="true" outlineLevel="0" collapsed="false"/>
    <row r="404" customFormat="false" ht="30" hidden="false" customHeight="true" outlineLevel="0" collapsed="false"/>
    <row r="405" customFormat="false" ht="30" hidden="false" customHeight="true" outlineLevel="0" collapsed="false"/>
    <row r="406" customFormat="false" ht="30" hidden="false" customHeight="true" outlineLevel="0" collapsed="false"/>
    <row r="407" customFormat="false" ht="30" hidden="false" customHeight="true" outlineLevel="0" collapsed="false"/>
    <row r="408" customFormat="false" ht="30" hidden="false" customHeight="true" outlineLevel="0" collapsed="false"/>
    <row r="409" customFormat="false" ht="30" hidden="false" customHeight="true" outlineLevel="0" collapsed="false"/>
    <row r="410" customFormat="false" ht="30" hidden="false" customHeight="true" outlineLevel="0" collapsed="false"/>
    <row r="411" customFormat="false" ht="30" hidden="false" customHeight="true" outlineLevel="0" collapsed="false"/>
    <row r="412" customFormat="false" ht="30" hidden="false" customHeight="true" outlineLevel="0" collapsed="false"/>
    <row r="413" customFormat="false" ht="30" hidden="false" customHeight="true" outlineLevel="0" collapsed="false"/>
    <row r="414" customFormat="false" ht="30" hidden="false" customHeight="true" outlineLevel="0" collapsed="false"/>
    <row r="415" customFormat="false" ht="30" hidden="false" customHeight="true" outlineLevel="0" collapsed="false"/>
    <row r="416" customFormat="false" ht="30" hidden="false" customHeight="true" outlineLevel="0" collapsed="false"/>
    <row r="417" customFormat="false" ht="30" hidden="false" customHeight="true" outlineLevel="0" collapsed="false"/>
    <row r="418" customFormat="false" ht="30" hidden="false" customHeight="true" outlineLevel="0" collapsed="false"/>
    <row r="419" customFormat="false" ht="30" hidden="false" customHeight="true" outlineLevel="0" collapsed="false"/>
    <row r="420" customFormat="false" ht="30" hidden="false" customHeight="true" outlineLevel="0" collapsed="false"/>
    <row r="421" customFormat="false" ht="30" hidden="false" customHeight="true" outlineLevel="0" collapsed="false"/>
    <row r="422" customFormat="false" ht="30" hidden="false" customHeight="true" outlineLevel="0" collapsed="false"/>
    <row r="423" customFormat="false" ht="30" hidden="false" customHeight="true" outlineLevel="0" collapsed="false"/>
    <row r="424" customFormat="false" ht="30" hidden="false" customHeight="true" outlineLevel="0" collapsed="false"/>
    <row r="425" customFormat="false" ht="30" hidden="false" customHeight="true" outlineLevel="0" collapsed="false"/>
    <row r="426" customFormat="false" ht="30" hidden="false" customHeight="true" outlineLevel="0" collapsed="false"/>
    <row r="427" customFormat="false" ht="30" hidden="false" customHeight="true" outlineLevel="0" collapsed="false"/>
    <row r="428" customFormat="false" ht="30" hidden="false" customHeight="true" outlineLevel="0" collapsed="false"/>
    <row r="429" customFormat="false" ht="30" hidden="false" customHeight="true" outlineLevel="0" collapsed="false"/>
    <row r="430" customFormat="false" ht="30" hidden="false" customHeight="true" outlineLevel="0" collapsed="false"/>
    <row r="431" customFormat="false" ht="30" hidden="false" customHeight="true" outlineLevel="0" collapsed="false"/>
    <row r="432" customFormat="false" ht="30" hidden="false" customHeight="true" outlineLevel="0" collapsed="false"/>
    <row r="433" customFormat="false" ht="30" hidden="false" customHeight="true" outlineLevel="0" collapsed="false"/>
    <row r="434" customFormat="false" ht="30" hidden="false" customHeight="true" outlineLevel="0" collapsed="false"/>
    <row r="435" customFormat="false" ht="30" hidden="false" customHeight="true" outlineLevel="0" collapsed="false"/>
    <row r="436" customFormat="false" ht="30" hidden="false" customHeight="true" outlineLevel="0" collapsed="false"/>
    <row r="437" customFormat="false" ht="30" hidden="false" customHeight="true" outlineLevel="0" collapsed="false"/>
    <row r="438" customFormat="false" ht="30" hidden="false" customHeight="true" outlineLevel="0" collapsed="false"/>
    <row r="439" customFormat="false" ht="30" hidden="false" customHeight="true" outlineLevel="0" collapsed="false"/>
    <row r="440" customFormat="false" ht="30" hidden="false" customHeight="true" outlineLevel="0" collapsed="false"/>
    <row r="441" customFormat="false" ht="30" hidden="false" customHeight="true" outlineLevel="0" collapsed="false"/>
    <row r="442" customFormat="false" ht="30" hidden="false" customHeight="true" outlineLevel="0" collapsed="false"/>
    <row r="443" customFormat="false" ht="30" hidden="false" customHeight="true" outlineLevel="0" collapsed="false"/>
    <row r="444" customFormat="false" ht="30" hidden="false" customHeight="true" outlineLevel="0" collapsed="false"/>
    <row r="445" customFormat="false" ht="30" hidden="false" customHeight="true" outlineLevel="0" collapsed="false"/>
    <row r="446" customFormat="false" ht="30" hidden="false" customHeight="true" outlineLevel="0" collapsed="false"/>
    <row r="447" customFormat="false" ht="30" hidden="false" customHeight="true" outlineLevel="0" collapsed="false"/>
    <row r="448" customFormat="false" ht="30" hidden="false" customHeight="true" outlineLevel="0" collapsed="false"/>
    <row r="449" customFormat="false" ht="30" hidden="false" customHeight="true" outlineLevel="0" collapsed="false"/>
    <row r="450" customFormat="false" ht="30" hidden="false" customHeight="true" outlineLevel="0" collapsed="false"/>
    <row r="451" customFormat="false" ht="30" hidden="false" customHeight="true" outlineLevel="0" collapsed="false"/>
    <row r="452" customFormat="false" ht="30" hidden="false" customHeight="true" outlineLevel="0" collapsed="false"/>
    <row r="453" customFormat="false" ht="30" hidden="false" customHeight="true" outlineLevel="0" collapsed="false"/>
    <row r="454" customFormat="false" ht="30" hidden="false" customHeight="true" outlineLevel="0" collapsed="false"/>
    <row r="455" customFormat="false" ht="30" hidden="false" customHeight="true" outlineLevel="0" collapsed="false"/>
    <row r="456" customFormat="false" ht="30" hidden="false" customHeight="true" outlineLevel="0" collapsed="false"/>
    <row r="457" customFormat="false" ht="30" hidden="false" customHeight="true" outlineLevel="0" collapsed="false"/>
    <row r="458" customFormat="false" ht="30" hidden="false" customHeight="true" outlineLevel="0" collapsed="false"/>
    <row r="459" customFormat="false" ht="30" hidden="false" customHeight="true" outlineLevel="0" collapsed="false"/>
    <row r="460" customFormat="false" ht="30" hidden="false" customHeight="true" outlineLevel="0" collapsed="false"/>
    <row r="461" customFormat="false" ht="30" hidden="false" customHeight="true" outlineLevel="0" collapsed="false"/>
    <row r="462" customFormat="false" ht="30" hidden="false" customHeight="true" outlineLevel="0" collapsed="false"/>
    <row r="463" customFormat="false" ht="30" hidden="false" customHeight="true" outlineLevel="0" collapsed="false"/>
    <row r="464" customFormat="false" ht="30" hidden="false" customHeight="true" outlineLevel="0" collapsed="false"/>
    <row r="465" customFormat="false" ht="30" hidden="false" customHeight="true" outlineLevel="0" collapsed="false"/>
    <row r="466" customFormat="false" ht="30" hidden="false" customHeight="true" outlineLevel="0" collapsed="false"/>
    <row r="467" customFormat="false" ht="30" hidden="false" customHeight="true" outlineLevel="0" collapsed="false"/>
    <row r="468" customFormat="false" ht="30" hidden="false" customHeight="true" outlineLevel="0" collapsed="false"/>
    <row r="469" customFormat="false" ht="30" hidden="false" customHeight="true" outlineLevel="0" collapsed="false"/>
    <row r="470" customFormat="false" ht="30" hidden="false" customHeight="true" outlineLevel="0" collapsed="false"/>
    <row r="471" customFormat="false" ht="30" hidden="false" customHeight="true" outlineLevel="0" collapsed="false"/>
    <row r="472" customFormat="false" ht="30" hidden="false" customHeight="true" outlineLevel="0" collapsed="false"/>
    <row r="473" customFormat="false" ht="30" hidden="false" customHeight="true" outlineLevel="0" collapsed="false"/>
    <row r="474" customFormat="false" ht="30" hidden="false" customHeight="true" outlineLevel="0" collapsed="false"/>
    <row r="475" customFormat="false" ht="30" hidden="false" customHeight="true" outlineLevel="0" collapsed="false"/>
    <row r="476" customFormat="false" ht="30" hidden="false" customHeight="true" outlineLevel="0" collapsed="false"/>
    <row r="477" customFormat="false" ht="30" hidden="false" customHeight="true" outlineLevel="0" collapsed="false"/>
    <row r="478" customFormat="false" ht="30" hidden="false" customHeight="true" outlineLevel="0" collapsed="false"/>
    <row r="479" customFormat="false" ht="30" hidden="false" customHeight="true" outlineLevel="0" collapsed="false"/>
    <row r="480" customFormat="false" ht="30" hidden="false" customHeight="true" outlineLevel="0" collapsed="false"/>
    <row r="481" customFormat="false" ht="30" hidden="false" customHeight="true" outlineLevel="0" collapsed="false"/>
    <row r="482" customFormat="false" ht="30" hidden="false" customHeight="true" outlineLevel="0" collapsed="false"/>
    <row r="483" customFormat="false" ht="30" hidden="false" customHeight="true" outlineLevel="0" collapsed="false"/>
    <row r="484" customFormat="false" ht="30" hidden="false" customHeight="true" outlineLevel="0" collapsed="false"/>
    <row r="485" customFormat="false" ht="30" hidden="false" customHeight="true" outlineLevel="0" collapsed="false"/>
    <row r="486" customFormat="false" ht="30" hidden="false" customHeight="true" outlineLevel="0" collapsed="false"/>
    <row r="487" customFormat="false" ht="30" hidden="false" customHeight="true" outlineLevel="0" collapsed="false"/>
    <row r="488" customFormat="false" ht="30" hidden="false" customHeight="true" outlineLevel="0" collapsed="false"/>
    <row r="489" customFormat="false" ht="30" hidden="false" customHeight="true" outlineLevel="0" collapsed="false"/>
    <row r="490" customFormat="false" ht="30" hidden="false" customHeight="true" outlineLevel="0" collapsed="false"/>
    <row r="491" customFormat="false" ht="30" hidden="false" customHeight="true" outlineLevel="0" collapsed="false"/>
    <row r="492" customFormat="false" ht="30" hidden="false" customHeight="true" outlineLevel="0" collapsed="false"/>
    <row r="493" customFormat="false" ht="30" hidden="false" customHeight="true" outlineLevel="0" collapsed="false"/>
    <row r="494" customFormat="false" ht="30" hidden="false" customHeight="true" outlineLevel="0" collapsed="false"/>
    <row r="495" customFormat="false" ht="30" hidden="false" customHeight="true" outlineLevel="0" collapsed="false"/>
    <row r="496" customFormat="false" ht="30" hidden="false" customHeight="true" outlineLevel="0" collapsed="false"/>
    <row r="497" customFormat="false" ht="30" hidden="false" customHeight="true" outlineLevel="0" collapsed="false"/>
    <row r="498" customFormat="false" ht="30" hidden="false" customHeight="true" outlineLevel="0" collapsed="false"/>
    <row r="499" customFormat="false" ht="30" hidden="false" customHeight="true" outlineLevel="0" collapsed="false"/>
    <row r="500" customFormat="false" ht="30" hidden="false" customHeight="true" outlineLevel="0" collapsed="false"/>
    <row r="501" customFormat="false" ht="30" hidden="false" customHeight="true" outlineLevel="0" collapsed="false"/>
    <row r="502" customFormat="false" ht="30" hidden="false" customHeight="true" outlineLevel="0" collapsed="false"/>
    <row r="503" customFormat="false" ht="30" hidden="false" customHeight="true" outlineLevel="0" collapsed="false"/>
    <row r="504" customFormat="false" ht="30" hidden="false" customHeight="true" outlineLevel="0" collapsed="false"/>
    <row r="505" customFormat="false" ht="30" hidden="false" customHeight="true" outlineLevel="0" collapsed="false"/>
    <row r="506" customFormat="false" ht="30" hidden="false" customHeight="true" outlineLevel="0" collapsed="false"/>
    <row r="507" customFormat="false" ht="30" hidden="false" customHeight="true" outlineLevel="0" collapsed="false"/>
    <row r="508" customFormat="false" ht="30" hidden="false" customHeight="true" outlineLevel="0" collapsed="false"/>
    <row r="509" customFormat="false" ht="30" hidden="false" customHeight="true" outlineLevel="0" collapsed="false"/>
    <row r="510" customFormat="false" ht="30" hidden="false" customHeight="true" outlineLevel="0" collapsed="false"/>
    <row r="511" customFormat="false" ht="30" hidden="false" customHeight="true" outlineLevel="0" collapsed="false"/>
    <row r="512" customFormat="false" ht="30" hidden="false" customHeight="true" outlineLevel="0" collapsed="false"/>
    <row r="513" customFormat="false" ht="30" hidden="false" customHeight="true" outlineLevel="0" collapsed="false"/>
    <row r="514" customFormat="false" ht="30" hidden="false" customHeight="true" outlineLevel="0" collapsed="false"/>
    <row r="515" customFormat="false" ht="30" hidden="false" customHeight="true" outlineLevel="0" collapsed="false"/>
    <row r="516" customFormat="false" ht="30" hidden="false" customHeight="true" outlineLevel="0" collapsed="false"/>
    <row r="517" customFormat="false" ht="30" hidden="false" customHeight="true" outlineLevel="0" collapsed="false"/>
    <row r="518" customFormat="false" ht="30" hidden="false" customHeight="true" outlineLevel="0" collapsed="false"/>
    <row r="519" customFormat="false" ht="30" hidden="false" customHeight="true" outlineLevel="0" collapsed="false"/>
    <row r="520" customFormat="false" ht="30" hidden="false" customHeight="true" outlineLevel="0" collapsed="false"/>
    <row r="521" customFormat="false" ht="30" hidden="false" customHeight="true" outlineLevel="0" collapsed="false"/>
    <row r="522" customFormat="false" ht="30" hidden="false" customHeight="true" outlineLevel="0" collapsed="false"/>
    <row r="523" customFormat="false" ht="30" hidden="false" customHeight="true" outlineLevel="0" collapsed="false"/>
    <row r="524" customFormat="false" ht="30" hidden="false" customHeight="true" outlineLevel="0" collapsed="false"/>
  </sheetData>
  <autoFilter ref="A2:AG501">
    <sortState ref="A3:AG501">
      <sortCondition ref="A3:A501" customList=""/>
    </sortState>
  </autoFilter>
  <mergeCells count="1">
    <mergeCell ref="W1:AA1"/>
  </mergeCells>
  <conditionalFormatting sqref="O65:O76">
    <cfRule type="expression" priority="2" aboveAverage="0" equalAverage="0" bottom="0" percent="0" rank="0" text="" dxfId="14">
      <formula>MOD(ROW(),5)=0</formula>
    </cfRule>
  </conditionalFormatting>
  <conditionalFormatting sqref="N59:N76">
    <cfRule type="expression" priority="3" aboveAverage="0" equalAverage="0" bottom="0" percent="0" rank="0" text="" dxfId="14">
      <formula>MOD(ROW(),5)=0</formula>
    </cfRule>
  </conditionalFormatting>
  <conditionalFormatting sqref="G72:K76">
    <cfRule type="expression" priority="4" aboveAverage="0" equalAverage="0" bottom="0" percent="0" rank="0" text="" dxfId="14">
      <formula>MOD(ROW(),5)=0</formula>
    </cfRule>
  </conditionalFormatting>
  <conditionalFormatting sqref="P68:AA76">
    <cfRule type="expression" priority="5" aboveAverage="0" equalAverage="0" bottom="0" percent="0" rank="0" text="" dxfId="14">
      <formula>MOD(ROW(),5)=0</formula>
    </cfRule>
  </conditionalFormatting>
  <conditionalFormatting sqref="AG3:AG401">
    <cfRule type="expression" priority="6" aboveAverage="0" equalAverage="0" bottom="0" percent="0" rank="0" text="" dxfId="14">
      <formula>MOD(ROW(),5)=0</formula>
    </cfRule>
  </conditionalFormatting>
  <conditionalFormatting sqref="AB15:AB401">
    <cfRule type="expression" priority="7" aboveAverage="0" equalAverage="0" bottom="0" percent="0" rank="0" text="" dxfId="14">
      <formula>MOD(ROW(),5)=0</formula>
    </cfRule>
  </conditionalFormatting>
  <conditionalFormatting sqref="AC72:AE76">
    <cfRule type="expression" priority="8" aboveAverage="0" equalAverage="0" bottom="0" percent="0" rank="0" text="" dxfId="14">
      <formula>MOD(ROW(),5)=0</formula>
    </cfRule>
  </conditionalFormatting>
  <conditionalFormatting sqref="M48:M207">
    <cfRule type="expression" priority="9" aboveAverage="0" equalAverage="0" bottom="0" percent="0" rank="0" text="" dxfId="14">
      <formula>MOD(ROW(),5)=0</formula>
    </cfRule>
  </conditionalFormatting>
  <conditionalFormatting sqref="E3:F109">
    <cfRule type="expression" priority="10" aboveAverage="0" equalAverage="0" bottom="0" percent="0" rank="0" text="" dxfId="14">
      <formula>MOD(ROW(),5)=0</formula>
    </cfRule>
  </conditionalFormatting>
  <conditionalFormatting sqref="I70:K70">
    <cfRule type="expression" priority="11" aboveAverage="0" equalAverage="0" bottom="0" percent="0" rank="0" text="" dxfId="14">
      <formula>MOD(ROW(),5)=0</formula>
    </cfRule>
  </conditionalFormatting>
  <conditionalFormatting sqref="AC70:AE70">
    <cfRule type="expression" priority="12" aboveAverage="0" equalAverage="0" bottom="0" percent="0" rank="0" text="" dxfId="14">
      <formula>MOD(ROW(),5)=0</formula>
    </cfRule>
  </conditionalFormatting>
  <conditionalFormatting sqref="G28:H71">
    <cfRule type="expression" priority="13" aboveAverage="0" equalAverage="0" bottom="0" percent="0" rank="0" text="" dxfId="14">
      <formula>MOD(ROW(),5)=0</formula>
    </cfRule>
  </conditionalFormatting>
  <conditionalFormatting sqref="L65:L69">
    <cfRule type="expression" priority="14" aboveAverage="0" equalAverage="0" bottom="0" percent="0" rank="0" text="" dxfId="14">
      <formula>MOD(ROW(),5)=0</formula>
    </cfRule>
  </conditionalFormatting>
  <conditionalFormatting sqref="I65:I69">
    <cfRule type="expression" priority="15" aboveAverage="0" equalAverage="0" bottom="0" percent="0" rank="0" text="" dxfId="14">
      <formula>MOD(ROW(),5)=0</formula>
    </cfRule>
  </conditionalFormatting>
  <conditionalFormatting sqref="J67:K69">
    <cfRule type="expression" priority="16" aboveAverage="0" equalAverage="0" bottom="0" percent="0" rank="0" text="" dxfId="14">
      <formula>MOD(ROW(),5)=0</formula>
    </cfRule>
  </conditionalFormatting>
  <conditionalFormatting sqref="I71:L71 I77:L83">
    <cfRule type="expression" priority="17" aboveAverage="0" equalAverage="0" bottom="0" percent="0" rank="0" text="" dxfId="14">
      <formula>MOD(ROW(),5)=0</formula>
    </cfRule>
  </conditionalFormatting>
  <conditionalFormatting sqref="AC68:AF69 AC71:AF71 AC77:AF401">
    <cfRule type="expression" priority="18" aboveAverage="0" equalAverage="0" bottom="0" percent="0" rank="0" text="" dxfId="14">
      <formula>MOD(ROW(),5)=0</formula>
    </cfRule>
  </conditionalFormatting>
  <conditionalFormatting sqref="X10:Y67">
    <cfRule type="expression" priority="19" aboveAverage="0" equalAverage="0" bottom="0" percent="0" rank="0" text="" dxfId="14">
      <formula>MOD(ROW(),5)=0</formula>
    </cfRule>
  </conditionalFormatting>
  <conditionalFormatting sqref="Z63:AA67">
    <cfRule type="expression" priority="20" aboveAverage="0" equalAverage="0" bottom="0" percent="0" rank="0" text="" dxfId="14">
      <formula>MOD(ROW(),5)=0</formula>
    </cfRule>
  </conditionalFormatting>
  <conditionalFormatting sqref="U11:W67">
    <cfRule type="expression" priority="21" aboveAverage="0" equalAverage="0" bottom="0" percent="0" rank="0" text="" dxfId="14">
      <formula>MOD(ROW(),5)=0</formula>
    </cfRule>
  </conditionalFormatting>
  <conditionalFormatting sqref="P65:P67">
    <cfRule type="expression" priority="22" aboveAverage="0" equalAverage="0" bottom="0" percent="0" rank="0" text="" dxfId="14">
      <formula>MOD(ROW(),5)=0</formula>
    </cfRule>
  </conditionalFormatting>
  <conditionalFormatting sqref="K61:K63">
    <cfRule type="expression" priority="23" aboveAverage="0" equalAverage="0" bottom="0" percent="0" rank="0" text="" dxfId="14">
      <formula>MOD(ROW(),5)=0</formula>
    </cfRule>
  </conditionalFormatting>
  <conditionalFormatting sqref="O61:P64">
    <cfRule type="expression" priority="24" aboveAverage="0" equalAverage="0" bottom="0" percent="0" rank="0" text="" dxfId="14">
      <formula>MOD(ROW(),5)=0</formula>
    </cfRule>
  </conditionalFormatting>
  <conditionalFormatting sqref="AC15:AE67">
    <cfRule type="expression" priority="25" aboveAverage="0" equalAverage="0" bottom="0" percent="0" rank="0" text="" dxfId="14">
      <formula>MOD(ROW(),5)=0</formula>
    </cfRule>
  </conditionalFormatting>
  <conditionalFormatting sqref="Q61:T67">
    <cfRule type="expression" priority="26" aboveAverage="0" equalAverage="0" bottom="0" percent="0" rank="0" text="" dxfId="14">
      <formula>MOD(ROW(),5)=0</formula>
    </cfRule>
  </conditionalFormatting>
  <conditionalFormatting sqref="I63:J64">
    <cfRule type="expression" priority="27" aboveAverage="0" equalAverage="0" bottom="0" percent="0" rank="0" text="" dxfId="14">
      <formula>MOD(ROW(),5)=0</formula>
    </cfRule>
  </conditionalFormatting>
  <conditionalFormatting sqref="AA50:AA62">
    <cfRule type="expression" priority="28" aboveAverage="0" equalAverage="0" bottom="0" percent="0" rank="0" text="" dxfId="14">
      <formula>MOD(ROW(),5)=0</formula>
    </cfRule>
  </conditionalFormatting>
  <conditionalFormatting sqref="I50:J58">
    <cfRule type="expression" priority="29" aboveAverage="0" equalAverage="0" bottom="0" percent="0" rank="0" text="" dxfId="14">
      <formula>MOD(ROW(),5)=0</formula>
    </cfRule>
  </conditionalFormatting>
  <conditionalFormatting sqref="Q12:T59">
    <cfRule type="expression" priority="30" aboveAverage="0" equalAverage="0" bottom="0" percent="0" rank="0" text="" dxfId="14">
      <formula>MOD(ROW(),5)=0</formula>
    </cfRule>
  </conditionalFormatting>
  <conditionalFormatting sqref="P52:P59">
    <cfRule type="expression" priority="31" aboveAverage="0" equalAverage="0" bottom="0" percent="0" rank="0" text="" dxfId="14">
      <formula>MOD(ROW(),5)=0</formula>
    </cfRule>
  </conditionalFormatting>
  <conditionalFormatting sqref="N57:O58 O59">
    <cfRule type="expression" priority="32" aboveAverage="0" equalAverage="0" bottom="0" percent="0" rank="0" text="" dxfId="14">
      <formula>MOD(ROW(),5)=0</formula>
    </cfRule>
  </conditionalFormatting>
  <conditionalFormatting sqref="K56:L58">
    <cfRule type="expression" priority="33" aboveAverage="0" equalAverage="0" bottom="0" percent="0" rank="0" text="" dxfId="14">
      <formula>MOD(ROW(),5)=0</formula>
    </cfRule>
  </conditionalFormatting>
  <conditionalFormatting sqref="Z50:Z58">
    <cfRule type="expression" priority="34" aboveAverage="0" equalAverage="0" bottom="0" percent="0" rank="0" text="" dxfId="14">
      <formula>MOD(ROW(),5)=0</formula>
    </cfRule>
  </conditionalFormatting>
  <conditionalFormatting sqref="O52:O56">
    <cfRule type="expression" priority="35" aboveAverage="0" equalAverage="0" bottom="0" percent="0" rank="0" text="" dxfId="14">
      <formula>MOD(ROW(),5)=0</formula>
    </cfRule>
  </conditionalFormatting>
  <conditionalFormatting sqref="N50:N56">
    <cfRule type="expression" priority="36" aboveAverage="0" equalAverage="0" bottom="0" percent="0" rank="0" text="" dxfId="14">
      <formula>MOD(ROW(),5)=0</formula>
    </cfRule>
  </conditionalFormatting>
  <conditionalFormatting sqref="L52:L54">
    <cfRule type="expression" priority="37" aboveAverage="0" equalAverage="0" bottom="0" percent="0" rank="0" text="" dxfId="14">
      <formula>MOD(ROW(),5)=0</formula>
    </cfRule>
  </conditionalFormatting>
  <conditionalFormatting sqref="K52:K55">
    <cfRule type="expression" priority="38" aboveAverage="0" equalAverage="0" bottom="0" percent="0" rank="0" text="" dxfId="14">
      <formula>MOD(ROW(),5)=0</formula>
    </cfRule>
  </conditionalFormatting>
  <conditionalFormatting sqref="O50:P51">
    <cfRule type="expression" priority="39" aboveAverage="0" equalAverage="0" bottom="0" percent="0" rank="0" text="" dxfId="14">
      <formula>MOD(ROW(),5)=0</formula>
    </cfRule>
  </conditionalFormatting>
  <conditionalFormatting sqref="Z10:AA49">
    <cfRule type="expression" priority="40" aboveAverage="0" equalAverage="0" bottom="0" percent="0" rank="0" text="" dxfId="14">
      <formula>MOD(ROW(),5)=0</formula>
    </cfRule>
  </conditionalFormatting>
  <conditionalFormatting sqref="N19:P49">
    <cfRule type="expression" priority="41" aboveAverage="0" equalAverage="0" bottom="0" percent="0" rank="0" text="" dxfId="14">
      <formula>MOD(ROW(),5)=0</formula>
    </cfRule>
  </conditionalFormatting>
  <conditionalFormatting sqref="I47:L49">
    <cfRule type="expression" priority="42" aboveAverage="0" equalAverage="0" bottom="0" percent="0" rank="0" text="" dxfId="14">
      <formula>MOD(ROW(),5)=0</formula>
    </cfRule>
  </conditionalFormatting>
  <conditionalFormatting sqref="AF10:AF58">
    <cfRule type="expression" priority="43" aboveAverage="0" equalAverage="0" bottom="0" percent="0" rank="0" text="" dxfId="14">
      <formula>MOD(ROW(),5)=0</formula>
    </cfRule>
  </conditionalFormatting>
  <conditionalFormatting sqref="I34:L44">
    <cfRule type="expression" priority="44" aboveAverage="0" equalAverage="0" bottom="0" percent="0" rank="0" text="" dxfId="14">
      <formula>MOD(ROW(),5)=0</formula>
    </cfRule>
  </conditionalFormatting>
  <conditionalFormatting sqref="M12:M46">
    <cfRule type="expression" priority="45" aboveAverage="0" equalAverage="0" bottom="0" percent="0" rank="0" text="" dxfId="14">
      <formula>MOD(ROW(),5)=0</formula>
    </cfRule>
  </conditionalFormatting>
  <conditionalFormatting sqref="I28:K33">
    <cfRule type="expression" priority="46" aboveAverage="0" equalAverage="0" bottom="0" percent="0" rank="0" text="" dxfId="14">
      <formula>MOD(ROW(),5)=0</formula>
    </cfRule>
  </conditionalFormatting>
  <conditionalFormatting sqref="L20:L33">
    <cfRule type="expression" priority="47" aboveAverage="0" equalAverage="0" bottom="0" percent="0" rank="0" text="" dxfId="14">
      <formula>MOD(ROW(),5)=0</formula>
    </cfRule>
  </conditionalFormatting>
  <conditionalFormatting sqref="O12:P18">
    <cfRule type="expression" priority="48" aboveAverage="0" equalAverage="0" bottom="0" percent="0" rank="0" text="" dxfId="14">
      <formula>MOD(ROW(),5)=0</formula>
    </cfRule>
  </conditionalFormatting>
  <conditionalFormatting sqref="N3:N18">
    <cfRule type="expression" priority="49" aboveAverage="0" equalAverage="0" bottom="0" percent="0" rank="0" text="" dxfId="14">
      <formula>MOD(ROW(),5)=0</formula>
    </cfRule>
  </conditionalFormatting>
  <conditionalFormatting sqref="I15:J15 L15">
    <cfRule type="expression" priority="50" aboveAverage="0" equalAverage="0" bottom="0" percent="0" rank="0" text="" dxfId="14">
      <formula>MOD(ROW(),5)=0</formula>
    </cfRule>
  </conditionalFormatting>
  <conditionalFormatting sqref="G3:H26">
    <cfRule type="expression" priority="51" aboveAverage="0" equalAverage="0" bottom="0" percent="0" rank="0" text="" dxfId="14">
      <formula>MOD(ROW(),5)=0</formula>
    </cfRule>
  </conditionalFormatting>
  <conditionalFormatting sqref="O4:O10">
    <cfRule type="expression" priority="52" aboveAverage="0" equalAverage="0" bottom="0" percent="0" rank="0" text="" dxfId="14">
      <formula>MOD(ROW(),5)=0</formula>
    </cfRule>
  </conditionalFormatting>
  <conditionalFormatting sqref="M5:M10">
    <cfRule type="expression" priority="53" aboveAverage="0" equalAverage="0" bottom="0" percent="0" rank="0" text="" dxfId="14">
      <formula>MOD(ROW(),5)=0</formula>
    </cfRule>
  </conditionalFormatting>
  <conditionalFormatting sqref="I7:L9">
    <cfRule type="expression" priority="54" aboveAverage="0" equalAverage="0" bottom="0" percent="0" rank="0" text="" dxfId="14">
      <formula>MOD(ROW(),5)=0</formula>
    </cfRule>
  </conditionalFormatting>
  <conditionalFormatting sqref="AB4:AB9">
    <cfRule type="expression" priority="55" aboveAverage="0" equalAverage="0" bottom="0" percent="0" rank="0" text="" dxfId="14">
      <formula>MOD(ROW(),5)=0</formula>
    </cfRule>
  </conditionalFormatting>
  <conditionalFormatting sqref="P5:AA9 AC5:AF9">
    <cfRule type="expression" priority="56" aboveAverage="0" equalAverage="0" bottom="0" percent="0" rank="0" text="" dxfId="14">
      <formula>MOD(ROW(),5)=0</formula>
    </cfRule>
  </conditionalFormatting>
  <conditionalFormatting sqref="L4:L6">
    <cfRule type="expression" priority="57" aboveAverage="0" equalAverage="0" bottom="0" percent="0" rank="0" text="" dxfId="14">
      <formula>MOD(ROW(),5)=0</formula>
    </cfRule>
  </conditionalFormatting>
  <conditionalFormatting sqref="I5:K6">
    <cfRule type="expression" priority="58" aboveAverage="0" equalAverage="0" bottom="0" percent="0" rank="0" text="" dxfId="14">
      <formula>MOD(ROW(),5)=0</formula>
    </cfRule>
  </conditionalFormatting>
  <conditionalFormatting sqref="G27:J27">
    <cfRule type="expression" priority="59" aboveAverage="0" equalAverage="0" bottom="0" percent="0" rank="0" text="" dxfId="14">
      <formula>MOD(ROW(),5)=0</formula>
    </cfRule>
  </conditionalFormatting>
  <conditionalFormatting sqref="I20:K26">
    <cfRule type="expression" priority="60" aboveAverage="0" equalAverage="0" bottom="0" percent="0" rank="0" text="" dxfId="14">
      <formula>MOD(ROW(),5)=0</formula>
    </cfRule>
  </conditionalFormatting>
  <conditionalFormatting sqref="O11:T11">
    <cfRule type="expression" priority="61" aboveAverage="0" equalAverage="0" bottom="0" percent="0" rank="0" text="" dxfId="14">
      <formula>MOD(ROW(),5)=0</formula>
    </cfRule>
  </conditionalFormatting>
  <conditionalFormatting sqref="J10:L14">
    <cfRule type="expression" priority="62" aboveAverage="0" equalAverage="0" bottom="0" percent="0" rank="0" text="" dxfId="14">
      <formula>MOD(ROW(),5)=0</formula>
    </cfRule>
  </conditionalFormatting>
  <conditionalFormatting sqref="P10:W10">
    <cfRule type="expression" priority="63" aboveAverage="0" equalAverage="0" bottom="0" percent="0" rank="0" text="" dxfId="14">
      <formula>MOD(ROW(),5)=0</formula>
    </cfRule>
  </conditionalFormatting>
  <conditionalFormatting sqref="N132:AA401">
    <cfRule type="expression" priority="64" aboveAverage="0" equalAverage="0" bottom="0" percent="0" rank="0" text="" dxfId="14">
      <formula>MOD(ROW(),5)=0</formula>
    </cfRule>
  </conditionalFormatting>
  <conditionalFormatting sqref="E189:L401">
    <cfRule type="expression" priority="65" aboveAverage="0" equalAverage="0" bottom="0" percent="0" rank="0" text="" dxfId="14">
      <formula>MOD(ROW(),5)=0</formula>
    </cfRule>
  </conditionalFormatting>
  <conditionalFormatting sqref="AH242">
    <cfRule type="expression" priority="66" aboveAverage="0" equalAverage="0" bottom="0" percent="0" rank="0" text="" dxfId="14">
      <formula>MOD(ROW(),5)=0</formula>
    </cfRule>
  </conditionalFormatting>
  <conditionalFormatting sqref="G188:J188">
    <cfRule type="expression" priority="67" aboveAverage="0" equalAverage="0" bottom="0" percent="0" rank="0" text="" dxfId="14">
      <formula>MOD(ROW(),5)=0</formula>
    </cfRule>
  </conditionalFormatting>
  <conditionalFormatting sqref="G186:I187">
    <cfRule type="expression" priority="68" aboveAverage="0" equalAverage="0" bottom="0" percent="0" rank="0" text="" dxfId="14">
      <formula>MOD(ROW(),5)=0</formula>
    </cfRule>
  </conditionalFormatting>
  <conditionalFormatting sqref="E185:I185">
    <cfRule type="expression" priority="69" aboveAverage="0" equalAverage="0" bottom="0" percent="0" rank="0" text="" dxfId="14">
      <formula>MOD(ROW(),5)=0</formula>
    </cfRule>
  </conditionalFormatting>
  <conditionalFormatting sqref="E110:L184">
    <cfRule type="expression" priority="70" aboveAverage="0" equalAverage="0" bottom="0" percent="0" rank="0" text="" dxfId="14">
      <formula>MOD(ROW(),5)=0</formula>
    </cfRule>
  </conditionalFormatting>
  <conditionalFormatting sqref="AA121:AA131">
    <cfRule type="expression" priority="71" aboveAverage="0" equalAverage="0" bottom="0" percent="0" rank="0" text="" dxfId="14">
      <formula>MOD(ROW(),5)=0</formula>
    </cfRule>
  </conditionalFormatting>
  <conditionalFormatting sqref="V125:V131">
    <cfRule type="expression" priority="72" aboveAverage="0" equalAverage="0" bottom="0" percent="0" rank="0" text="" dxfId="14">
      <formula>MOD(ROW(),5)=0</formula>
    </cfRule>
  </conditionalFormatting>
  <conditionalFormatting sqref="W125:W130">
    <cfRule type="expression" priority="73" aboveAverage="0" equalAverage="0" bottom="0" percent="0" rank="0" text="" dxfId="14">
      <formula>MOD(ROW(),5)=0</formula>
    </cfRule>
  </conditionalFormatting>
  <conditionalFormatting sqref="X122:X130 Y122:Z131">
    <cfRule type="expression" priority="74" aboveAverage="0" equalAverage="0" bottom="0" percent="0" rank="0" text="" dxfId="14">
      <formula>MOD(ROW(),5)=0</formula>
    </cfRule>
  </conditionalFormatting>
  <conditionalFormatting sqref="V122:W124">
    <cfRule type="expression" priority="75" aboveAverage="0" equalAverage="0" bottom="0" percent="0" rank="0" text="" dxfId="14">
      <formula>MOD(ROW(),5)=0</formula>
    </cfRule>
  </conditionalFormatting>
  <conditionalFormatting sqref="S121:Z121">
    <cfRule type="expression" priority="76" aboveAverage="0" equalAverage="0" bottom="0" percent="0" rank="0" text="" dxfId="14">
      <formula>MOD(ROW(),5)=0</formula>
    </cfRule>
  </conditionalFormatting>
  <conditionalFormatting sqref="N119:R121">
    <cfRule type="expression" priority="77" aboveAverage="0" equalAverage="0" bottom="0" percent="0" rank="0" text="" dxfId="14">
      <formula>MOD(ROW(),5)=0</formula>
    </cfRule>
  </conditionalFormatting>
  <conditionalFormatting sqref="S119:AA120">
    <cfRule type="expression" priority="78" aboveAverage="0" equalAverage="0" bottom="0" percent="0" rank="0" text="" dxfId="14">
      <formula>MOD(ROW(),5)=0</formula>
    </cfRule>
  </conditionalFormatting>
  <conditionalFormatting sqref="N98:AA109">
    <cfRule type="expression" priority="79" aboveAverage="0" equalAverage="0" bottom="0" percent="0" rank="0" text="" dxfId="14">
      <formula>MOD(ROW(),5)=0</formula>
    </cfRule>
  </conditionalFormatting>
  <conditionalFormatting sqref="G89:L109">
    <cfRule type="expression" priority="80" aboveAverage="0" equalAverage="0" bottom="0" percent="0" rank="0" text="" dxfId="14">
      <formula>MOD(ROW(),5)=0</formula>
    </cfRule>
  </conditionalFormatting>
  <conditionalFormatting sqref="I84:I87">
    <cfRule type="expression" priority="81" aboveAverage="0" equalAverage="0" bottom="0" percent="0" rank="0" text="" dxfId="14">
      <formula>MOD(ROW(),5)=0</formula>
    </cfRule>
  </conditionalFormatting>
  <conditionalFormatting sqref="G77:H87">
    <cfRule type="expression" priority="82" aboveAverage="0" equalAverage="0" bottom="0" percent="0" rank="0" text="" dxfId="14">
      <formula>MOD(ROW(),5)=0</formula>
    </cfRule>
  </conditionalFormatting>
  <conditionalFormatting sqref="AA77:AA79">
    <cfRule type="expression" priority="83" aboveAverage="0" equalAverage="0" bottom="0" percent="0" rank="0" text="" dxfId="14">
      <formula>MOD(ROW(),5)=0</formula>
    </cfRule>
  </conditionalFormatting>
  <conditionalFormatting sqref="N77:Z78">
    <cfRule type="expression" priority="84" aboveAverage="0" equalAverage="0" bottom="0" percent="0" rank="0" text="" dxfId="14">
      <formula>MOD(ROW(),5)=0</formula>
    </cfRule>
  </conditionalFormatting>
  <conditionalFormatting sqref="K64:L64">
    <cfRule type="expression" priority="85" aboveAverage="0" equalAverage="0" bottom="0" percent="0" rank="0" text="" dxfId="14">
      <formula>MOD(ROW(),5)=0</formula>
    </cfRule>
  </conditionalFormatting>
  <conditionalFormatting sqref="Z60:Z62">
    <cfRule type="expression" priority="86" aboveAverage="0" equalAverage="0" bottom="0" percent="0" rank="0" text="" dxfId="14">
      <formula>MOD(ROW(),5)=0</formula>
    </cfRule>
  </conditionalFormatting>
  <conditionalFormatting sqref="I60:I62">
    <cfRule type="expression" priority="87" aboveAverage="0" equalAverage="0" bottom="0" percent="0" rank="0" text="" dxfId="14">
      <formula>MOD(ROW(),5)=0</formula>
    </cfRule>
  </conditionalFormatting>
  <conditionalFormatting sqref="L61:L62">
    <cfRule type="expression" priority="88" aboveAverage="0" equalAverage="0" bottom="0" percent="0" rank="0" text="" dxfId="14">
      <formula>MOD(ROW(),5)=0</formula>
    </cfRule>
  </conditionalFormatting>
  <conditionalFormatting sqref="AD3:AF4">
    <cfRule type="expression" priority="89" aboveAverage="0" equalAverage="0" bottom="0" percent="0" rank="0" text="" dxfId="14">
      <formula>MOD(ROW(),5)=0</formula>
    </cfRule>
  </conditionalFormatting>
  <conditionalFormatting sqref="AF60:AF62">
    <cfRule type="expression" priority="90" aboveAverage="0" equalAverage="0" bottom="0" percent="0" rank="0" text="" dxfId="14">
      <formula>MOD(ROW(),5)=0</formula>
    </cfRule>
  </conditionalFormatting>
  <conditionalFormatting sqref="AF64:AF67">
    <cfRule type="expression" priority="91" aboveAverage="0" equalAverage="0" bottom="0" percent="0" rank="0" text="" dxfId="14">
      <formula>MOD(ROW(),5)=0</formula>
    </cfRule>
  </conditionalFormatting>
  <conditionalFormatting sqref="AB10:AE14">
    <cfRule type="expression" priority="92" aboveAverage="0" equalAverage="0" bottom="0" percent="0" rank="0" text="" dxfId="14">
      <formula>MOD(ROW(),5)=0</formula>
    </cfRule>
  </conditionalFormatting>
  <conditionalFormatting sqref="Q3:AA4">
    <cfRule type="expression" priority="93" aboveAverage="0" equalAverage="0" bottom="0" percent="0" rank="0" text="" dxfId="14">
      <formula>MOD(ROW(),5)=0</formula>
    </cfRule>
  </conditionalFormatting>
  <conditionalFormatting sqref="Z59:AA59">
    <cfRule type="expression" priority="94" aboveAverage="0" equalAverage="0" bottom="0" percent="0" rank="0" text="" dxfId="14">
      <formula>MOD(ROW(),5)=0</formula>
    </cfRule>
  </conditionalFormatting>
  <conditionalFormatting sqref="O60:T60">
    <cfRule type="expression" priority="95" aboveAverage="0" equalAverage="0" bottom="0" percent="0" rank="0" text="" dxfId="14">
      <formula>MOD(ROW(),5)=0</formula>
    </cfRule>
  </conditionalFormatting>
  <conditionalFormatting sqref="P4">
    <cfRule type="expression" priority="96" aboveAverage="0" equalAverage="0" bottom="0" percent="0" rank="0" text="" dxfId="14">
      <formula>MOD(ROW(),5)=0</formula>
    </cfRule>
  </conditionalFormatting>
  <conditionalFormatting sqref="O3:P3">
    <cfRule type="expression" priority="97" aboveAverage="0" equalAverage="0" bottom="0" percent="0" rank="0" text="" dxfId="14">
      <formula>MOD(ROW(),5)=0</formula>
    </cfRule>
  </conditionalFormatting>
  <conditionalFormatting sqref="I3:M3">
    <cfRule type="expression" priority="98" aboveAverage="0" equalAverage="0" bottom="0" percent="0" rank="0" text="" dxfId="14">
      <formula>MOD(ROW(),5)=0</formula>
    </cfRule>
  </conditionalFormatting>
  <conditionalFormatting sqref="I16:L16">
    <cfRule type="expression" priority="99" aboveAverage="0" equalAverage="0" bottom="0" percent="0" rank="0" text="" dxfId="14">
      <formula>MOD(ROW(),5)=0</formula>
    </cfRule>
  </conditionalFormatting>
  <conditionalFormatting sqref="I4:J4">
    <cfRule type="expression" priority="100" aboveAverage="0" equalAverage="0" bottom="0" percent="0" rank="0" text="" dxfId="14">
      <formula>MOD(ROW(),5)=0</formula>
    </cfRule>
  </conditionalFormatting>
  <conditionalFormatting sqref="J60:K60">
    <cfRule type="expression" priority="101" aboveAverage="0" equalAverage="0" bottom="0" percent="0" rank="0" text="" dxfId="14">
      <formula>MOD(ROW(),5)=0</formula>
    </cfRule>
  </conditionalFormatting>
  <conditionalFormatting sqref="J84:L86">
    <cfRule type="expression" priority="102" aboveAverage="0" equalAverage="0" bottom="0" percent="0" rank="0" text="" dxfId="14">
      <formula>MOD(ROW(),5)=0</formula>
    </cfRule>
  </conditionalFormatting>
  <conditionalFormatting sqref="J66">
    <cfRule type="expression" priority="103" aboveAverage="0" equalAverage="0" bottom="0" percent="0" rank="0" text="" dxfId="14">
      <formula>MOD(ROW(),5)=0</formula>
    </cfRule>
  </conditionalFormatting>
  <conditionalFormatting sqref="I17:J18 I19:L19 I45:J46 I59:K59 J61:J62 J65:K65 K50:L51 L17:L18">
    <cfRule type="expression" priority="104" aboveAverage="0" equalAverage="0" bottom="0" percent="0" rank="0" text="" dxfId="14">
      <formula>MOD(ROW(),5)=0</formula>
    </cfRule>
  </conditionalFormatting>
  <conditionalFormatting sqref="K187:L188">
    <cfRule type="expression" priority="105" aboveAverage="0" equalAverage="0" bottom="0" percent="0" rank="0" text="" dxfId="14">
      <formula>MOD(ROW(),5)=0</formula>
    </cfRule>
  </conditionalFormatting>
  <conditionalFormatting sqref="E186:F188">
    <cfRule type="expression" priority="106" aboveAverage="0" equalAverage="0" bottom="0" percent="0" rank="0" text="" dxfId="14">
      <formula>MOD(ROW(),5)=0</formula>
    </cfRule>
  </conditionalFormatting>
  <conditionalFormatting sqref="N122:U131">
    <cfRule type="expression" priority="107" aboveAverage="0" equalAverage="0" bottom="0" percent="0" rank="0" text="" dxfId="14">
      <formula>MOD(ROW(),5)=0</formula>
    </cfRule>
  </conditionalFormatting>
  <conditionalFormatting sqref="N111:P118">
    <cfRule type="expression" priority="108" aboveAverage="0" equalAverage="0" bottom="0" percent="0" rank="0" text="" dxfId="14">
      <formula>MOD(ROW(),5)=0</formula>
    </cfRule>
  </conditionalFormatting>
  <conditionalFormatting sqref="Z110:AA111">
    <cfRule type="expression" priority="109" aboveAverage="0" equalAverage="0" bottom="0" percent="0" rank="0" text="" dxfId="14">
      <formula>MOD(ROW(),5)=0</formula>
    </cfRule>
  </conditionalFormatting>
  <conditionalFormatting sqref="N79:Y97">
    <cfRule type="expression" priority="110" aboveAverage="0" equalAverage="0" bottom="0" percent="0" rank="0" text="" dxfId="14">
      <formula>MOD(ROW(),5)=0</formula>
    </cfRule>
  </conditionalFormatting>
  <conditionalFormatting sqref="Z79">
    <cfRule type="expression" priority="111" aboveAverage="0" equalAverage="0" bottom="0" percent="0" rank="0" text="" dxfId="14">
      <formula>MOD(ROW(),5)=0</formula>
    </cfRule>
  </conditionalFormatting>
  <conditionalFormatting sqref="N110:Y110">
    <cfRule type="expression" priority="112" aboveAverage="0" equalAverage="0" bottom="0" percent="0" rank="0" text="" dxfId="14">
      <formula>MOD(ROW(),5)=0</formula>
    </cfRule>
  </conditionalFormatting>
  <conditionalFormatting sqref="G88:K88 J87:K87 J185:L186 J187 M209:M401 Q111:Y111 Q112:AA118 W131:X131 Z80:AA97 AC4 AH3:XFD4">
    <cfRule type="expression" priority="113" aboveAverage="0" equalAverage="0" bottom="0" percent="0" rank="0" text="" dxfId="14">
      <formula>MOD(ROW(),5)=0</formula>
    </cfRule>
  </conditionalFormatting>
  <hyperlinks>
    <hyperlink ref="M3" r:id="rId1" display="masaru.miyanaga@inpex.co.jp"/>
    <hyperlink ref="M5" r:id="rId2" display="osteoimmunology.society@gmail.com"/>
    <hyperlink ref="M6" r:id="rId3" display="office@air-atokyo.com"/>
    <hyperlink ref="M7" r:id="rId4" display="mie.aoki@globis.co.jp"/>
    <hyperlink ref="M8" r:id="rId5" display="mie.aoki@globis.co.jp"/>
    <hyperlink ref="M9" r:id="rId6" display="mdroussin@voyagesgendron.com"/>
    <hyperlink ref="M10" r:id="rId7" display="mie.aoki@globis.co.jp"/>
    <hyperlink ref="M11" r:id="rId8" display="mie.aoki@globis.co.jp"/>
    <hyperlink ref="M12" r:id="rId9" display="y.yoshida@fuyokkk.co.jp "/>
    <hyperlink ref="M13" r:id="rId10" display="mail@powderskijapan.com"/>
    <hyperlink ref="M14" r:id="rId11" display="t.yudan824@kntct.com"/>
    <hyperlink ref="M15" r:id="rId12" display="info@ykt88.co.jp"/>
    <hyperlink ref="M16" r:id="rId13" display="dai@japanpackage.com.au"/>
    <hyperlink ref="M17" r:id="rId14" display="t_uchiya027@jtb.com"/>
    <hyperlink ref="M18" r:id="rId15" display="mayumi@powderholidays.com"/>
    <hyperlink ref="M19" r:id="rId16" display="myokotaiwan@gmail.com"/>
    <hyperlink ref="M20" r:id="rId17" display="myokotaiwan@gmail.com"/>
    <hyperlink ref="M21" r:id="rId18" display="bookings@japanspecialists.com"/>
    <hyperlink ref="M22" r:id="rId19" display="edgar@mogulski.com.au"/>
    <hyperlink ref="M23" r:id="rId20" display="aha261720@gmail.com"/>
    <hyperlink ref="M24" r:id="rId21" display="jason@mogulski.com.au"/>
    <hyperlink ref="M25" r:id="rId22" display="nick@differentsnow.com"/>
    <hyperlink ref="M26" r:id="rId23" display="mika_kato@nta.co.jp"/>
    <hyperlink ref="M27" r:id="rId24" display="kyo@tohokujapan.net"/>
    <hyperlink ref="M28" r:id="rId25" display="partners@japan-dimension.com"/>
    <hyperlink ref="M29" r:id="rId26" display="misa@kodotravel.com"/>
    <hyperlink ref="M30" r:id="rId27" display="ema@wondertrunk.co"/>
    <hyperlink ref="M31" r:id="rId28" display="bookings@japanspecialists.com"/>
    <hyperlink ref="M32" r:id="rId29" display="naoki.washio@aon.com"/>
    <hyperlink ref="M33" r:id="rId30" display="heima@yukinomori.com"/>
    <hyperlink ref="M34" r:id="rId31" display="Jen@awayuki.com"/>
    <hyperlink ref="M36" r:id="rId32" display="m_kometani068@jtb.com"/>
    <hyperlink ref="M37" r:id="rId33" display="aoba_kawano@tobutoptours.co.jp"/>
    <hyperlink ref="M40" r:id="rId34" display="sato@kubikikanko.com"/>
    <hyperlink ref="M41" r:id="rId35" display="tateno@myoko-gt.com"/>
    <hyperlink ref="M42" r:id="rId36" display="tateno@myoko-gt.com"/>
    <hyperlink ref="M43" r:id="rId37" display="azusa_sumi@ic.nucba.ac.jp"/>
    <hyperlink ref="M44" r:id="rId38" display="k.yokoyama692@kntct.com"/>
    <hyperlink ref="M45" r:id="rId39" display="eri@pcg.ltd"/>
    <hyperlink ref="M47" r:id="rId40" display="myokotaiwan@gmail.com"/>
    <hyperlink ref="M48" r:id="rId41" display="myokotaiwan@gmail.com"/>
    <hyperlink ref="M49" r:id="rId42" display="info@runaway.co.jp"/>
    <hyperlink ref="M50" r:id="rId43" display="chizuru.mizutani@howmet.com"/>
    <hyperlink ref="M51" r:id="rId44" display="yoshinori_nagaoka@nta.co.jp"/>
    <hyperlink ref="M56" r:id="rId45" display="str-kk@nzm.jrnet.ne.jp"/>
    <hyperlink ref="M57" r:id="rId46" display="karinahuang@liontravel.com"/>
    <hyperlink ref="M58" r:id="rId47" display="karinahuang@liontravel.com"/>
    <hyperlink ref="M60" r:id="rId48" display="ayumi@travelailand.com"/>
    <hyperlink ref="M64" r:id="rId49" display="mika_kato@nta.co.jp"/>
    <hyperlink ref="M65" r:id="rId50" display="syhyk0827@yahoo.co.jp"/>
    <hyperlink ref="M68" r:id="rId51" display="office@air-atokyo.com"/>
    <hyperlink ref="M70" r:id="rId52" display="jnc.dongmi@gmail.com"/>
    <hyperlink ref="M71" r:id="rId53" display="okugaki59078@nissay.co.jp"/>
    <hyperlink ref="M72" r:id="rId54" display="jnc.dongmi@gmail.com"/>
    <hyperlink ref="M73" r:id="rId55" display="jnc.dongmi@gmail.com"/>
    <hyperlink ref="M74" r:id="rId56" display="jnc.dongmi@gmail.com"/>
    <hyperlink ref="M75" r:id="rId57" display="jnc.dongmi@gmail.com"/>
    <hyperlink ref="M76" r:id="rId58" display="jnc.dongmi@gmail.com"/>
  </hyperlinks>
  <printOptions headings="false" gridLines="false" gridLinesSet="true" horizontalCentered="true" verticalCentered="false"/>
  <pageMargins left="0.25" right="0.25" top="0.75" bottom="0.75" header="0.3" footer="0.3"/>
  <pageSetup paperSize="8" scale="100" fitToWidth="1" fitToHeight="1" pageOrder="downThenOver" orientation="portrait" blackAndWhite="false" draft="false" cellComments="none" horizontalDpi="300" verticalDpi="300" copies="1"/>
  <headerFooter differentFirst="false" differentOddEven="false">
    <oddHeader>&amp;R&amp;D　印刷</oddHeader>
    <oddFooter>&amp;R&amp;P ページ</oddFooter>
  </headerFooter>
  <drawing r:id="rId59"/>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2019-12-03T10:48:50Z</dcterms:created>
  <dc:creator>meguro shuhei</dc:creator>
  <dc:description/>
  <dc:language>en-US</dc:language>
  <cp:lastModifiedBy>mizusawa hiroto</cp:lastModifiedBy>
  <cp:lastPrinted>2022-12-06T08:47:09Z</cp:lastPrinted>
  <dcterms:modified xsi:type="dcterms:W3CDTF">2026-07-18T07:33:27Z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