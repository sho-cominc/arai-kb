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見積書" sheetId="1" state="visible" r:id="rId1"/>
    <sheet name="記入例" sheetId="2" state="visible" r:id="rId2"/>
  </sheets>
  <definedNames>
    <definedName name="_xlnm.Print_Area" localSheetId="0">'見積書'!$A$1:$G$40</definedName>
    <definedName name="_xlnm.Print_Area" localSheetId="1">'記入例'!$A$1:$G$40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¥#,##0"/>
  </numFmts>
  <fonts count="13">
    <font>
      <name val="Calibri"/>
      <family val="2"/>
      <color theme="1"/>
      <sz val="11"/>
      <scheme val="minor"/>
    </font>
    <font>
      <name val="Yu Gothic"/>
      <color rgb="00000000"/>
      <sz val="9"/>
    </font>
    <font>
      <name val="Yu Gothic"/>
      <b val="1"/>
      <color rgb="00000000"/>
      <sz val="20"/>
    </font>
    <font>
      <name val="Yu Gothic"/>
      <b val="1"/>
      <color rgb="00000000"/>
      <sz val="12"/>
    </font>
    <font>
      <name val="Yu Gothic"/>
      <color rgb="00AAAAAA"/>
      <sz val="9"/>
    </font>
    <font>
      <name val="Yu Gothic"/>
      <b val="1"/>
      <color rgb="00000000"/>
      <sz val="10"/>
    </font>
    <font>
      <name val="Yu Gothic"/>
      <color rgb="00000000"/>
      <sz val="8"/>
    </font>
    <font>
      <name val="Yu Gothic"/>
      <b val="1"/>
      <color rgb="00000000"/>
      <sz val="9"/>
    </font>
    <font>
      <name val="Yu Gothic"/>
      <color rgb="00000000"/>
      <sz val="10"/>
    </font>
    <font>
      <name val="Yu Gothic"/>
      <b val="1"/>
      <color rgb="00000000"/>
      <sz val="14"/>
    </font>
    <font>
      <name val="Yu Gothic"/>
      <color rgb="00888888"/>
      <sz val="8"/>
    </font>
    <font>
      <name val="Yu Gothic"/>
      <b val="1"/>
      <color rgb="00000000"/>
      <sz val="11"/>
    </font>
    <font>
      <name val="Yu Gothic"/>
      <color rgb="00666666"/>
      <sz val="8"/>
    </font>
  </fonts>
  <fills count="5">
    <fill>
      <patternFill/>
    </fill>
    <fill>
      <patternFill patternType="gray125"/>
    </fill>
    <fill>
      <patternFill patternType="solid">
        <fgColor rgb="00FFF7CC"/>
      </patternFill>
    </fill>
    <fill>
      <patternFill patternType="solid">
        <fgColor rgb="00F5F0E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right" vertical="center"/>
    </xf>
    <xf numFmtId="3" fontId="1" fillId="2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right" vertical="center"/>
    </xf>
    <xf numFmtId="165" fontId="1" fillId="2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selection activeCell="A1" sqref="A1"/>
    </sheetView>
  </sheetViews>
  <sheetFormatPr baseColWidth="8" defaultRowHeight="15"/>
  <cols>
    <col width="4.5" customWidth="1" min="1" max="1"/>
    <col width="16" customWidth="1" min="2" max="2"/>
    <col width="30" customWidth="1" min="3" max="3"/>
    <col width="11" customWidth="1" min="4" max="4"/>
    <col width="7" customWidth="1" min="5" max="5"/>
    <col width="7" customWidth="1" min="6" max="6"/>
    <col width="13" customWidth="1" min="7" max="7"/>
  </cols>
  <sheetData>
    <row r="1">
      <c r="B1" s="1" t="inlineStr">
        <is>
          <t>御 見 積 書</t>
        </is>
      </c>
      <c r="F1" s="2" t="inlineStr">
        <is>
          <t>見積番号</t>
        </is>
      </c>
      <c r="G1" s="3" t="n"/>
    </row>
    <row r="2">
      <c r="F2" s="2" t="inlineStr">
        <is>
          <t>発行日</t>
        </is>
      </c>
      <c r="G2" s="4" t="n"/>
    </row>
    <row r="3">
      <c r="F3" s="2" t="inlineStr">
        <is>
          <t>ブロックコード</t>
        </is>
      </c>
      <c r="G3" s="3" t="n"/>
    </row>
    <row r="4">
      <c r="A4" s="5" t="inlineStr">
        <is>
          <t>(団体名)  御中</t>
        </is>
      </c>
      <c r="F4" s="6" t="inlineStr">
        <is>
          <t>【ロゴ】</t>
        </is>
      </c>
    </row>
    <row r="5">
      <c r="A5" s="7" t="inlineStr">
        <is>
          <t>ご担当: (先方担当者) 様</t>
        </is>
      </c>
    </row>
    <row r="6">
      <c r="A6" s="8" t="inlineStr">
        <is>
          <t>下記のとおりお見積り申し上げます。</t>
        </is>
      </c>
      <c r="F6" s="9" t="inlineStr">
        <is>
          <t>(ホテル名)</t>
        </is>
      </c>
    </row>
    <row r="7">
      <c r="F7" s="10" t="inlineStr">
        <is>
          <t>(住所・TEL)</t>
        </is>
      </c>
    </row>
    <row r="8">
      <c r="F8" s="10" t="inlineStr">
        <is>
          <t>インボイス登録番号:</t>
        </is>
      </c>
      <c r="G8" s="11" t="n"/>
    </row>
    <row r="9">
      <c r="F9" s="12" t="inlineStr">
        <is>
          <t>担当:</t>
        </is>
      </c>
      <c r="G9" s="7" t="n"/>
    </row>
    <row r="10">
      <c r="A10" s="13" t="inlineStr">
        <is>
          <t>件名</t>
        </is>
      </c>
      <c r="B10" s="14" t="n"/>
    </row>
    <row r="11">
      <c r="A11" s="13" t="inlineStr">
        <is>
          <t>ご利用期間</t>
        </is>
      </c>
      <c r="B11" s="14" t="n"/>
      <c r="F11" s="15" t="inlineStr">
        <is>
          <t>御見積合計(税込)</t>
        </is>
      </c>
      <c r="G11" s="16">
        <f>G36</f>
        <v/>
      </c>
    </row>
    <row r="12">
      <c r="A12" s="13" t="inlineStr">
        <is>
          <t>ご利用人数</t>
        </is>
      </c>
      <c r="B12" s="14" t="n"/>
    </row>
    <row r="13">
      <c r="A13" s="13" t="inlineStr">
        <is>
          <t>お支払方法</t>
        </is>
      </c>
      <c r="B13" s="17" t="n"/>
      <c r="F13" s="13" t="inlineStr">
        <is>
          <t>見積有効期限</t>
        </is>
      </c>
      <c r="G13" s="4" t="n"/>
    </row>
    <row r="15">
      <c r="A15" s="13" t="inlineStr">
        <is>
          <t>No.</t>
        </is>
      </c>
      <c r="B15" s="13" t="inlineStr">
        <is>
          <t>項目</t>
        </is>
      </c>
      <c r="C15" s="13" t="inlineStr">
        <is>
          <t>内容</t>
        </is>
      </c>
      <c r="D15" s="13" t="inlineStr">
        <is>
          <t>単価</t>
        </is>
      </c>
      <c r="E15" s="13" t="inlineStr">
        <is>
          <t>数量</t>
        </is>
      </c>
      <c r="F15" s="13" t="inlineStr">
        <is>
          <t>単位</t>
        </is>
      </c>
      <c r="G15" s="13" t="inlineStr">
        <is>
          <t>金額</t>
        </is>
      </c>
    </row>
    <row r="16">
      <c r="A16" s="18" t="n">
        <v>1</v>
      </c>
      <c r="B16" s="17" t="n"/>
      <c r="C16" s="17" t="n"/>
      <c r="D16" s="19" t="n"/>
      <c r="E16" s="20" t="n"/>
      <c r="F16" s="3" t="n"/>
      <c r="G16" s="21">
        <f>IF(COUNT(D16,E16)&lt;2,"",D16*E16)</f>
        <v/>
      </c>
    </row>
    <row r="17">
      <c r="A17" s="18" t="n">
        <v>2</v>
      </c>
      <c r="B17" s="17" t="n"/>
      <c r="C17" s="17" t="n"/>
      <c r="D17" s="19" t="n"/>
      <c r="E17" s="20" t="n"/>
      <c r="F17" s="3" t="n"/>
      <c r="G17" s="21">
        <f>IF(COUNT(D17,E17)&lt;2,"",D17*E17)</f>
        <v/>
      </c>
    </row>
    <row r="18">
      <c r="A18" s="18" t="n">
        <v>3</v>
      </c>
      <c r="B18" s="17" t="n"/>
      <c r="C18" s="17" t="n"/>
      <c r="D18" s="19" t="n"/>
      <c r="E18" s="20" t="n"/>
      <c r="F18" s="3" t="n"/>
      <c r="G18" s="21">
        <f>IF(COUNT(D18,E18)&lt;2,"",D18*E18)</f>
        <v/>
      </c>
    </row>
    <row r="19">
      <c r="A19" s="18" t="n">
        <v>4</v>
      </c>
      <c r="B19" s="17" t="n"/>
      <c r="C19" s="17" t="n"/>
      <c r="D19" s="19" t="n"/>
      <c r="E19" s="20" t="n"/>
      <c r="F19" s="3" t="n"/>
      <c r="G19" s="21">
        <f>IF(COUNT(D19,E19)&lt;2,"",D19*E19)</f>
        <v/>
      </c>
    </row>
    <row r="20">
      <c r="A20" s="18" t="n">
        <v>5</v>
      </c>
      <c r="B20" s="17" t="n"/>
      <c r="C20" s="17" t="n"/>
      <c r="D20" s="19" t="n"/>
      <c r="E20" s="20" t="n"/>
      <c r="F20" s="3" t="n"/>
      <c r="G20" s="21">
        <f>IF(COUNT(D20,E20)&lt;2,"",D20*E20)</f>
        <v/>
      </c>
    </row>
    <row r="21">
      <c r="A21" s="18" t="n">
        <v>6</v>
      </c>
      <c r="B21" s="17" t="n"/>
      <c r="C21" s="17" t="n"/>
      <c r="D21" s="19" t="n"/>
      <c r="E21" s="20" t="n"/>
      <c r="F21" s="3" t="n"/>
      <c r="G21" s="21">
        <f>IF(COUNT(D21,E21)&lt;2,"",D21*E21)</f>
        <v/>
      </c>
    </row>
    <row r="22">
      <c r="A22" s="18" t="n">
        <v>7</v>
      </c>
      <c r="B22" s="17" t="n"/>
      <c r="C22" s="17" t="n"/>
      <c r="D22" s="19" t="n"/>
      <c r="E22" s="20" t="n"/>
      <c r="F22" s="3" t="n"/>
      <c r="G22" s="21">
        <f>IF(COUNT(D22,E22)&lt;2,"",D22*E22)</f>
        <v/>
      </c>
    </row>
    <row r="23">
      <c r="A23" s="18" t="n">
        <v>8</v>
      </c>
      <c r="B23" s="17" t="n"/>
      <c r="C23" s="17" t="n"/>
      <c r="D23" s="19" t="n"/>
      <c r="E23" s="20" t="n"/>
      <c r="F23" s="3" t="n"/>
      <c r="G23" s="21">
        <f>IF(COUNT(D23,E23)&lt;2,"",D23*E23)</f>
        <v/>
      </c>
    </row>
    <row r="24">
      <c r="A24" s="18" t="n">
        <v>9</v>
      </c>
      <c r="B24" s="17" t="n"/>
      <c r="C24" s="17" t="n"/>
      <c r="D24" s="19" t="n"/>
      <c r="E24" s="20" t="n"/>
      <c r="F24" s="3" t="n"/>
      <c r="G24" s="21">
        <f>IF(COUNT(D24,E24)&lt;2,"",D24*E24)</f>
        <v/>
      </c>
    </row>
    <row r="25">
      <c r="A25" s="18" t="n">
        <v>10</v>
      </c>
      <c r="B25" s="17" t="n"/>
      <c r="C25" s="17" t="n"/>
      <c r="D25" s="19" t="n"/>
      <c r="E25" s="20" t="n"/>
      <c r="F25" s="3" t="n"/>
      <c r="G25" s="21">
        <f>IF(COUNT(D25,E25)&lt;2,"",D25*E25)</f>
        <v/>
      </c>
    </row>
    <row r="26">
      <c r="A26" s="18" t="n">
        <v>11</v>
      </c>
      <c r="B26" s="17" t="n"/>
      <c r="C26" s="17" t="n"/>
      <c r="D26" s="19" t="n"/>
      <c r="E26" s="20" t="n"/>
      <c r="F26" s="3" t="n"/>
      <c r="G26" s="21">
        <f>IF(COUNT(D26,E26)&lt;2,"",D26*E26)</f>
        <v/>
      </c>
    </row>
    <row r="27">
      <c r="A27" s="18" t="n">
        <v>12</v>
      </c>
      <c r="B27" s="17" t="n"/>
      <c r="C27" s="17" t="n"/>
      <c r="D27" s="19" t="n"/>
      <c r="E27" s="20" t="n"/>
      <c r="F27" s="3" t="n"/>
      <c r="G27" s="21">
        <f>IF(COUNT(D27,E27)&lt;2,"",D27*E27)</f>
        <v/>
      </c>
    </row>
    <row r="28">
      <c r="A28" s="18" t="n">
        <v>13</v>
      </c>
      <c r="B28" s="17" t="n"/>
      <c r="C28" s="17" t="n"/>
      <c r="D28" s="19" t="n"/>
      <c r="E28" s="20" t="n"/>
      <c r="F28" s="3" t="n"/>
      <c r="G28" s="21">
        <f>IF(COUNT(D28,E28)&lt;2,"",D28*E28)</f>
        <v/>
      </c>
    </row>
    <row r="29">
      <c r="A29" s="18" t="n">
        <v>14</v>
      </c>
      <c r="B29" s="17" t="n"/>
      <c r="C29" s="17" t="n"/>
      <c r="D29" s="19" t="n"/>
      <c r="E29" s="20" t="n"/>
      <c r="F29" s="3" t="n"/>
      <c r="G29" s="21">
        <f>IF(COUNT(D29,E29)&lt;2,"",D29*E29)</f>
        <v/>
      </c>
    </row>
    <row r="30">
      <c r="A30" s="18" t="n">
        <v>15</v>
      </c>
      <c r="B30" s="17" t="n"/>
      <c r="C30" s="17" t="n"/>
      <c r="D30" s="19" t="n"/>
      <c r="E30" s="20" t="n"/>
      <c r="F30" s="3" t="n"/>
      <c r="G30" s="21">
        <f>IF(COUNT(D30,E30)&lt;2,"",D30*E30)</f>
        <v/>
      </c>
    </row>
    <row r="31">
      <c r="A31" s="22" t="inlineStr"/>
      <c r="D31" s="23" t="inlineStr">
        <is>
          <t>小計</t>
        </is>
      </c>
      <c r="G31" s="24">
        <f>SUM(G16:G30)</f>
        <v/>
      </c>
    </row>
    <row r="32">
      <c r="A32" s="22" t="inlineStr"/>
      <c r="D32" s="23" t="inlineStr">
        <is>
          <t>サービス料(10%)</t>
        </is>
      </c>
      <c r="G32" s="24">
        <f>ROUND(G31*0.1,0)</f>
        <v/>
      </c>
    </row>
    <row r="33">
      <c r="A33" s="22" t="inlineStr"/>
      <c r="D33" s="23" t="inlineStr">
        <is>
          <t>消費税(10%)</t>
        </is>
      </c>
      <c r="G33" s="24">
        <f>ROUND((G31+G32)*0.1,0)</f>
        <v/>
      </c>
    </row>
    <row r="34">
      <c r="A34" s="22" t="inlineStr">
        <is>
          <t>※入湯税=150円×宿泊人数×泊数(手入力)</t>
        </is>
      </c>
      <c r="D34" s="23" t="inlineStr">
        <is>
          <t>入湯税</t>
        </is>
      </c>
      <c r="G34" s="25" t="n"/>
    </row>
    <row r="35">
      <c r="A35" s="22" t="inlineStr">
        <is>
          <t>※値引きはマイナスで入力</t>
        </is>
      </c>
      <c r="D35" s="23" t="inlineStr">
        <is>
          <t>お値引き(マイナス入力)</t>
        </is>
      </c>
      <c r="G35" s="25" t="n"/>
    </row>
    <row r="36">
      <c r="A36" s="22" t="inlineStr"/>
      <c r="D36" s="13" t="inlineStr">
        <is>
          <t>御見積合計(税込)</t>
        </is>
      </c>
      <c r="G36" s="26">
        <f>G31+G32+G33+N(G34)+N(G35)</f>
        <v/>
      </c>
    </row>
    <row r="38">
      <c r="A38" s="13" t="inlineStr">
        <is>
          <t>備考</t>
        </is>
      </c>
      <c r="B38" s="27" t="n"/>
    </row>
    <row r="39"/>
    <row r="40"/>
    <row r="42">
      <c r="A42" s="28" t="inlineStr">
        <is>
          <t>【使い方】黄色セル=入力欄 / 白セル=自動計算(触らない)。金額列・小計・税・合計は数式です。</t>
        </is>
      </c>
    </row>
    <row r="43">
      <c r="A43" s="28" t="inlineStr">
        <is>
          <t>サービス料率・消費税率を変える場合は該当行の数式内の 0.1 を修正。ロゴは【ロゴ】枠に画像を挿入。</t>
        </is>
      </c>
    </row>
  </sheetData>
  <mergeCells count="22">
    <mergeCell ref="A5:D5"/>
    <mergeCell ref="B11:D11"/>
    <mergeCell ref="A4:D4"/>
    <mergeCell ref="D32:F32"/>
    <mergeCell ref="B13:D13"/>
    <mergeCell ref="B38:G40"/>
    <mergeCell ref="B10:D10"/>
    <mergeCell ref="A33:C33"/>
    <mergeCell ref="A32:C32"/>
    <mergeCell ref="A35:C35"/>
    <mergeCell ref="B1:E2"/>
    <mergeCell ref="D33:F33"/>
    <mergeCell ref="F4:G5"/>
    <mergeCell ref="A6:D6"/>
    <mergeCell ref="A31:C31"/>
    <mergeCell ref="D35:F35"/>
    <mergeCell ref="A34:C34"/>
    <mergeCell ref="D34:F34"/>
    <mergeCell ref="A36:C36"/>
    <mergeCell ref="D31:F31"/>
    <mergeCell ref="D36:F36"/>
    <mergeCell ref="B12:D12"/>
  </mergeCells>
  <pageMargins left="0.5" right="0.5" top="0.6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selection activeCell="A1" sqref="A1"/>
    </sheetView>
  </sheetViews>
  <sheetFormatPr baseColWidth="8" defaultRowHeight="15"/>
  <cols>
    <col width="4.5" customWidth="1" min="1" max="1"/>
    <col width="16" customWidth="1" min="2" max="2"/>
    <col width="30" customWidth="1" min="3" max="3"/>
    <col width="11" customWidth="1" min="4" max="4"/>
    <col width="7" customWidth="1" min="5" max="5"/>
    <col width="7" customWidth="1" min="6" max="6"/>
    <col width="13" customWidth="1" min="7" max="7"/>
  </cols>
  <sheetData>
    <row r="1">
      <c r="B1" s="1" t="inlineStr">
        <is>
          <t>御 見 積 書</t>
        </is>
      </c>
      <c r="F1" s="2" t="inlineStr">
        <is>
          <t>見積番号</t>
        </is>
      </c>
      <c r="G1" s="3" t="inlineStr">
        <is>
          <t>Q-2026-0001</t>
        </is>
      </c>
    </row>
    <row r="2">
      <c r="F2" s="2" t="inlineStr">
        <is>
          <t>発行日</t>
        </is>
      </c>
      <c r="G2" s="4" t="inlineStr">
        <is>
          <t>2026/7/17</t>
        </is>
      </c>
    </row>
    <row r="3">
      <c r="F3" s="2" t="inlineStr">
        <is>
          <t>ブロックコード</t>
        </is>
      </c>
      <c r="G3" s="3" t="inlineStr">
        <is>
          <t>0815TANA01</t>
        </is>
      </c>
    </row>
    <row r="4">
      <c r="A4" s="5" t="inlineStr">
        <is>
          <t>田中産業株式会社  御中</t>
        </is>
      </c>
      <c r="F4" s="6" t="inlineStr">
        <is>
          <t>【ロゴ】</t>
        </is>
      </c>
    </row>
    <row r="5">
      <c r="A5" s="7" t="inlineStr">
        <is>
          <t>ご担当: 田中 一郎 様</t>
        </is>
      </c>
    </row>
    <row r="6">
      <c r="A6" s="8" t="inlineStr">
        <is>
          <t>下記のとおりお見積り申し上げます。</t>
        </is>
      </c>
      <c r="F6" s="9" t="inlineStr">
        <is>
          <t>(ホテル名)</t>
        </is>
      </c>
    </row>
    <row r="7">
      <c r="F7" s="10" t="inlineStr">
        <is>
          <t>(住所・TEL)</t>
        </is>
      </c>
    </row>
    <row r="8">
      <c r="F8" s="10" t="inlineStr">
        <is>
          <t>インボイス登録番号:</t>
        </is>
      </c>
      <c r="G8" s="11" t="inlineStr">
        <is>
          <t>T0000000000000</t>
        </is>
      </c>
    </row>
    <row r="9">
      <c r="F9" s="12" t="inlineStr">
        <is>
          <t>担当:</t>
        </is>
      </c>
      <c r="G9" s="7" t="inlineStr">
        <is>
          <t>清水 祥太郎</t>
        </is>
      </c>
    </row>
    <row r="10">
      <c r="A10" s="13" t="inlineStr">
        <is>
          <t>件名</t>
        </is>
      </c>
      <c r="B10" s="14" t="inlineStr">
        <is>
          <t>田中産業株式会社様 ご宴会・ご宿泊</t>
        </is>
      </c>
    </row>
    <row r="11">
      <c r="A11" s="13" t="inlineStr">
        <is>
          <t>ご利用期間</t>
        </is>
      </c>
      <c r="B11" s="14" t="inlineStr">
        <is>
          <t>2026年8月15日(土)〜16日(日) 1泊2日</t>
        </is>
      </c>
      <c r="F11" s="15" t="inlineStr">
        <is>
          <t>御見積合計(税込)</t>
        </is>
      </c>
      <c r="G11" s="16">
        <f>G36</f>
        <v/>
      </c>
    </row>
    <row r="12">
      <c r="A12" s="13" t="inlineStr">
        <is>
          <t>ご利用人数</t>
        </is>
      </c>
      <c r="B12" s="14" t="inlineStr">
        <is>
          <t>40名(大人40名)</t>
        </is>
      </c>
    </row>
    <row r="13">
      <c r="A13" s="13" t="inlineStr">
        <is>
          <t>お支払方法</t>
        </is>
      </c>
      <c r="B13" s="17" t="inlineStr">
        <is>
          <t>後日振込(実施後7日以内)</t>
        </is>
      </c>
      <c r="F13" s="13" t="inlineStr">
        <is>
          <t>見積有効期限</t>
        </is>
      </c>
      <c r="G13" s="4" t="inlineStr">
        <is>
          <t>2026/8/1</t>
        </is>
      </c>
    </row>
    <row r="15">
      <c r="A15" s="13" t="inlineStr">
        <is>
          <t>No.</t>
        </is>
      </c>
      <c r="B15" s="13" t="inlineStr">
        <is>
          <t>項目</t>
        </is>
      </c>
      <c r="C15" s="13" t="inlineStr">
        <is>
          <t>内容</t>
        </is>
      </c>
      <c r="D15" s="13" t="inlineStr">
        <is>
          <t>単価</t>
        </is>
      </c>
      <c r="E15" s="13" t="inlineStr">
        <is>
          <t>数量</t>
        </is>
      </c>
      <c r="F15" s="13" t="inlineStr">
        <is>
          <t>単位</t>
        </is>
      </c>
      <c r="G15" s="13" t="inlineStr">
        <is>
          <t>金額</t>
        </is>
      </c>
    </row>
    <row r="16">
      <c r="A16" s="18" t="n">
        <v>1</v>
      </c>
      <c r="B16" s="17" t="inlineStr">
        <is>
          <t>宿泊</t>
        </is>
      </c>
      <c r="C16" s="17" t="inlineStr">
        <is>
          <t>1泊2食付プラン(和室)</t>
        </is>
      </c>
      <c r="D16" s="19" t="n">
        <v>15000</v>
      </c>
      <c r="E16" s="20" t="n">
        <v>40</v>
      </c>
      <c r="F16" s="3" t="inlineStr">
        <is>
          <t>名</t>
        </is>
      </c>
      <c r="G16" s="21">
        <f>IF(COUNT(D16,E16)&lt;2,"",D16*E16)</f>
        <v/>
      </c>
    </row>
    <row r="17">
      <c r="A17" s="18" t="n">
        <v>2</v>
      </c>
      <c r="B17" s="17" t="inlineStr">
        <is>
          <t>宴会</t>
        </is>
      </c>
      <c r="C17" s="17" t="inlineStr">
        <is>
          <t>宴会場使用料(鶴の間 18:00-20:00)</t>
        </is>
      </c>
      <c r="D17" s="19" t="n">
        <v>50000</v>
      </c>
      <c r="E17" s="20" t="n">
        <v>1</v>
      </c>
      <c r="F17" s="3" t="inlineStr">
        <is>
          <t>式</t>
        </is>
      </c>
      <c r="G17" s="21">
        <f>IF(COUNT(D17,E17)&lt;2,"",D17*E17)</f>
        <v/>
      </c>
    </row>
    <row r="18">
      <c r="A18" s="18" t="n">
        <v>3</v>
      </c>
      <c r="B18" s="17" t="inlineStr">
        <is>
          <t>宴会</t>
        </is>
      </c>
      <c r="C18" s="17" t="inlineStr">
        <is>
          <t>飲み放題プラン 90分</t>
        </is>
      </c>
      <c r="D18" s="19" t="n">
        <v>2500</v>
      </c>
      <c r="E18" s="20" t="n">
        <v>40</v>
      </c>
      <c r="F18" s="3" t="inlineStr">
        <is>
          <t>名</t>
        </is>
      </c>
      <c r="G18" s="21">
        <f>IF(COUNT(D18,E18)&lt;2,"",D18*E18)</f>
        <v/>
      </c>
    </row>
    <row r="19">
      <c r="A19" s="18" t="n">
        <v>4</v>
      </c>
      <c r="B19" s="17" t="inlineStr">
        <is>
          <t>送迎</t>
        </is>
      </c>
      <c r="C19" s="17" t="inlineStr">
        <is>
          <t>貸切バス送迎(上越妙高駅⇔ホテル 往復)</t>
        </is>
      </c>
      <c r="D19" s="19" t="n">
        <v>30000</v>
      </c>
      <c r="E19" s="20" t="n">
        <v>2</v>
      </c>
      <c r="F19" s="3" t="inlineStr">
        <is>
          <t>台</t>
        </is>
      </c>
      <c r="G19" s="21">
        <f>IF(COUNT(D19,E19)&lt;2,"",D19*E19)</f>
        <v/>
      </c>
    </row>
    <row r="20">
      <c r="A20" s="18" t="n">
        <v>5</v>
      </c>
      <c r="B20" s="17" t="n"/>
      <c r="C20" s="17" t="n"/>
      <c r="D20" s="19" t="n"/>
      <c r="E20" s="20" t="n"/>
      <c r="F20" s="3" t="n"/>
      <c r="G20" s="21">
        <f>IF(COUNT(D20,E20)&lt;2,"",D20*E20)</f>
        <v/>
      </c>
    </row>
    <row r="21">
      <c r="A21" s="18" t="n">
        <v>6</v>
      </c>
      <c r="B21" s="17" t="n"/>
      <c r="C21" s="17" t="n"/>
      <c r="D21" s="19" t="n"/>
      <c r="E21" s="20" t="n"/>
      <c r="F21" s="3" t="n"/>
      <c r="G21" s="21">
        <f>IF(COUNT(D21,E21)&lt;2,"",D21*E21)</f>
        <v/>
      </c>
    </row>
    <row r="22">
      <c r="A22" s="18" t="n">
        <v>7</v>
      </c>
      <c r="B22" s="17" t="n"/>
      <c r="C22" s="17" t="n"/>
      <c r="D22" s="19" t="n"/>
      <c r="E22" s="20" t="n"/>
      <c r="F22" s="3" t="n"/>
      <c r="G22" s="21">
        <f>IF(COUNT(D22,E22)&lt;2,"",D22*E22)</f>
        <v/>
      </c>
    </row>
    <row r="23">
      <c r="A23" s="18" t="n">
        <v>8</v>
      </c>
      <c r="B23" s="17" t="n"/>
      <c r="C23" s="17" t="n"/>
      <c r="D23" s="19" t="n"/>
      <c r="E23" s="20" t="n"/>
      <c r="F23" s="3" t="n"/>
      <c r="G23" s="21">
        <f>IF(COUNT(D23,E23)&lt;2,"",D23*E23)</f>
        <v/>
      </c>
    </row>
    <row r="24">
      <c r="A24" s="18" t="n">
        <v>9</v>
      </c>
      <c r="B24" s="17" t="n"/>
      <c r="C24" s="17" t="n"/>
      <c r="D24" s="19" t="n"/>
      <c r="E24" s="20" t="n"/>
      <c r="F24" s="3" t="n"/>
      <c r="G24" s="21">
        <f>IF(COUNT(D24,E24)&lt;2,"",D24*E24)</f>
        <v/>
      </c>
    </row>
    <row r="25">
      <c r="A25" s="18" t="n">
        <v>10</v>
      </c>
      <c r="B25" s="17" t="n"/>
      <c r="C25" s="17" t="n"/>
      <c r="D25" s="19" t="n"/>
      <c r="E25" s="20" t="n"/>
      <c r="F25" s="3" t="n"/>
      <c r="G25" s="21">
        <f>IF(COUNT(D25,E25)&lt;2,"",D25*E25)</f>
        <v/>
      </c>
    </row>
    <row r="26">
      <c r="A26" s="18" t="n">
        <v>11</v>
      </c>
      <c r="B26" s="17" t="n"/>
      <c r="C26" s="17" t="n"/>
      <c r="D26" s="19" t="n"/>
      <c r="E26" s="20" t="n"/>
      <c r="F26" s="3" t="n"/>
      <c r="G26" s="21">
        <f>IF(COUNT(D26,E26)&lt;2,"",D26*E26)</f>
        <v/>
      </c>
    </row>
    <row r="27">
      <c r="A27" s="18" t="n">
        <v>12</v>
      </c>
      <c r="B27" s="17" t="n"/>
      <c r="C27" s="17" t="n"/>
      <c r="D27" s="19" t="n"/>
      <c r="E27" s="20" t="n"/>
      <c r="F27" s="3" t="n"/>
      <c r="G27" s="21">
        <f>IF(COUNT(D27,E27)&lt;2,"",D27*E27)</f>
        <v/>
      </c>
    </row>
    <row r="28">
      <c r="A28" s="18" t="n">
        <v>13</v>
      </c>
      <c r="B28" s="17" t="n"/>
      <c r="C28" s="17" t="n"/>
      <c r="D28" s="19" t="n"/>
      <c r="E28" s="20" t="n"/>
      <c r="F28" s="3" t="n"/>
      <c r="G28" s="21">
        <f>IF(COUNT(D28,E28)&lt;2,"",D28*E28)</f>
        <v/>
      </c>
    </row>
    <row r="29">
      <c r="A29" s="18" t="n">
        <v>14</v>
      </c>
      <c r="B29" s="17" t="n"/>
      <c r="C29" s="17" t="n"/>
      <c r="D29" s="19" t="n"/>
      <c r="E29" s="20" t="n"/>
      <c r="F29" s="3" t="n"/>
      <c r="G29" s="21">
        <f>IF(COUNT(D29,E29)&lt;2,"",D29*E29)</f>
        <v/>
      </c>
    </row>
    <row r="30">
      <c r="A30" s="18" t="n">
        <v>15</v>
      </c>
      <c r="B30" s="17" t="n"/>
      <c r="C30" s="17" t="n"/>
      <c r="D30" s="19" t="n"/>
      <c r="E30" s="20" t="n"/>
      <c r="F30" s="3" t="n"/>
      <c r="G30" s="21">
        <f>IF(COUNT(D30,E30)&lt;2,"",D30*E30)</f>
        <v/>
      </c>
    </row>
    <row r="31">
      <c r="A31" s="22" t="inlineStr"/>
      <c r="D31" s="23" t="inlineStr">
        <is>
          <t>小計</t>
        </is>
      </c>
      <c r="G31" s="24">
        <f>SUM(G16:G30)</f>
        <v/>
      </c>
    </row>
    <row r="32">
      <c r="A32" s="22" t="inlineStr"/>
      <c r="D32" s="23" t="inlineStr">
        <is>
          <t>サービス料(10%)</t>
        </is>
      </c>
      <c r="G32" s="24">
        <f>ROUND(G31*0.1,0)</f>
        <v/>
      </c>
    </row>
    <row r="33">
      <c r="A33" s="22" t="inlineStr"/>
      <c r="D33" s="23" t="inlineStr">
        <is>
          <t>消費税(10%)</t>
        </is>
      </c>
      <c r="G33" s="24">
        <f>ROUND((G31+G32)*0.1,0)</f>
        <v/>
      </c>
    </row>
    <row r="34">
      <c r="A34" s="22" t="inlineStr">
        <is>
          <t>※入湯税=150円×宿泊人数×泊数(手入力)</t>
        </is>
      </c>
      <c r="D34" s="23" t="inlineStr">
        <is>
          <t>入湯税</t>
        </is>
      </c>
      <c r="G34" s="25" t="n">
        <v>6000</v>
      </c>
    </row>
    <row r="35">
      <c r="A35" s="22" t="inlineStr">
        <is>
          <t>※値引きはマイナスで入力</t>
        </is>
      </c>
      <c r="D35" s="23" t="inlineStr">
        <is>
          <t>お値引き(マイナス入力)</t>
        </is>
      </c>
      <c r="G35" s="25" t="n">
        <v>-10000</v>
      </c>
    </row>
    <row r="36">
      <c r="A36" s="22" t="inlineStr"/>
      <c r="D36" s="13" t="inlineStr">
        <is>
          <t>御見積合計(税込)</t>
        </is>
      </c>
      <c r="G36" s="26">
        <f>G31+G32+G33+N(G34)+N(G35)</f>
        <v/>
      </c>
    </row>
    <row r="38">
      <c r="A38" s="13" t="inlineStr">
        <is>
          <t>備考</t>
        </is>
      </c>
      <c r="B38" s="27" t="inlineStr">
        <is>
          <t>アレルギー対応: 3名(甲殻類)/ キャンセル規定: 当社規定によります。</t>
        </is>
      </c>
    </row>
    <row r="39"/>
    <row r="40"/>
    <row r="42">
      <c r="A42" s="28" t="inlineStr">
        <is>
          <t>【使い方】黄色セル=入力欄 / 白セル=自動計算(触らない)。金額列・小計・税・合計は数式です。</t>
        </is>
      </c>
    </row>
    <row r="43">
      <c r="A43" s="28" t="inlineStr">
        <is>
          <t>サービス料率・消費税率を変える場合は該当行の数式内の 0.1 を修正。ロゴは【ロゴ】枠に画像を挿入。</t>
        </is>
      </c>
    </row>
  </sheetData>
  <mergeCells count="22">
    <mergeCell ref="A5:D5"/>
    <mergeCell ref="B11:D11"/>
    <mergeCell ref="A4:D4"/>
    <mergeCell ref="D32:F32"/>
    <mergeCell ref="B13:D13"/>
    <mergeCell ref="B38:G40"/>
    <mergeCell ref="B10:D10"/>
    <mergeCell ref="A33:C33"/>
    <mergeCell ref="A32:C32"/>
    <mergeCell ref="A35:C35"/>
    <mergeCell ref="B1:E2"/>
    <mergeCell ref="D33:F33"/>
    <mergeCell ref="F4:G5"/>
    <mergeCell ref="A6:D6"/>
    <mergeCell ref="A31:C31"/>
    <mergeCell ref="D35:F35"/>
    <mergeCell ref="A34:C34"/>
    <mergeCell ref="D34:F34"/>
    <mergeCell ref="A36:C36"/>
    <mergeCell ref="D31:F31"/>
    <mergeCell ref="D36:F36"/>
    <mergeCell ref="B12:D12"/>
  </mergeCells>
  <pageMargins left="0.5" right="0.5" top="0.6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2026-07-17T22:58:59Z</dcterms:created>
  <dcterms:modified xsi:type="dcterms:W3CDTF">2026-07-17T22:58:59Z</dcterms:modified>
</cp:coreProperties>
</file>