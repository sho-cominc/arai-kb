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見積書" sheetId="1" state="visible" r:id="rId3"/>
    <sheet name="記入例" sheetId="2" state="visible" r:id="rId4"/>
  </sheets>
  <definedNames>
    <definedName function="false" hidden="false" localSheetId="0" name="_xlnm.Print_Area" vbProcedure="false">見積書!$A$1:$G$40</definedName>
    <definedName function="false" hidden="false" localSheetId="1" name="_xlnm.Print_Area" vbProcedure="false">記入例!$A$1:$G$40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<sst xmlns="http://schemas.openxmlformats.org/spreadsheetml/2006/main" count="100" uniqueCount="64">
  <si>
    <t xml:space="preserve">御 見 積 書</t>
  </si>
  <si>
    <t xml:space="preserve">見積番号</t>
  </si>
  <si>
    <t xml:space="preserve">発行日</t>
  </si>
  <si>
    <t xml:space="preserve">ブロックコード</t>
  </si>
  <si>
    <r>
      <rPr>
        <b val="true"/>
        <sz val="12"/>
        <color rgb="FF000000"/>
        <rFont val="Yu Gothic"/>
        <family val="0"/>
        <charset val="1"/>
      </rPr>
      <t xml:space="preserve">(</t>
    </r>
    <r>
      <rPr>
        <b val="true"/>
        <sz val="12"/>
        <color rgb="FF000000"/>
        <rFont val="WenQuanYi Zen Hei"/>
        <family val="2"/>
      </rPr>
      <t xml:space="preserve">会社名</t>
    </r>
    <r>
      <rPr>
        <b val="true"/>
        <sz val="12"/>
        <color rgb="FF000000"/>
        <rFont val="Yu Gothic"/>
        <family val="0"/>
        <charset val="1"/>
      </rPr>
      <t xml:space="preserve">)  </t>
    </r>
    <r>
      <rPr>
        <b val="true"/>
        <sz val="12"/>
        <color rgb="FF000000"/>
        <rFont val="WenQuanYi Zen Hei"/>
        <family val="2"/>
      </rPr>
      <t xml:space="preserve">御中</t>
    </r>
  </si>
  <si>
    <t xml:space="preserve">【ロゴ】</t>
  </si>
  <si>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団体名</t>
    </r>
    <r>
      <rPr>
        <sz val="10"/>
        <color rgb="FF000000"/>
        <rFont val="Yu Gothic"/>
        <family val="0"/>
        <charset val="1"/>
      </rPr>
      <t xml:space="preserve">)</t>
    </r>
  </si>
  <si>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ツアー名</t>
    </r>
    <r>
      <rPr>
        <sz val="10"/>
        <color rgb="FF000000"/>
        <rFont val="Yu Gothic"/>
        <family val="0"/>
        <charset val="1"/>
      </rPr>
      <t xml:space="preserve">)</t>
    </r>
  </si>
  <si>
    <r>
      <rPr>
        <b val="true"/>
        <sz val="10"/>
        <color rgb="FF000000"/>
        <rFont val="Yu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ホテル名</t>
    </r>
    <r>
      <rPr>
        <b val="true"/>
        <sz val="10"/>
        <color rgb="FF000000"/>
        <rFont val="Yu Gothic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</si>
  <si>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ご担当</t>
    </r>
    <r>
      <rPr>
        <sz val="9"/>
        <color rgb="FF000000"/>
        <rFont val="Yu Gothic"/>
        <family val="0"/>
        <charset val="1"/>
      </rPr>
      <t xml:space="preserve">: (</t>
    </r>
    <r>
      <rPr>
        <sz val="9"/>
        <color rgb="FF000000"/>
        <rFont val="WenQuanYi Zen Hei"/>
        <family val="2"/>
      </rPr>
      <t xml:space="preserve">先方担当者</t>
    </r>
    <r>
      <rPr>
        <sz val="9"/>
        <color rgb="FF000000"/>
        <rFont val="Yu Gothic"/>
        <family val="0"/>
        <charset val="1"/>
      </rPr>
      <t xml:space="preserve">) </t>
    </r>
    <r>
      <rPr>
        <sz val="9"/>
        <color rgb="FF000000"/>
        <rFont val="WenQuanYi Zen Hei"/>
        <family val="2"/>
      </rPr>
      <t xml:space="preserve">様</t>
    </r>
  </si>
  <si>
    <r>
      <rPr>
        <sz val="8"/>
        <color rgb="FF000000"/>
        <rFont val="Yu Gothic"/>
        <family val="0"/>
        <charset val="1"/>
      </rPr>
      <t xml:space="preserve">(</t>
    </r>
    <r>
      <rPr>
        <sz val="8"/>
        <color rgb="FF000000"/>
        <rFont val="WenQuanYi Zen Hei"/>
        <family val="2"/>
      </rPr>
      <t xml:space="preserve">住所・</t>
    </r>
    <r>
      <rPr>
        <sz val="8"/>
        <color rgb="FF000000"/>
        <rFont val="Yu Gothic"/>
        <family val="0"/>
        <charset val="1"/>
      </rPr>
      <t xml:space="preserve">TEL)</t>
    </r>
  </si>
  <si>
    <t xml:space="preserve">下記のとおりお見積り申し上げます。</t>
  </si>
  <si>
    <r>
      <rPr>
        <sz val="8"/>
        <color rgb="FF000000"/>
        <rFont val="WenQuanYi Zen Hei"/>
        <family val="2"/>
      </rPr>
      <t xml:space="preserve">インボイス登録番号 </t>
    </r>
    <r>
      <rPr>
        <sz val="8"/>
        <color rgb="FF000000"/>
        <rFont val="Yu Gothic"/>
        <family val="0"/>
        <charset val="1"/>
      </rPr>
      <t xml:space="preserve">T</t>
    </r>
  </si>
  <si>
    <r>
      <rPr>
        <sz val="8"/>
        <color rgb="FF000000"/>
        <rFont val="WenQuanYi Zen Hei"/>
        <family val="2"/>
      </rPr>
      <t xml:space="preserve">担当</t>
    </r>
    <r>
      <rPr>
        <sz val="8"/>
        <color rgb="FF000000"/>
        <rFont val="Yu Gothic"/>
        <family val="0"/>
        <charset val="1"/>
      </rPr>
      <t xml:space="preserve">:</t>
    </r>
  </si>
  <si>
    <t xml:space="preserve">件名</t>
  </si>
  <si>
    <r>
      <rPr>
        <b val="true"/>
        <sz val="10"/>
        <color rgb="FF000000"/>
        <rFont val="WenQuanYi Zen Hei"/>
        <family val="2"/>
      </rPr>
      <t xml:space="preserve">御見積合計</t>
    </r>
    <r>
      <rPr>
        <b val="true"/>
        <sz val="10"/>
        <color rgb="FF000000"/>
        <rFont val="Yu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税込</t>
    </r>
    <r>
      <rPr>
        <b val="true"/>
        <sz val="10"/>
        <color rgb="FF000000"/>
        <rFont val="Yu Gothic"/>
        <family val="0"/>
        <charset val="1"/>
      </rPr>
      <t xml:space="preserve">)</t>
    </r>
  </si>
  <si>
    <t xml:space="preserve">ご利用期間</t>
  </si>
  <si>
    <t xml:space="preserve">ご利用人数</t>
  </si>
  <si>
    <t xml:space="preserve">お支払方法</t>
  </si>
  <si>
    <t xml:space="preserve">見積有効期限</t>
  </si>
  <si>
    <t xml:space="preserve">No.</t>
  </si>
  <si>
    <t xml:space="preserve">項目</t>
  </si>
  <si>
    <t xml:space="preserve">内容</t>
  </si>
  <si>
    <t xml:space="preserve">単価</t>
  </si>
  <si>
    <t xml:space="preserve">数量</t>
  </si>
  <si>
    <t xml:space="preserve">単位</t>
  </si>
  <si>
    <t xml:space="preserve">金額</t>
  </si>
  <si>
    <t xml:space="preserve">小計</t>
  </si>
  <si>
    <r>
      <rPr>
        <sz val="9"/>
        <color rgb="FF000000"/>
        <rFont val="WenQuanYi Zen Hei"/>
        <family val="2"/>
      </rPr>
      <t xml:space="preserve">サービス料</t>
    </r>
    <r>
      <rPr>
        <sz val="9"/>
        <color rgb="FF000000"/>
        <rFont val="Yu Gothic"/>
        <family val="0"/>
        <charset val="1"/>
      </rPr>
      <t xml:space="preserve">(10%)</t>
    </r>
  </si>
  <si>
    <r>
      <rPr>
        <sz val="9"/>
        <color rgb="FF000000"/>
        <rFont val="WenQuanYi Zen Hei"/>
        <family val="2"/>
      </rPr>
      <t xml:space="preserve">消費税</t>
    </r>
    <r>
      <rPr>
        <sz val="9"/>
        <color rgb="FF000000"/>
        <rFont val="Yu Gothic"/>
        <family val="0"/>
        <charset val="1"/>
      </rPr>
      <t xml:space="preserve">(10%)</t>
    </r>
  </si>
  <si>
    <r>
      <rPr>
        <sz val="8"/>
        <color rgb="FF888888"/>
        <rFont val="WenQuanYi Zen Hei"/>
        <family val="2"/>
      </rPr>
      <t xml:space="preserve">※入湯税</t>
    </r>
    <r>
      <rPr>
        <sz val="8"/>
        <color rgb="FF888888"/>
        <rFont val="Yu Gothic"/>
        <family val="0"/>
        <charset val="1"/>
      </rPr>
      <t xml:space="preserve">=150</t>
    </r>
    <r>
      <rPr>
        <sz val="8"/>
        <color rgb="FF888888"/>
        <rFont val="WenQuanYi Zen Hei"/>
        <family val="2"/>
      </rPr>
      <t xml:space="preserve">円</t>
    </r>
    <r>
      <rPr>
        <sz val="8"/>
        <color rgb="FF888888"/>
        <rFont val="Yu Gothic"/>
        <family val="0"/>
        <charset val="1"/>
      </rPr>
      <t xml:space="preserve">×</t>
    </r>
    <r>
      <rPr>
        <sz val="8"/>
        <color rgb="FF888888"/>
        <rFont val="WenQuanYi Zen Hei"/>
        <family val="2"/>
      </rPr>
      <t xml:space="preserve">宿泊人数</t>
    </r>
    <r>
      <rPr>
        <sz val="8"/>
        <color rgb="FF888888"/>
        <rFont val="Yu Gothic"/>
        <family val="0"/>
        <charset val="1"/>
      </rPr>
      <t xml:space="preserve">×</t>
    </r>
    <r>
      <rPr>
        <sz val="8"/>
        <color rgb="FF888888"/>
        <rFont val="WenQuanYi Zen Hei"/>
        <family val="2"/>
      </rPr>
      <t xml:space="preserve">泊数</t>
    </r>
    <r>
      <rPr>
        <sz val="8"/>
        <color rgb="FF888888"/>
        <rFont val="Yu Gothic"/>
        <family val="0"/>
        <charset val="1"/>
      </rPr>
      <t xml:space="preserve">(</t>
    </r>
    <r>
      <rPr>
        <sz val="8"/>
        <color rgb="FF888888"/>
        <rFont val="WenQuanYi Zen Hei"/>
        <family val="2"/>
      </rPr>
      <t xml:space="preserve">手入力</t>
    </r>
    <r>
      <rPr>
        <sz val="8"/>
        <color rgb="FF888888"/>
        <rFont val="Yu Gothic"/>
        <family val="0"/>
        <charset val="1"/>
      </rPr>
      <t xml:space="preserve">)</t>
    </r>
  </si>
  <si>
    <t xml:space="preserve">入湯税</t>
  </si>
  <si>
    <t xml:space="preserve">※値引きはマイナスで入力</t>
  </si>
  <si>
    <r>
      <rPr>
        <sz val="9"/>
        <color rgb="FF000000"/>
        <rFont val="WenQuanYi Zen Hei"/>
        <family val="2"/>
      </rPr>
      <t xml:space="preserve">お値引き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マイナス入力</t>
    </r>
    <r>
      <rPr>
        <sz val="9"/>
        <color rgb="FF000000"/>
        <rFont val="Yu Gothic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</si>
  <si>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御見積合計</t>
    </r>
    <r>
      <rPr>
        <b val="true"/>
        <sz val="9"/>
        <color rgb="FF000000"/>
        <rFont val="Yu Gothic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税込</t>
    </r>
    <r>
      <rPr>
        <b val="true"/>
        <sz val="9"/>
        <color rgb="FF000000"/>
        <rFont val="Yu Gothic"/>
        <family val="0"/>
        <charset val="1"/>
      </rPr>
      <t xml:space="preserve">)</t>
    </r>
  </si>
  <si>
    <t xml:space="preserve">備考</t>
  </si>
  <si>
    <r>
      <rPr>
        <sz val="8"/>
        <color rgb="FF666666"/>
        <rFont val="WenQuanYi Zen Hei"/>
        <family val="2"/>
      </rPr>
      <t xml:space="preserve">【使い方】黄色セル</t>
    </r>
    <r>
      <rPr>
        <sz val="8"/>
        <color rgb="FF666666"/>
        <rFont val="Yu Gothic"/>
        <family val="0"/>
        <charset val="1"/>
      </rPr>
      <t xml:space="preserve">=</t>
    </r>
    <r>
      <rPr>
        <sz val="8"/>
        <color rgb="FF666666"/>
        <rFont val="WenQuanYi Zen Hei"/>
        <family val="2"/>
      </rPr>
      <t xml:space="preserve">入力欄 </t>
    </r>
    <r>
      <rPr>
        <sz val="8"/>
        <color rgb="FF666666"/>
        <rFont val="Yu Gothic"/>
        <family val="0"/>
        <charset val="1"/>
      </rPr>
      <t xml:space="preserve">/ </t>
    </r>
    <r>
      <rPr>
        <sz val="8"/>
        <color rgb="FF666666"/>
        <rFont val="WenQuanYi Zen Hei"/>
        <family val="2"/>
      </rPr>
      <t xml:space="preserve">白セル</t>
    </r>
    <r>
      <rPr>
        <sz val="8"/>
        <color rgb="FF666666"/>
        <rFont val="Yu Gothic"/>
        <family val="0"/>
        <charset val="1"/>
      </rPr>
      <t xml:space="preserve">=</t>
    </r>
    <r>
      <rPr>
        <sz val="8"/>
        <color rgb="FF666666"/>
        <rFont val="WenQuanYi Zen Hei"/>
        <family val="2"/>
      </rPr>
      <t xml:space="preserve">自動計算</t>
    </r>
    <r>
      <rPr>
        <sz val="8"/>
        <color rgb="FF666666"/>
        <rFont val="Yu Gothic"/>
        <family val="0"/>
        <charset val="1"/>
      </rPr>
      <t xml:space="preserve">(</t>
    </r>
    <r>
      <rPr>
        <sz val="8"/>
        <color rgb="FF666666"/>
        <rFont val="WenQuanYi Zen Hei"/>
        <family val="2"/>
      </rPr>
      <t xml:space="preserve">触らない</t>
    </r>
    <r>
      <rPr>
        <sz val="8"/>
        <color rgb="FF666666"/>
        <rFont val="Yu Gothic"/>
        <family val="0"/>
        <charset val="1"/>
      </rPr>
      <t xml:space="preserve">)</t>
    </r>
    <r>
      <rPr>
        <sz val="8"/>
        <color rgb="FF666666"/>
        <rFont val="WenQuanYi Zen Hei"/>
        <family val="2"/>
      </rPr>
      <t xml:space="preserve">。金額列・小計・税・合計は数式です。</t>
    </r>
  </si>
  <si>
    <r>
      <rPr>
        <sz val="8"/>
        <color rgb="FF666666"/>
        <rFont val="WenQuanYi Zen Hei"/>
        <family val="2"/>
      </rPr>
      <t xml:space="preserve">サービス料率・消費税率を変える場合は該当行の数式内の </t>
    </r>
    <r>
      <rPr>
        <sz val="8"/>
        <color rgb="FF666666"/>
        <rFont val="Yu Gothic"/>
        <family val="0"/>
        <charset val="1"/>
      </rPr>
      <t xml:space="preserve">0.1 </t>
    </r>
    <r>
      <rPr>
        <sz val="8"/>
        <color rgb="FF666666"/>
        <rFont val="WenQuanYi Zen Hei"/>
        <family val="2"/>
      </rPr>
      <t xml:space="preserve">を修正。ロゴは【ロゴ】枠に画像を挿入。</t>
    </r>
  </si>
  <si>
    <r>
      <rPr>
        <sz val="8"/>
        <color rgb="FF666666"/>
        <rFont val="WenQuanYi Zen Hei"/>
        <family val="2"/>
      </rPr>
      <t xml:space="preserve">会社名</t>
    </r>
    <r>
      <rPr>
        <sz val="8"/>
        <color rgb="FF666666"/>
        <rFont val="Yu Gothic"/>
        <family val="0"/>
        <charset val="1"/>
      </rPr>
      <t xml:space="preserve">/</t>
    </r>
    <r>
      <rPr>
        <sz val="8"/>
        <color rgb="FF666666"/>
        <rFont val="WenQuanYi Zen Hei"/>
        <family val="2"/>
      </rPr>
      <t xml:space="preserve">団体名</t>
    </r>
    <r>
      <rPr>
        <sz val="8"/>
        <color rgb="FF666666"/>
        <rFont val="Yu Gothic"/>
        <family val="0"/>
        <charset val="1"/>
      </rPr>
      <t xml:space="preserve">/</t>
    </r>
    <r>
      <rPr>
        <sz val="8"/>
        <color rgb="FF666666"/>
        <rFont val="WenQuanYi Zen Hei"/>
        <family val="2"/>
      </rPr>
      <t xml:space="preserve">ツアー名</t>
    </r>
    <r>
      <rPr>
        <sz val="8"/>
        <color rgb="FF666666"/>
        <rFont val="Yu Gothic"/>
        <family val="0"/>
        <charset val="1"/>
      </rPr>
      <t xml:space="preserve">(4</t>
    </r>
    <r>
      <rPr>
        <sz val="8"/>
        <color rgb="FF666666"/>
        <rFont val="WenQuanYi Zen Hei"/>
        <family val="2"/>
      </rPr>
      <t xml:space="preserve">〜</t>
    </r>
    <r>
      <rPr>
        <sz val="8"/>
        <color rgb="FF666666"/>
        <rFont val="Yu Gothic"/>
        <family val="0"/>
        <charset val="1"/>
      </rPr>
      <t xml:space="preserve">6</t>
    </r>
    <r>
      <rPr>
        <sz val="8"/>
        <color rgb="FF666666"/>
        <rFont val="WenQuanYi Zen Hei"/>
        <family val="2"/>
      </rPr>
      <t xml:space="preserve">行目</t>
    </r>
    <r>
      <rPr>
        <sz val="8"/>
        <color rgb="FF666666"/>
        <rFont val="Yu Gothic"/>
        <family val="0"/>
        <charset val="1"/>
      </rPr>
      <t xml:space="preserve">)</t>
    </r>
    <r>
      <rPr>
        <sz val="8"/>
        <color rgb="FF666666"/>
        <rFont val="WenQuanYi Zen Hei"/>
        <family val="2"/>
      </rPr>
      <t xml:space="preserve">で使わない行は、行番号を右クリック→「非表示」にしてから印刷すると空欄が出ません。</t>
    </r>
  </si>
  <si>
    <t xml:space="preserve">Q-2026-0001</t>
  </si>
  <si>
    <t xml:space="preserve">2026/7/17</t>
  </si>
  <si>
    <t xml:space="preserve">0815TANA01</t>
  </si>
  <si>
    <t xml:space="preserve">田中産業株式会社  御中</t>
  </si>
  <si>
    <t xml:space="preserve">田中産業 親睦会ご一行様</t>
  </si>
  <si>
    <r>
      <rPr>
        <sz val="10"/>
        <color rgb="FF000000"/>
        <rFont val="Yu Gothic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年度 社員親睦旅行「妙高高原の旅」</t>
    </r>
  </si>
  <si>
    <r>
      <rPr>
        <sz val="9"/>
        <color rgb="FF000000"/>
        <rFont val="WenQuanYi Zen Hei"/>
        <family val="2"/>
      </rPr>
      <t xml:space="preserve">ご担当</t>
    </r>
    <r>
      <rPr>
        <sz val="9"/>
        <color rgb="FF000000"/>
        <rFont val="Yu Gothic"/>
        <family val="0"/>
        <charset val="1"/>
      </rPr>
      <t xml:space="preserve">: </t>
    </r>
    <r>
      <rPr>
        <sz val="9"/>
        <color rgb="FF000000"/>
        <rFont val="WenQuanYi Zen Hei"/>
        <family val="2"/>
      </rPr>
      <t xml:space="preserve">田中 一郎 様</t>
    </r>
  </si>
  <si>
    <r>
      <rPr>
        <sz val="8"/>
        <color rgb="FF000000"/>
        <rFont val="WenQuanYi Zen Hei"/>
        <family val="2"/>
      </rPr>
      <t xml:space="preserve">インボイス登録番号 </t>
    </r>
    <r>
      <rPr>
        <sz val="8"/>
        <color rgb="FF000000"/>
        <rFont val="Yu Gothic"/>
        <family val="0"/>
        <charset val="1"/>
      </rPr>
      <t xml:space="preserve">T0000000000000</t>
    </r>
  </si>
  <si>
    <t xml:space="preserve">清水 祥太郎</t>
  </si>
  <si>
    <t xml:space="preserve">田中産業株式会社様 ご宴会・ご宿泊</t>
  </si>
  <si>
    <r>
      <rPr>
        <sz val="10"/>
        <color rgb="FF000000"/>
        <rFont val="Yu Gothic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Yu Gothic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日</t>
    </r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土</t>
    </r>
    <r>
      <rPr>
        <sz val="10"/>
        <color rgb="FF000000"/>
        <rFont val="Yu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日</t>
    </r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日</t>
    </r>
    <r>
      <rPr>
        <sz val="10"/>
        <color rgb="FF000000"/>
        <rFont val="Yu Gothic"/>
        <family val="0"/>
        <charset val="1"/>
      </rPr>
      <t xml:space="preserve">) 1</t>
    </r>
    <r>
      <rPr>
        <sz val="10"/>
        <color rgb="FF000000"/>
        <rFont val="WenQuanYi Zen Hei"/>
        <family val="2"/>
      </rPr>
      <t xml:space="preserve">泊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</si>
  <si>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Yu Gothic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名</t>
    </r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大人</t>
    </r>
    <r>
      <rPr>
        <sz val="10"/>
        <color rgb="FF000000"/>
        <rFont val="Yu Gothic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名</t>
    </r>
    <r>
      <rPr>
        <sz val="10"/>
        <color rgb="FF000000"/>
        <rFont val="Yu Gothic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</si>
  <si>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後日振込</t>
    </r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実施後</t>
    </r>
    <r>
      <rPr>
        <sz val="10"/>
        <color rgb="FF000000"/>
        <rFont val="Yu Gothic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日以内</t>
    </r>
    <r>
      <rPr>
        <sz val="10"/>
        <color rgb="FF000000"/>
        <rFont val="Yu Gothic"/>
        <family val="0"/>
        <charset val="1"/>
      </rPr>
      <t xml:space="preserve">)</t>
    </r>
  </si>
  <si>
    <t xml:space="preserve">2026/8/1</t>
  </si>
  <si>
    <t xml:space="preserve">宿泊</t>
  </si>
  <si>
    <r>
      <rPr>
        <sz val="9"/>
        <color rgb="FF000000"/>
        <rFont val="Yu Gothic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泊</t>
    </r>
    <r>
      <rPr>
        <sz val="9"/>
        <color rgb="FF000000"/>
        <rFont val="Yu Gothic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食付プラン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和室</t>
    </r>
    <r>
      <rPr>
        <sz val="9"/>
        <color rgb="FF000000"/>
        <rFont val="Yu Gothic"/>
        <family val="0"/>
        <charset val="1"/>
      </rPr>
      <t xml:space="preserve">)</t>
    </r>
  </si>
  <si>
    <t xml:space="preserve">名</t>
  </si>
  <si>
    <t xml:space="preserve">宴会</t>
  </si>
  <si>
    <r>
      <rPr>
        <sz val="9"/>
        <color rgb="FF000000"/>
        <rFont val="WenQuanYi Zen Hei"/>
        <family val="2"/>
      </rPr>
      <t xml:space="preserve">宴会場使用料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鶴の間 </t>
    </r>
    <r>
      <rPr>
        <sz val="9"/>
        <color rgb="FF000000"/>
        <rFont val="Yu Gothic"/>
        <family val="0"/>
        <charset val="1"/>
      </rPr>
      <t xml:space="preserve">18:00-20:00)</t>
    </r>
  </si>
  <si>
    <t xml:space="preserve">式</t>
  </si>
  <si>
    <r>
      <rPr>
        <sz val="9"/>
        <color rgb="FF000000"/>
        <rFont val="WenQuanYi Zen Hei"/>
        <family val="2"/>
      </rPr>
      <t xml:space="preserve">飲み放題プラン </t>
    </r>
    <r>
      <rPr>
        <sz val="9"/>
        <color rgb="FF000000"/>
        <rFont val="Yu Gothic"/>
        <family val="0"/>
        <charset val="1"/>
      </rPr>
      <t xml:space="preserve">90</t>
    </r>
    <r>
      <rPr>
        <sz val="9"/>
        <color rgb="FF000000"/>
        <rFont val="WenQuanYi Zen Hei"/>
        <family val="2"/>
      </rPr>
      <t xml:space="preserve">分</t>
    </r>
  </si>
  <si>
    <t xml:space="preserve">送迎</t>
  </si>
  <si>
    <r>
      <rPr>
        <sz val="9"/>
        <color rgb="FF000000"/>
        <rFont val="WenQuanYi Zen Hei"/>
        <family val="2"/>
      </rPr>
      <t xml:space="preserve">貸切バス送迎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上越妙高駅⇔ホテル 往復</t>
    </r>
    <r>
      <rPr>
        <sz val="9"/>
        <color rgb="FF000000"/>
        <rFont val="Yu Gothic"/>
        <family val="0"/>
        <charset val="1"/>
      </rPr>
      <t xml:space="preserve">)</t>
    </r>
  </si>
  <si>
    <t xml:space="preserve">台</t>
  </si>
  <si>
    <r>
      <rPr>
        <sz val="9"/>
        <color rgb="FF000000"/>
        <rFont val="WenQuanYi Zen Hei"/>
        <family val="2"/>
      </rPr>
      <t xml:space="preserve">アレルギー対応</t>
    </r>
    <r>
      <rPr>
        <sz val="9"/>
        <color rgb="FF000000"/>
        <rFont val="Yu Gothic"/>
        <family val="0"/>
        <charset val="1"/>
      </rPr>
      <t xml:space="preserve">: 3</t>
    </r>
    <r>
      <rPr>
        <sz val="9"/>
        <color rgb="FF000000"/>
        <rFont val="WenQuanYi Zen Hei"/>
        <family val="2"/>
      </rPr>
      <t xml:space="preserve">名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甲殻類</t>
    </r>
    <r>
      <rPr>
        <sz val="9"/>
        <color rgb="FF000000"/>
        <rFont val="Yu Gothic"/>
        <family val="0"/>
        <charset val="1"/>
      </rPr>
      <t xml:space="preserve">)/ </t>
    </r>
    <r>
      <rPr>
        <sz val="9"/>
        <color rgb="FF000000"/>
        <rFont val="WenQuanYi Zen Hei"/>
        <family val="2"/>
      </rPr>
      <t xml:space="preserve">キャンセル規定</t>
    </r>
    <r>
      <rPr>
        <sz val="9"/>
        <color rgb="FF000000"/>
        <rFont val="Yu Gothic"/>
        <family val="0"/>
        <charset val="1"/>
      </rPr>
      <t xml:space="preserve">: </t>
    </r>
    <r>
      <rPr>
        <sz val="9"/>
        <color rgb="FF000000"/>
        <rFont val="WenQuanYi Zen Hei"/>
        <family val="2"/>
      </rPr>
      <t xml:space="preserve">当社規定によります。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</si>
</sst>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/d"/>
    <numFmt numFmtId="166" formatCode="\¥#,##0"/>
    <numFmt numFmtId="167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WenQuanYi Zen Hei"/>
      <family val="2"/>
    </font>
    <font>
      <sz val="9"/>
      <color rgb="FF000000"/>
      <name val="WenQuanYi Zen Hei"/>
      <family val="2"/>
    </font>
    <font>
      <sz val="9"/>
      <color rgb="FF000000"/>
      <name val="Yu Gothic"/>
      <family val="0"/>
      <charset val="1"/>
    </font>
    <font>
      <b val="true"/>
      <sz val="12"/>
      <color rgb="FF000000"/>
      <name val="Yu Gothic"/>
      <family val="0"/>
      <charset val="1"/>
    </font>
    <font>
      <b val="true"/>
      <sz val="12"/>
      <color rgb="FF000000"/>
      <name val="WenQuanYi Zen Hei"/>
      <family val="2"/>
    </font>
    <font>
      <sz val="9"/>
      <color rgb="FFAAAAAA"/>
      <name val="WenQuanYi Zen Hei"/>
      <family val="2"/>
    </font>
    <font>
      <sz val="10"/>
      <color rgb="FF000000"/>
      <name val="Yu Gothic"/>
      <family val="0"/>
      <charset val="1"/>
    </font>
    <font>
      <sz val="10"/>
      <color rgb="FF000000"/>
      <name val="WenQuanYi Zen Hei"/>
      <family val="2"/>
    </font>
    <font>
      <b val="true"/>
      <sz val="10"/>
      <color rgb="FF000000"/>
      <name val="Yu Gothic"/>
      <family val="0"/>
      <charset val="1"/>
    </font>
    <font>
      <b val="true"/>
      <sz val="10"/>
      <color rgb="FF000000"/>
      <name val="WenQuanYi Zen Hei"/>
      <family val="2"/>
    </font>
    <font>
      <sz val="8"/>
      <color rgb="FF000000"/>
      <name val="Yu Gothic"/>
      <family val="0"/>
      <charset val="1"/>
    </font>
    <font>
      <sz val="8"/>
      <color rgb="FF000000"/>
      <name val="WenQuanYi Zen Hei"/>
      <family val="2"/>
    </font>
    <font>
      <b val="true"/>
      <sz val="9"/>
      <color rgb="FF000000"/>
      <name val="WenQuanYi Zen Hei"/>
      <family val="2"/>
    </font>
    <font>
      <b val="true"/>
      <sz val="14"/>
      <color rgb="FF000000"/>
      <name val="Yu Gothic"/>
      <family val="0"/>
      <charset val="1"/>
    </font>
    <font>
      <b val="true"/>
      <sz val="9"/>
      <color rgb="FF000000"/>
      <name val="Yu Gothic"/>
      <family val="0"/>
      <charset val="1"/>
    </font>
    <font>
      <sz val="8"/>
      <color rgb="FF888888"/>
      <name val="Yu Gothic"/>
      <family val="0"/>
      <charset val="1"/>
    </font>
    <font>
      <sz val="8"/>
      <color rgb="FF888888"/>
      <name val="WenQuanYi Zen Hei"/>
      <family val="2"/>
    </font>
    <font>
      <b val="true"/>
      <sz val="11"/>
      <color rgb="FF000000"/>
      <name val="Yu Gothic"/>
      <family val="0"/>
      <charset val="1"/>
    </font>
    <font>
      <sz val="8"/>
      <color rgb="FF666666"/>
      <name val="WenQuanYi Zen Hei"/>
      <family val="2"/>
    </font>
    <font>
      <sz val="8"/>
      <color rgb="FF666666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F5F0E8"/>
      </patternFill>
    </fill>
    <fill>
      <patternFill patternType="solid">
        <fgColor rgb="FFF5F0E8"/>
        <bgColor rgb="FFEFEFEF"/>
      </patternFill>
    </fill>
    <fill>
      <patternFill patternType="solid">
        <fgColor rgb="FFEFEFEF"/>
        <bgColor rgb="FFF5F0E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0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88888"/>
      <rgbColor rgb="FF9999FF"/>
      <rgbColor rgb="FF993366"/>
      <rgbColor rgb="FFFFF7C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6" min="5" style="0" width="7"/>
    <col collapsed="false" customWidth="true" hidden="false" outlineLevel="0" max="7" min="7" style="0" width="13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2" t="s">
        <v>1</v>
      </c>
      <c r="G1" s="3"/>
    </row>
    <row r="2" customFormat="false" ht="15" hidden="false" customHeight="false" outlineLevel="0" collapsed="false">
      <c r="B2" s="1"/>
      <c r="C2" s="1"/>
      <c r="D2" s="1"/>
      <c r="E2" s="1"/>
      <c r="F2" s="2" t="s">
        <v>2</v>
      </c>
      <c r="G2" s="4"/>
    </row>
    <row r="3" customFormat="false" ht="15" hidden="false" customHeight="false" outlineLevel="0" collapsed="false">
      <c r="F3" s="2" t="s">
        <v>3</v>
      </c>
      <c r="G3" s="3"/>
    </row>
    <row r="4" customFormat="false" ht="16.4" hidden="false" customHeight="false" outlineLevel="0" collapsed="false">
      <c r="A4" s="5" t="s">
        <v>4</v>
      </c>
      <c r="B4" s="5"/>
      <c r="C4" s="5"/>
      <c r="D4" s="5"/>
      <c r="F4" s="6" t="s">
        <v>5</v>
      </c>
      <c r="G4" s="6"/>
    </row>
    <row r="5" customFormat="false" ht="15" hidden="false" customHeight="false" outlineLevel="0" collapsed="false">
      <c r="A5" s="7" t="s">
        <v>6</v>
      </c>
      <c r="B5" s="7"/>
      <c r="C5" s="7"/>
      <c r="D5" s="7"/>
      <c r="F5" s="6"/>
      <c r="G5" s="6"/>
    </row>
    <row r="6" customFormat="false" ht="15" hidden="false" customHeight="false" outlineLevel="0" collapsed="false">
      <c r="A6" s="7" t="s">
        <v>7</v>
      </c>
      <c r="B6" s="7"/>
      <c r="C6" s="7"/>
      <c r="D6" s="7"/>
      <c r="F6" s="8" t="s">
        <v>8</v>
      </c>
      <c r="G6" s="8"/>
    </row>
    <row r="7" customFormat="false" ht="15" hidden="false" customHeight="false" outlineLevel="0" collapsed="false">
      <c r="A7" s="9" t="s">
        <v>9</v>
      </c>
      <c r="B7" s="9"/>
      <c r="C7" s="9"/>
      <c r="D7" s="9"/>
      <c r="F7" s="10" t="s">
        <v>10</v>
      </c>
      <c r="G7" s="10"/>
    </row>
    <row r="8" customFormat="false" ht="15" hidden="false" customHeight="false" outlineLevel="0" collapsed="false">
      <c r="A8" s="11" t="s">
        <v>11</v>
      </c>
      <c r="B8" s="11"/>
      <c r="C8" s="11"/>
      <c r="D8" s="11"/>
      <c r="F8" s="12" t="s">
        <v>12</v>
      </c>
      <c r="G8" s="12"/>
    </row>
    <row r="9" customFormat="false" ht="15" hidden="false" customHeight="false" outlineLevel="0" collapsed="false">
      <c r="F9" s="13" t="s">
        <v>13</v>
      </c>
      <c r="G9" s="14"/>
    </row>
    <row r="10" customFormat="false" ht="15" hidden="false" customHeight="false" outlineLevel="0" collapsed="false">
      <c r="A10" s="15" t="s">
        <v>14</v>
      </c>
      <c r="B10" s="15"/>
      <c r="C10" s="16"/>
      <c r="D10" s="16"/>
      <c r="E10" s="16"/>
      <c r="F10" s="17" t="s">
        <v>15</v>
      </c>
      <c r="G10" s="17"/>
    </row>
    <row r="11" customFormat="false" ht="24" hidden="false" customHeight="true" outlineLevel="0" collapsed="false">
      <c r="A11" s="15" t="s">
        <v>16</v>
      </c>
      <c r="B11" s="15"/>
      <c r="C11" s="16"/>
      <c r="D11" s="16"/>
      <c r="E11" s="16"/>
      <c r="F11" s="18" t="n">
        <f aca="false">G36</f>
        <v>0</v>
      </c>
      <c r="G11" s="18"/>
    </row>
    <row r="12" customFormat="false" ht="15" hidden="false" customHeight="false" outlineLevel="0" collapsed="false">
      <c r="A12" s="15" t="s">
        <v>17</v>
      </c>
      <c r="B12" s="15"/>
      <c r="C12" s="16"/>
      <c r="D12" s="16"/>
      <c r="E12" s="16"/>
    </row>
    <row r="13" customFormat="false" ht="15" hidden="false" customHeight="false" outlineLevel="0" collapsed="false">
      <c r="A13" s="15" t="s">
        <v>18</v>
      </c>
      <c r="B13" s="15"/>
      <c r="C13" s="16"/>
      <c r="D13" s="16"/>
      <c r="E13" s="16"/>
      <c r="F13" s="15" t="s">
        <v>19</v>
      </c>
      <c r="G13" s="15"/>
    </row>
    <row r="14" customFormat="false" ht="15" hidden="false" customHeight="false" outlineLevel="0" collapsed="false">
      <c r="F14" s="19"/>
      <c r="G14" s="19"/>
    </row>
    <row r="15" customFormat="false" ht="15" hidden="false" customHeight="false" outlineLevel="0" collapsed="false">
      <c r="A15" s="20" t="s">
        <v>20</v>
      </c>
      <c r="B15" s="21" t="s">
        <v>21</v>
      </c>
      <c r="C15" s="21" t="s">
        <v>22</v>
      </c>
      <c r="D15" s="21" t="s">
        <v>23</v>
      </c>
      <c r="E15" s="21" t="s">
        <v>24</v>
      </c>
      <c r="F15" s="21" t="s">
        <v>25</v>
      </c>
      <c r="G15" s="21" t="s">
        <v>26</v>
      </c>
    </row>
    <row r="16" customFormat="false" ht="15" hidden="false" customHeight="false" outlineLevel="0" collapsed="false">
      <c r="A16" s="22" t="n">
        <v>1</v>
      </c>
      <c r="B16" s="23"/>
      <c r="C16" s="23"/>
      <c r="D16" s="24"/>
      <c r="E16" s="25"/>
      <c r="F16" s="3"/>
      <c r="G16" s="26" t="str">
        <f aca="false">IF(COUNT(D16,E16)&lt;2,"",D16*E16)</f>
        <v/>
      </c>
    </row>
    <row r="17" customFormat="false" ht="15" hidden="false" customHeight="false" outlineLevel="0" collapsed="false">
      <c r="A17" s="22" t="n">
        <v>2</v>
      </c>
      <c r="B17" s="23"/>
      <c r="C17" s="23"/>
      <c r="D17" s="24"/>
      <c r="E17" s="25"/>
      <c r="F17" s="3"/>
      <c r="G17" s="26" t="str">
        <f aca="false">IF(COUNT(D17,E17)&lt;2,"",D17*E17)</f>
        <v/>
      </c>
    </row>
    <row r="18" customFormat="false" ht="15" hidden="false" customHeight="false" outlineLevel="0" collapsed="false">
      <c r="A18" s="22" t="n">
        <v>3</v>
      </c>
      <c r="B18" s="23"/>
      <c r="C18" s="23"/>
      <c r="D18" s="24"/>
      <c r="E18" s="25"/>
      <c r="F18" s="3"/>
      <c r="G18" s="26" t="str">
        <f aca="false">IF(COUNT(D18,E18)&lt;2,"",D18*E18)</f>
        <v/>
      </c>
    </row>
    <row r="19" customFormat="false" ht="15" hidden="false" customHeight="false" outlineLevel="0" collapsed="false">
      <c r="A19" s="22" t="n">
        <v>4</v>
      </c>
      <c r="B19" s="23"/>
      <c r="C19" s="23"/>
      <c r="D19" s="24"/>
      <c r="E19" s="25"/>
      <c r="F19" s="3"/>
      <c r="G19" s="26" t="str">
        <f aca="false">IF(COUNT(D19,E19)&lt;2,"",D19*E19)</f>
        <v/>
      </c>
    </row>
    <row r="20" customFormat="false" ht="15" hidden="false" customHeight="false" outlineLevel="0" collapsed="false">
      <c r="A20" s="22" t="n">
        <v>5</v>
      </c>
      <c r="B20" s="23"/>
      <c r="C20" s="23"/>
      <c r="D20" s="24"/>
      <c r="E20" s="25"/>
      <c r="F20" s="3"/>
      <c r="G20" s="26" t="str">
        <f aca="false">IF(COUNT(D20,E20)&lt;2,"",D20*E20)</f>
        <v/>
      </c>
    </row>
    <row r="21" customFormat="false" ht="15" hidden="false" customHeight="false" outlineLevel="0" collapsed="false">
      <c r="A21" s="22" t="n">
        <v>6</v>
      </c>
      <c r="B21" s="23"/>
      <c r="C21" s="23"/>
      <c r="D21" s="24"/>
      <c r="E21" s="25"/>
      <c r="F21" s="3"/>
      <c r="G21" s="26" t="str">
        <f aca="false">IF(COUNT(D21,E21)&lt;2,"",D21*E21)</f>
        <v/>
      </c>
    </row>
    <row r="22" customFormat="false" ht="15" hidden="false" customHeight="false" outlineLevel="0" collapsed="false">
      <c r="A22" s="22" t="n">
        <v>7</v>
      </c>
      <c r="B22" s="23"/>
      <c r="C22" s="23"/>
      <c r="D22" s="24"/>
      <c r="E22" s="25"/>
      <c r="F22" s="3"/>
      <c r="G22" s="26" t="str">
        <f aca="false">IF(COUNT(D22,E22)&lt;2,"",D22*E22)</f>
        <v/>
      </c>
    </row>
    <row r="23" customFormat="false" ht="15" hidden="false" customHeight="false" outlineLevel="0" collapsed="false">
      <c r="A23" s="22" t="n">
        <v>8</v>
      </c>
      <c r="B23" s="23"/>
      <c r="C23" s="23"/>
      <c r="D23" s="24"/>
      <c r="E23" s="25"/>
      <c r="F23" s="3"/>
      <c r="G23" s="26" t="str">
        <f aca="false">IF(COUNT(D23,E23)&lt;2,"",D23*E23)</f>
        <v/>
      </c>
    </row>
    <row r="24" customFormat="false" ht="15" hidden="false" customHeight="false" outlineLevel="0" collapsed="false">
      <c r="A24" s="22" t="n">
        <v>9</v>
      </c>
      <c r="B24" s="23"/>
      <c r="C24" s="23"/>
      <c r="D24" s="24"/>
      <c r="E24" s="25"/>
      <c r="F24" s="3"/>
      <c r="G24" s="26" t="str">
        <f aca="false">IF(COUNT(D24,E24)&lt;2,"",D24*E24)</f>
        <v/>
      </c>
    </row>
    <row r="25" customFormat="false" ht="15" hidden="false" customHeight="false" outlineLevel="0" collapsed="false">
      <c r="A25" s="22" t="n">
        <v>10</v>
      </c>
      <c r="B25" s="23"/>
      <c r="C25" s="23"/>
      <c r="D25" s="24"/>
      <c r="E25" s="25"/>
      <c r="F25" s="3"/>
      <c r="G25" s="26" t="str">
        <f aca="false">IF(COUNT(D25,E25)&lt;2,"",D25*E25)</f>
        <v/>
      </c>
    </row>
    <row r="26" customFormat="false" ht="15" hidden="false" customHeight="false" outlineLevel="0" collapsed="false">
      <c r="A26" s="22" t="n">
        <v>11</v>
      </c>
      <c r="B26" s="23"/>
      <c r="C26" s="23"/>
      <c r="D26" s="24"/>
      <c r="E26" s="25"/>
      <c r="F26" s="3"/>
      <c r="G26" s="26" t="str">
        <f aca="false">IF(COUNT(D26,E26)&lt;2,"",D26*E26)</f>
        <v/>
      </c>
    </row>
    <row r="27" customFormat="false" ht="15" hidden="false" customHeight="false" outlineLevel="0" collapsed="false">
      <c r="A27" s="22" t="n">
        <v>12</v>
      </c>
      <c r="B27" s="23"/>
      <c r="C27" s="23"/>
      <c r="D27" s="24"/>
      <c r="E27" s="25"/>
      <c r="F27" s="3"/>
      <c r="G27" s="26" t="str">
        <f aca="false">IF(COUNT(D27,E27)&lt;2,"",D27*E27)</f>
        <v/>
      </c>
    </row>
    <row r="28" customFormat="false" ht="15" hidden="false" customHeight="false" outlineLevel="0" collapsed="false">
      <c r="A28" s="22" t="n">
        <v>13</v>
      </c>
      <c r="B28" s="23"/>
      <c r="C28" s="23"/>
      <c r="D28" s="24"/>
      <c r="E28" s="25"/>
      <c r="F28" s="3"/>
      <c r="G28" s="26" t="str">
        <f aca="false">IF(COUNT(D28,E28)&lt;2,"",D28*E28)</f>
        <v/>
      </c>
    </row>
    <row r="29" customFormat="false" ht="15" hidden="false" customHeight="false" outlineLevel="0" collapsed="false">
      <c r="A29" s="22" t="n">
        <v>14</v>
      </c>
      <c r="B29" s="23"/>
      <c r="C29" s="23"/>
      <c r="D29" s="24"/>
      <c r="E29" s="25"/>
      <c r="F29" s="3"/>
      <c r="G29" s="26" t="str">
        <f aca="false">IF(COUNT(D29,E29)&lt;2,"",D29*E29)</f>
        <v/>
      </c>
    </row>
    <row r="30" customFormat="false" ht="15" hidden="false" customHeight="false" outlineLevel="0" collapsed="false">
      <c r="A30" s="22" t="n">
        <v>15</v>
      </c>
      <c r="B30" s="23"/>
      <c r="C30" s="23"/>
      <c r="D30" s="24"/>
      <c r="E30" s="25"/>
      <c r="F30" s="3"/>
      <c r="G30" s="26" t="str">
        <f aca="false">IF(COUNT(D30,E30)&lt;2,"",D30*E30)</f>
        <v/>
      </c>
    </row>
    <row r="31" customFormat="false" ht="15" hidden="false" customHeight="false" outlineLevel="0" collapsed="false">
      <c r="A31" s="27"/>
      <c r="B31" s="27"/>
      <c r="C31" s="27"/>
      <c r="D31" s="28" t="s">
        <v>27</v>
      </c>
      <c r="E31" s="28"/>
      <c r="F31" s="28"/>
      <c r="G31" s="29" t="n">
        <f aca="false">SUM(G16:G30)</f>
        <v>0</v>
      </c>
    </row>
    <row r="32" customFormat="false" ht="15" hidden="false" customHeight="false" outlineLevel="0" collapsed="false">
      <c r="A32" s="27"/>
      <c r="B32" s="27"/>
      <c r="C32" s="27"/>
      <c r="D32" s="28" t="s">
        <v>28</v>
      </c>
      <c r="E32" s="28"/>
      <c r="F32" s="28"/>
      <c r="G32" s="29" t="n">
        <f aca="false">ROUND(G31*0.1,0)</f>
        <v>0</v>
      </c>
    </row>
    <row r="33" customFormat="false" ht="15" hidden="false" customHeight="false" outlineLevel="0" collapsed="false">
      <c r="A33" s="27"/>
      <c r="B33" s="27"/>
      <c r="C33" s="27"/>
      <c r="D33" s="28" t="s">
        <v>29</v>
      </c>
      <c r="E33" s="28"/>
      <c r="F33" s="28"/>
      <c r="G33" s="29" t="n">
        <f aca="false">ROUND((G31+G32)*0.1,0)</f>
        <v>0</v>
      </c>
    </row>
    <row r="34" customFormat="false" ht="15" hidden="false" customHeight="false" outlineLevel="0" collapsed="false">
      <c r="A34" s="30" t="s">
        <v>30</v>
      </c>
      <c r="B34" s="30"/>
      <c r="C34" s="30"/>
      <c r="D34" s="28" t="s">
        <v>31</v>
      </c>
      <c r="E34" s="28"/>
      <c r="F34" s="28"/>
      <c r="G34" s="31"/>
    </row>
    <row r="35" customFormat="false" ht="15" hidden="false" customHeight="false" outlineLevel="0" collapsed="false">
      <c r="A35" s="30" t="s">
        <v>32</v>
      </c>
      <c r="B35" s="30"/>
      <c r="C35" s="30"/>
      <c r="D35" s="28" t="s">
        <v>33</v>
      </c>
      <c r="E35" s="28"/>
      <c r="F35" s="28"/>
      <c r="G35" s="31"/>
    </row>
    <row r="36" customFormat="false" ht="15" hidden="false" customHeight="false" outlineLevel="0" collapsed="false">
      <c r="A36" s="27"/>
      <c r="B36" s="27"/>
      <c r="C36" s="27"/>
      <c r="D36" s="15" t="s">
        <v>34</v>
      </c>
      <c r="E36" s="15"/>
      <c r="F36" s="15"/>
      <c r="G36" s="32" t="n">
        <f aca="false">G31+G32+G33+N(G34)+N(G35)</f>
        <v>0</v>
      </c>
    </row>
    <row r="38" customFormat="false" ht="15" hidden="false" customHeight="false" outlineLevel="0" collapsed="false">
      <c r="A38" s="21" t="s">
        <v>35</v>
      </c>
      <c r="B38" s="33"/>
      <c r="C38" s="33"/>
      <c r="D38" s="33"/>
      <c r="E38" s="33"/>
      <c r="F38" s="33"/>
      <c r="G38" s="33"/>
    </row>
    <row r="39" customFormat="false" ht="15" hidden="false" customHeight="false" outlineLevel="0" collapsed="false">
      <c r="B39" s="33"/>
      <c r="C39" s="33"/>
      <c r="D39" s="33"/>
      <c r="E39" s="33"/>
      <c r="F39" s="33"/>
      <c r="G39" s="33"/>
    </row>
    <row r="40" customFormat="false" ht="15" hidden="false" customHeight="false" outlineLevel="0" collapsed="false">
      <c r="B40" s="33"/>
      <c r="C40" s="33"/>
      <c r="D40" s="33"/>
      <c r="E40" s="33"/>
      <c r="F40" s="33"/>
      <c r="G40" s="33"/>
    </row>
    <row r="42" customFormat="false" ht="15" hidden="false" customHeight="false" outlineLevel="0" collapsed="false">
      <c r="A42" s="34" t="s">
        <v>36</v>
      </c>
    </row>
    <row r="43" customFormat="false" ht="15" hidden="false" customHeight="false" outlineLevel="0" collapsed="false">
      <c r="A43" s="34" t="s">
        <v>37</v>
      </c>
    </row>
    <row r="44" customFormat="false" ht="15" hidden="false" customHeight="false" outlineLevel="0" collapsed="false">
      <c r="A44" s="34" t="s">
        <v>38</v>
      </c>
    </row>
  </sheetData>
  <mergeCells count="35">
    <mergeCell ref="B1:E2"/>
    <mergeCell ref="A4:D4"/>
    <mergeCell ref="F4:G5"/>
    <mergeCell ref="A5:D5"/>
    <mergeCell ref="A6:D6"/>
    <mergeCell ref="F6:G6"/>
    <mergeCell ref="A7:D7"/>
    <mergeCell ref="F7:G7"/>
    <mergeCell ref="A8:D8"/>
    <mergeCell ref="F8:G8"/>
    <mergeCell ref="A10:B10"/>
    <mergeCell ref="C10:E10"/>
    <mergeCell ref="F10:G10"/>
    <mergeCell ref="A11:B11"/>
    <mergeCell ref="C11:E11"/>
    <mergeCell ref="F11:G11"/>
    <mergeCell ref="A12:B12"/>
    <mergeCell ref="C12:E12"/>
    <mergeCell ref="A13:B13"/>
    <mergeCell ref="C13:E13"/>
    <mergeCell ref="F13:G13"/>
    <mergeCell ref="F14:G14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B38:G40"/>
  </mergeCells>
  <printOptions headings="false" gridLines="false" gridLinesSet="true" horizontalCentered="false" verticalCentered="false"/>
  <pageMargins left="0.5" right="0.5" top="0.6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6" min="5" style="0" width="7"/>
    <col collapsed="false" customWidth="true" hidden="false" outlineLevel="0" max="7" min="7" style="0" width="13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2" t="s">
        <v>1</v>
      </c>
      <c r="G1" s="3" t="s">
        <v>39</v>
      </c>
    </row>
    <row r="2" customFormat="false" ht="15" hidden="false" customHeight="false" outlineLevel="0" collapsed="false">
      <c r="B2" s="1"/>
      <c r="C2" s="1"/>
      <c r="D2" s="1"/>
      <c r="E2" s="1"/>
      <c r="F2" s="2" t="s">
        <v>2</v>
      </c>
      <c r="G2" s="4" t="s">
        <v>40</v>
      </c>
    </row>
    <row r="3" customFormat="false" ht="15" hidden="false" customHeight="false" outlineLevel="0" collapsed="false">
      <c r="F3" s="2" t="s">
        <v>3</v>
      </c>
      <c r="G3" s="3" t="s">
        <v>41</v>
      </c>
    </row>
    <row r="4" customFormat="false" ht="15" hidden="false" customHeight="false" outlineLevel="0" collapsed="false">
      <c r="A4" s="35" t="s">
        <v>42</v>
      </c>
      <c r="B4" s="35"/>
      <c r="C4" s="35"/>
      <c r="D4" s="35"/>
      <c r="F4" s="6" t="s">
        <v>5</v>
      </c>
      <c r="G4" s="6"/>
    </row>
    <row r="5" customFormat="false" ht="15" hidden="false" customHeight="false" outlineLevel="0" collapsed="false">
      <c r="A5" s="36" t="s">
        <v>43</v>
      </c>
      <c r="B5" s="36"/>
      <c r="C5" s="36"/>
      <c r="D5" s="36"/>
      <c r="F5" s="6"/>
      <c r="G5" s="6"/>
    </row>
    <row r="6" customFormat="false" ht="15" hidden="false" customHeight="false" outlineLevel="0" collapsed="false">
      <c r="A6" s="7" t="s">
        <v>44</v>
      </c>
      <c r="B6" s="7"/>
      <c r="C6" s="7"/>
      <c r="D6" s="7"/>
      <c r="F6" s="8" t="s">
        <v>8</v>
      </c>
      <c r="G6" s="8"/>
    </row>
    <row r="7" customFormat="false" ht="15" hidden="false" customHeight="false" outlineLevel="0" collapsed="false">
      <c r="A7" s="9" t="s">
        <v>45</v>
      </c>
      <c r="B7" s="9"/>
      <c r="C7" s="9"/>
      <c r="D7" s="9"/>
      <c r="F7" s="10" t="s">
        <v>10</v>
      </c>
      <c r="G7" s="10"/>
    </row>
    <row r="8" customFormat="false" ht="15" hidden="false" customHeight="false" outlineLevel="0" collapsed="false">
      <c r="A8" s="11" t="s">
        <v>11</v>
      </c>
      <c r="B8" s="11"/>
      <c r="C8" s="11"/>
      <c r="D8" s="11"/>
      <c r="F8" s="12" t="s">
        <v>46</v>
      </c>
      <c r="G8" s="12"/>
    </row>
    <row r="9" customFormat="false" ht="15" hidden="false" customHeight="false" outlineLevel="0" collapsed="false">
      <c r="F9" s="13" t="s">
        <v>13</v>
      </c>
      <c r="G9" s="37" t="s">
        <v>47</v>
      </c>
    </row>
    <row r="10" customFormat="false" ht="15" hidden="false" customHeight="false" outlineLevel="0" collapsed="false">
      <c r="A10" s="15" t="s">
        <v>14</v>
      </c>
      <c r="B10" s="15"/>
      <c r="C10" s="38" t="s">
        <v>48</v>
      </c>
      <c r="D10" s="38"/>
      <c r="E10" s="38"/>
      <c r="F10" s="17" t="s">
        <v>15</v>
      </c>
      <c r="G10" s="17"/>
    </row>
    <row r="11" customFormat="false" ht="24" hidden="false" customHeight="true" outlineLevel="0" collapsed="false">
      <c r="A11" s="15" t="s">
        <v>16</v>
      </c>
      <c r="B11" s="15"/>
      <c r="C11" s="16" t="s">
        <v>49</v>
      </c>
      <c r="D11" s="16"/>
      <c r="E11" s="16"/>
      <c r="F11" s="18" t="n">
        <f aca="false">G36</f>
        <v>976100</v>
      </c>
      <c r="G11" s="18"/>
    </row>
    <row r="12" customFormat="false" ht="15" hidden="false" customHeight="false" outlineLevel="0" collapsed="false">
      <c r="A12" s="15" t="s">
        <v>17</v>
      </c>
      <c r="B12" s="15"/>
      <c r="C12" s="16" t="s">
        <v>50</v>
      </c>
      <c r="D12" s="16"/>
      <c r="E12" s="16"/>
    </row>
    <row r="13" customFormat="false" ht="15" hidden="false" customHeight="false" outlineLevel="0" collapsed="false">
      <c r="A13" s="15" t="s">
        <v>18</v>
      </c>
      <c r="B13" s="15"/>
      <c r="C13" s="38" t="s">
        <v>51</v>
      </c>
      <c r="D13" s="38"/>
      <c r="E13" s="38"/>
      <c r="F13" s="15" t="s">
        <v>19</v>
      </c>
      <c r="G13" s="15"/>
    </row>
    <row r="14" customFormat="false" ht="15" hidden="false" customHeight="false" outlineLevel="0" collapsed="false">
      <c r="F14" s="19" t="s">
        <v>52</v>
      </c>
      <c r="G14" s="19"/>
    </row>
    <row r="15" customFormat="false" ht="15" hidden="false" customHeight="false" outlineLevel="0" collapsed="false">
      <c r="A15" s="20" t="s">
        <v>20</v>
      </c>
      <c r="B15" s="21" t="s">
        <v>21</v>
      </c>
      <c r="C15" s="21" t="s">
        <v>22</v>
      </c>
      <c r="D15" s="21" t="s">
        <v>23</v>
      </c>
      <c r="E15" s="21" t="s">
        <v>24</v>
      </c>
      <c r="F15" s="21" t="s">
        <v>25</v>
      </c>
      <c r="G15" s="21" t="s">
        <v>26</v>
      </c>
    </row>
    <row r="16" customFormat="false" ht="15" hidden="false" customHeight="false" outlineLevel="0" collapsed="false">
      <c r="A16" s="22" t="n">
        <v>1</v>
      </c>
      <c r="B16" s="39" t="s">
        <v>53</v>
      </c>
      <c r="C16" s="23" t="s">
        <v>54</v>
      </c>
      <c r="D16" s="24" t="n">
        <v>15000</v>
      </c>
      <c r="E16" s="25" t="n">
        <v>40</v>
      </c>
      <c r="F16" s="40" t="s">
        <v>55</v>
      </c>
      <c r="G16" s="26" t="n">
        <f aca="false">IF(COUNT(D16,E16)&lt;2,"",D16*E16)</f>
        <v>600000</v>
      </c>
    </row>
    <row r="17" customFormat="false" ht="15" hidden="false" customHeight="false" outlineLevel="0" collapsed="false">
      <c r="A17" s="22" t="n">
        <v>2</v>
      </c>
      <c r="B17" s="39" t="s">
        <v>56</v>
      </c>
      <c r="C17" s="39" t="s">
        <v>57</v>
      </c>
      <c r="D17" s="24" t="n">
        <v>50000</v>
      </c>
      <c r="E17" s="25" t="n">
        <v>1</v>
      </c>
      <c r="F17" s="40" t="s">
        <v>58</v>
      </c>
      <c r="G17" s="26" t="n">
        <f aca="false">IF(COUNT(D17,E17)&lt;2,"",D17*E17)</f>
        <v>50000</v>
      </c>
    </row>
    <row r="18" customFormat="false" ht="15" hidden="false" customHeight="false" outlineLevel="0" collapsed="false">
      <c r="A18" s="22" t="n">
        <v>3</v>
      </c>
      <c r="B18" s="39" t="s">
        <v>56</v>
      </c>
      <c r="C18" s="39" t="s">
        <v>59</v>
      </c>
      <c r="D18" s="24" t="n">
        <v>2500</v>
      </c>
      <c r="E18" s="25" t="n">
        <v>40</v>
      </c>
      <c r="F18" s="40" t="s">
        <v>55</v>
      </c>
      <c r="G18" s="26" t="n">
        <f aca="false">IF(COUNT(D18,E18)&lt;2,"",D18*E18)</f>
        <v>100000</v>
      </c>
    </row>
    <row r="19" customFormat="false" ht="15" hidden="false" customHeight="false" outlineLevel="0" collapsed="false">
      <c r="A19" s="22" t="n">
        <v>4</v>
      </c>
      <c r="B19" s="39" t="s">
        <v>60</v>
      </c>
      <c r="C19" s="39" t="s">
        <v>61</v>
      </c>
      <c r="D19" s="24" t="n">
        <v>30000</v>
      </c>
      <c r="E19" s="25" t="n">
        <v>2</v>
      </c>
      <c r="F19" s="40" t="s">
        <v>62</v>
      </c>
      <c r="G19" s="26" t="n">
        <f aca="false">IF(COUNT(D19,E19)&lt;2,"",D19*E19)</f>
        <v>60000</v>
      </c>
    </row>
    <row r="20" customFormat="false" ht="15" hidden="false" customHeight="false" outlineLevel="0" collapsed="false">
      <c r="A20" s="22" t="n">
        <v>5</v>
      </c>
      <c r="B20" s="39"/>
      <c r="C20" s="39"/>
      <c r="D20" s="24"/>
      <c r="E20" s="25"/>
      <c r="F20" s="40"/>
      <c r="G20" s="26" t="str">
        <f aca="false">IF(COUNT(D20,E20)&lt;2,"",D20*E20)</f>
        <v/>
      </c>
    </row>
    <row r="21" customFormat="false" ht="15" hidden="false" customHeight="false" outlineLevel="0" collapsed="false">
      <c r="A21" s="22" t="n">
        <v>6</v>
      </c>
      <c r="B21" s="39"/>
      <c r="C21" s="39"/>
      <c r="D21" s="24"/>
      <c r="E21" s="25"/>
      <c r="F21" s="40"/>
      <c r="G21" s="26" t="str">
        <f aca="false">IF(COUNT(D21,E21)&lt;2,"",D21*E21)</f>
        <v/>
      </c>
    </row>
    <row r="22" customFormat="false" ht="15" hidden="false" customHeight="false" outlineLevel="0" collapsed="false">
      <c r="A22" s="22" t="n">
        <v>7</v>
      </c>
      <c r="B22" s="39"/>
      <c r="C22" s="39"/>
      <c r="D22" s="24"/>
      <c r="E22" s="25"/>
      <c r="F22" s="40"/>
      <c r="G22" s="26" t="str">
        <f aca="false">IF(COUNT(D22,E22)&lt;2,"",D22*E22)</f>
        <v/>
      </c>
    </row>
    <row r="23" customFormat="false" ht="15" hidden="false" customHeight="false" outlineLevel="0" collapsed="false">
      <c r="A23" s="22" t="n">
        <v>8</v>
      </c>
      <c r="B23" s="39"/>
      <c r="C23" s="39"/>
      <c r="D23" s="24"/>
      <c r="E23" s="25"/>
      <c r="F23" s="40"/>
      <c r="G23" s="26" t="str">
        <f aca="false">IF(COUNT(D23,E23)&lt;2,"",D23*E23)</f>
        <v/>
      </c>
    </row>
    <row r="24" customFormat="false" ht="15" hidden="false" customHeight="false" outlineLevel="0" collapsed="false">
      <c r="A24" s="22" t="n">
        <v>9</v>
      </c>
      <c r="B24" s="39"/>
      <c r="C24" s="39"/>
      <c r="D24" s="24"/>
      <c r="E24" s="25"/>
      <c r="F24" s="40"/>
      <c r="G24" s="26" t="str">
        <f aca="false">IF(COUNT(D24,E24)&lt;2,"",D24*E24)</f>
        <v/>
      </c>
    </row>
    <row r="25" customFormat="false" ht="15" hidden="false" customHeight="false" outlineLevel="0" collapsed="false">
      <c r="A25" s="22" t="n">
        <v>10</v>
      </c>
      <c r="B25" s="39"/>
      <c r="C25" s="39"/>
      <c r="D25" s="24"/>
      <c r="E25" s="25"/>
      <c r="F25" s="40"/>
      <c r="G25" s="26" t="str">
        <f aca="false">IF(COUNT(D25,E25)&lt;2,"",D25*E25)</f>
        <v/>
      </c>
    </row>
    <row r="26" customFormat="false" ht="15" hidden="false" customHeight="false" outlineLevel="0" collapsed="false">
      <c r="A26" s="22" t="n">
        <v>11</v>
      </c>
      <c r="B26" s="39"/>
      <c r="C26" s="39"/>
      <c r="D26" s="24"/>
      <c r="E26" s="25"/>
      <c r="F26" s="40"/>
      <c r="G26" s="26" t="str">
        <f aca="false">IF(COUNT(D26,E26)&lt;2,"",D26*E26)</f>
        <v/>
      </c>
    </row>
    <row r="27" customFormat="false" ht="15" hidden="false" customHeight="false" outlineLevel="0" collapsed="false">
      <c r="A27" s="22" t="n">
        <v>12</v>
      </c>
      <c r="B27" s="39"/>
      <c r="C27" s="39"/>
      <c r="D27" s="24"/>
      <c r="E27" s="25"/>
      <c r="F27" s="40"/>
      <c r="G27" s="26" t="str">
        <f aca="false">IF(COUNT(D27,E27)&lt;2,"",D27*E27)</f>
        <v/>
      </c>
    </row>
    <row r="28" customFormat="false" ht="15" hidden="false" customHeight="false" outlineLevel="0" collapsed="false">
      <c r="A28" s="22" t="n">
        <v>13</v>
      </c>
      <c r="B28" s="39"/>
      <c r="C28" s="39"/>
      <c r="D28" s="24"/>
      <c r="E28" s="25"/>
      <c r="F28" s="40"/>
      <c r="G28" s="26" t="str">
        <f aca="false">IF(COUNT(D28,E28)&lt;2,"",D28*E28)</f>
        <v/>
      </c>
    </row>
    <row r="29" customFormat="false" ht="15" hidden="false" customHeight="false" outlineLevel="0" collapsed="false">
      <c r="A29" s="22" t="n">
        <v>14</v>
      </c>
      <c r="B29" s="39"/>
      <c r="C29" s="39"/>
      <c r="D29" s="24"/>
      <c r="E29" s="25"/>
      <c r="F29" s="40"/>
      <c r="G29" s="26" t="str">
        <f aca="false">IF(COUNT(D29,E29)&lt;2,"",D29*E29)</f>
        <v/>
      </c>
    </row>
    <row r="30" customFormat="false" ht="15" hidden="false" customHeight="false" outlineLevel="0" collapsed="false">
      <c r="A30" s="22" t="n">
        <v>15</v>
      </c>
      <c r="B30" s="39"/>
      <c r="C30" s="39"/>
      <c r="D30" s="24"/>
      <c r="E30" s="25"/>
      <c r="F30" s="40"/>
      <c r="G30" s="26" t="str">
        <f aca="false">IF(COUNT(D30,E30)&lt;2,"",D30*E30)</f>
        <v/>
      </c>
    </row>
    <row r="31" customFormat="false" ht="15" hidden="false" customHeight="false" outlineLevel="0" collapsed="false">
      <c r="A31" s="27"/>
      <c r="B31" s="27"/>
      <c r="C31" s="27"/>
      <c r="D31" s="28" t="s">
        <v>27</v>
      </c>
      <c r="E31" s="28"/>
      <c r="F31" s="28"/>
      <c r="G31" s="29" t="n">
        <f aca="false">SUM(G16:G30)</f>
        <v>810000</v>
      </c>
    </row>
    <row r="32" customFormat="false" ht="15" hidden="false" customHeight="false" outlineLevel="0" collapsed="false">
      <c r="A32" s="27"/>
      <c r="B32" s="27"/>
      <c r="C32" s="27"/>
      <c r="D32" s="28" t="s">
        <v>28</v>
      </c>
      <c r="E32" s="28"/>
      <c r="F32" s="28"/>
      <c r="G32" s="29" t="n">
        <f aca="false">ROUND(G31*0.1,0)</f>
        <v>81000</v>
      </c>
    </row>
    <row r="33" customFormat="false" ht="15" hidden="false" customHeight="false" outlineLevel="0" collapsed="false">
      <c r="A33" s="27"/>
      <c r="B33" s="27"/>
      <c r="C33" s="27"/>
      <c r="D33" s="28" t="s">
        <v>29</v>
      </c>
      <c r="E33" s="28"/>
      <c r="F33" s="28"/>
      <c r="G33" s="29" t="n">
        <f aca="false">ROUND((G31+G32)*0.1,0)</f>
        <v>89100</v>
      </c>
    </row>
    <row r="34" customFormat="false" ht="15" hidden="false" customHeight="false" outlineLevel="0" collapsed="false">
      <c r="A34" s="30" t="s">
        <v>30</v>
      </c>
      <c r="B34" s="30"/>
      <c r="C34" s="30"/>
      <c r="D34" s="28" t="s">
        <v>31</v>
      </c>
      <c r="E34" s="28"/>
      <c r="F34" s="28"/>
      <c r="G34" s="31" t="n">
        <v>6000</v>
      </c>
    </row>
    <row r="35" customFormat="false" ht="15" hidden="false" customHeight="false" outlineLevel="0" collapsed="false">
      <c r="A35" s="30" t="s">
        <v>32</v>
      </c>
      <c r="B35" s="30"/>
      <c r="C35" s="30"/>
      <c r="D35" s="28" t="s">
        <v>33</v>
      </c>
      <c r="E35" s="28"/>
      <c r="F35" s="28"/>
      <c r="G35" s="31" t="n">
        <v>-10000</v>
      </c>
    </row>
    <row r="36" customFormat="false" ht="15" hidden="false" customHeight="false" outlineLevel="0" collapsed="false">
      <c r="A36" s="27"/>
      <c r="B36" s="27"/>
      <c r="C36" s="27"/>
      <c r="D36" s="15" t="s">
        <v>34</v>
      </c>
      <c r="E36" s="15"/>
      <c r="F36" s="15"/>
      <c r="G36" s="32" t="n">
        <f aca="false">G31+G32+G33+N(G34)+N(G35)</f>
        <v>976100</v>
      </c>
    </row>
    <row r="38" customFormat="false" ht="15" hidden="false" customHeight="true" outlineLevel="0" collapsed="false">
      <c r="A38" s="21" t="s">
        <v>35</v>
      </c>
      <c r="B38" s="41" t="s">
        <v>63</v>
      </c>
      <c r="C38" s="41"/>
      <c r="D38" s="41"/>
      <c r="E38" s="41"/>
      <c r="F38" s="41"/>
      <c r="G38" s="41"/>
    </row>
    <row r="39" customFormat="false" ht="15" hidden="false" customHeight="false" outlineLevel="0" collapsed="false">
      <c r="B39" s="41"/>
      <c r="C39" s="41"/>
      <c r="D39" s="41"/>
      <c r="E39" s="41"/>
      <c r="F39" s="41"/>
      <c r="G39" s="41"/>
    </row>
    <row r="40" customFormat="false" ht="15" hidden="false" customHeight="false" outlineLevel="0" collapsed="false">
      <c r="B40" s="41"/>
      <c r="C40" s="41"/>
      <c r="D40" s="41"/>
      <c r="E40" s="41"/>
      <c r="F40" s="41"/>
      <c r="G40" s="41"/>
    </row>
    <row r="42" customFormat="false" ht="15" hidden="false" customHeight="false" outlineLevel="0" collapsed="false">
      <c r="A42" s="34" t="s">
        <v>36</v>
      </c>
    </row>
    <row r="43" customFormat="false" ht="15" hidden="false" customHeight="false" outlineLevel="0" collapsed="false">
      <c r="A43" s="34" t="s">
        <v>37</v>
      </c>
    </row>
    <row r="44" customFormat="false" ht="15" hidden="false" customHeight="false" outlineLevel="0" collapsed="false">
      <c r="A44" s="34" t="s">
        <v>38</v>
      </c>
    </row>
  </sheetData>
  <mergeCells count="35">
    <mergeCell ref="B1:E2"/>
    <mergeCell ref="A4:D4"/>
    <mergeCell ref="F4:G5"/>
    <mergeCell ref="A5:D5"/>
    <mergeCell ref="A6:D6"/>
    <mergeCell ref="F6:G6"/>
    <mergeCell ref="A7:D7"/>
    <mergeCell ref="F7:G7"/>
    <mergeCell ref="A8:D8"/>
    <mergeCell ref="F8:G8"/>
    <mergeCell ref="A10:B10"/>
    <mergeCell ref="C10:E10"/>
    <mergeCell ref="F10:G10"/>
    <mergeCell ref="A11:B11"/>
    <mergeCell ref="C11:E11"/>
    <mergeCell ref="F11:G11"/>
    <mergeCell ref="A12:B12"/>
    <mergeCell ref="C12:E12"/>
    <mergeCell ref="A13:B13"/>
    <mergeCell ref="C13:E13"/>
    <mergeCell ref="F13:G13"/>
    <mergeCell ref="F14:G14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B38:G40"/>
  </mergeCells>
  <printOptions headings="false" gridLines="false" gridLinesSet="true" horizontalCentered="false" verticalCentered="false"/>
  <pageMargins left="0.5" right="0.5" top="0.6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2026-07-17T23:37:01Z</dcterms:created>
  <dc:creator>openpyxl</dc:creator>
  <dc:description/>
  <dc:language>en-US</dc:language>
  <cp:lastModifiedBy/>
  <dcterms:modified xsi:type="dcterms:W3CDTF">2026-07-17T23:37:01Z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